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norgroup-my.sharepoint.com/personal/phannaporn_lu_minor_com/Documents/Desktop/"/>
    </mc:Choice>
  </mc:AlternateContent>
  <xr:revisionPtr revIDLastSave="0" documentId="8_{A57B8374-8AA8-476F-B139-3ECBE7564A6D}" xr6:coauthVersionLast="47" xr6:coauthVersionMax="47" xr10:uidLastSave="{00000000-0000-0000-0000-000000000000}"/>
  <bookViews>
    <workbookView xWindow="-110" yWindow="-110" windowWidth="19420" windowHeight="11500" xr2:uid="{12C0826A-C239-4F3E-B827-BA7AC997014C}"/>
  </bookViews>
  <sheets>
    <sheet name="MF 2026" sheetId="1" r:id="rId1"/>
  </sheets>
  <definedNames>
    <definedName name="_xlnm._FilterDatabase" localSheetId="0" hidden="1">'MF 2026'!$A$2:$AS$707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4" i="1" l="1"/>
  <c r="H617" i="1"/>
  <c r="H616" i="1"/>
  <c r="H614" i="1"/>
  <c r="H613" i="1"/>
  <c r="AC422" i="1"/>
  <c r="AC421" i="1"/>
  <c r="AC420" i="1"/>
  <c r="AC405" i="1"/>
  <c r="AC404" i="1"/>
  <c r="AC395" i="1"/>
  <c r="AC394" i="1"/>
  <c r="AC393" i="1"/>
  <c r="AC392" i="1"/>
  <c r="AC391" i="1"/>
  <c r="AC390" i="1"/>
  <c r="AC389" i="1"/>
  <c r="AC388" i="1"/>
  <c r="AC387" i="1"/>
  <c r="J371" i="1"/>
  <c r="J370" i="1"/>
  <c r="H279" i="1"/>
  <c r="AL278" i="1"/>
  <c r="H278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171" i="1"/>
  <c r="AC170" i="1"/>
  <c r="AC169" i="1"/>
  <c r="AC168" i="1"/>
  <c r="AC167" i="1"/>
  <c r="AC166" i="1"/>
  <c r="AC165" i="1"/>
  <c r="AC164" i="1"/>
  <c r="AC128" i="1"/>
  <c r="AC127" i="1"/>
  <c r="AC126" i="1"/>
  <c r="AC94" i="1"/>
  <c r="AC93" i="1"/>
  <c r="AC92" i="1"/>
  <c r="AC61" i="1"/>
  <c r="AC60" i="1"/>
  <c r="AR51" i="1"/>
  <c r="AC29" i="1"/>
  <c r="AC28" i="1"/>
  <c r="AC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nasabkk@nasatransport.com</author>
  </authors>
  <commentList>
    <comment ref="Q50" authorId="0" shapeId="0" xr:uid="{F9F4E423-6676-45BF-95C7-062F67994DB7}">
      <text>
        <r>
          <rPr>
            <sz val="11"/>
            <color theme="1"/>
            <rFont val="Calibri"/>
            <family val="2"/>
            <charset val="222"/>
            <scheme val="minor"/>
          </rPr>
          <t>หา trucking ใน Web ไม่เจอค่ะ</t>
        </r>
      </text>
    </comment>
  </commentList>
</comments>
</file>

<file path=xl/sharedStrings.xml><?xml version="1.0" encoding="utf-8"?>
<sst xmlns="http://schemas.openxmlformats.org/spreadsheetml/2006/main" count="8796" uniqueCount="1510">
  <si>
    <t>MINOR</t>
  </si>
  <si>
    <t>NASA/BEE</t>
  </si>
  <si>
    <t>NASCO/NAN</t>
  </si>
  <si>
    <t>Gift's Comment</t>
  </si>
  <si>
    <t>Shipment status</t>
  </si>
  <si>
    <t>Cargo ready date</t>
  </si>
  <si>
    <t>Brand</t>
  </si>
  <si>
    <t>Supplier</t>
  </si>
  <si>
    <t>Item code 
(New)</t>
  </si>
  <si>
    <t>Description</t>
  </si>
  <si>
    <t>QTY</t>
  </si>
  <si>
    <t>UOM</t>
  </si>
  <si>
    <t>Remark</t>
  </si>
  <si>
    <t>PR</t>
  </si>
  <si>
    <t>PO sending date</t>
  </si>
  <si>
    <t>PO</t>
  </si>
  <si>
    <t>Invoice no.</t>
  </si>
  <si>
    <t>Term</t>
  </si>
  <si>
    <t>Payment</t>
  </si>
  <si>
    <t>Booking/BL</t>
  </si>
  <si>
    <t>carrier</t>
  </si>
  <si>
    <t>Vessel name</t>
  </si>
  <si>
    <t>Requested ETA</t>
  </si>
  <si>
    <t>Booking CNF
ETD</t>
  </si>
  <si>
    <t>Booking CNF
ETA</t>
  </si>
  <si>
    <t>DIFF.
Requested ETA</t>
  </si>
  <si>
    <t>Type &amp; Size</t>
  </si>
  <si>
    <t>Total container</t>
  </si>
  <si>
    <t>Actual container</t>
  </si>
  <si>
    <t>Updated
ETD</t>
  </si>
  <si>
    <t>Updated
ETA</t>
  </si>
  <si>
    <t>Delay ETA</t>
  </si>
  <si>
    <t>Shipping</t>
  </si>
  <si>
    <t>Insurance
Date</t>
  </si>
  <si>
    <t>ได้/ส่งOriginal Doc</t>
  </si>
  <si>
    <t>ส่ง
Scan 
docs</t>
  </si>
  <si>
    <t>วันเข้า WH</t>
  </si>
  <si>
    <t>GR NOTE</t>
  </si>
  <si>
    <t>Remark / Dash board</t>
  </si>
  <si>
    <t>For Advance</t>
  </si>
  <si>
    <t>Amount</t>
  </si>
  <si>
    <t>For Credit</t>
  </si>
  <si>
    <t>Amount2</t>
  </si>
  <si>
    <t>Total amount</t>
  </si>
  <si>
    <t>Currency</t>
  </si>
  <si>
    <t>Remark3</t>
  </si>
  <si>
    <t>เสีย</t>
  </si>
  <si>
    <t>เคลมกับทาง supplier/ ประกัน</t>
  </si>
  <si>
    <t>BK</t>
  </si>
  <si>
    <t>Lamb weston</t>
  </si>
  <si>
    <t>FRENCH FRIES-1/4" SHOESTRINGS-LW-4.5LB/BAG-6BAG/CASE</t>
  </si>
  <si>
    <t>3969 &gt; 3963</t>
  </si>
  <si>
    <t>case</t>
  </si>
  <si>
    <t xml:space="preserve"> </t>
  </si>
  <si>
    <t>F105-00033336</t>
  </si>
  <si>
    <t>CFR</t>
  </si>
  <si>
    <t>COSCO</t>
  </si>
  <si>
    <t>APL CHONGQING / COSCO THAILAND</t>
  </si>
  <si>
    <t>40RF</t>
  </si>
  <si>
    <t>V-Serve</t>
  </si>
  <si>
    <t>done</t>
  </si>
  <si>
    <t>USD</t>
  </si>
  <si>
    <t>เคลมกับ supplier แล้วรอเงินโอนกลับ &gt; ได้รับเงินโอนแล้ว</t>
  </si>
  <si>
    <t>Kaida</t>
  </si>
  <si>
    <t>FRENCH FRIES-1/4" SHOESTRINGS-KAIDA</t>
  </si>
  <si>
    <t>CASE(12KG)</t>
  </si>
  <si>
    <t>F105-00057832</t>
  </si>
  <si>
    <t xml:space="preserve"> TH25112101</t>
  </si>
  <si>
    <t>CIF</t>
  </si>
  <si>
    <t>AMJ0265541</t>
  </si>
  <si>
    <t>CMA</t>
  </si>
  <si>
    <t>HANSA HOMBURG ( 0QIMIN1NC)</t>
  </si>
  <si>
    <t>Nasa</t>
  </si>
  <si>
    <t>ได้รับ CN รอหัก &gt; หักแล้ว</t>
  </si>
  <si>
    <t>Asandas</t>
  </si>
  <si>
    <t>HASH BROWN-1KG/BAG-10BAG/CASE-CASE</t>
  </si>
  <si>
    <t>F105-00038989</t>
  </si>
  <si>
    <t xml:space="preserve">HF26/13234 </t>
  </si>
  <si>
    <t>100570045603</t>
  </si>
  <si>
    <t>Evergreen</t>
  </si>
  <si>
    <t>DP WORLD JEBEL ALI 007E</t>
  </si>
  <si>
    <t>MSCS</t>
  </si>
  <si>
    <t>Fonterra</t>
  </si>
  <si>
    <t> 1000018372</t>
  </si>
  <si>
    <t>CHEESE-IQF MOZZARELLA BLEND-12KG/CASE</t>
  </si>
  <si>
    <t>Case</t>
  </si>
  <si>
    <t>250408722-NOV25- 96.768 MT</t>
  </si>
  <si>
    <t>C102-00003457</t>
  </si>
  <si>
    <t>MAERSK</t>
  </si>
  <si>
    <t>MAERSK RIO NEGRO</t>
  </si>
  <si>
    <t>250408722-DEC25- 96.768 MT</t>
  </si>
  <si>
    <t>C102-00003519</t>
  </si>
  <si>
    <t>MAERSK RIO BLANCO / 548N</t>
  </si>
  <si>
    <t xml:space="preserve">No email </t>
  </si>
  <si>
    <t>F105-00057833</t>
  </si>
  <si>
    <t>TH25112102</t>
  </si>
  <si>
    <t>AMJ0266423</t>
  </si>
  <si>
    <t>PALU BAY ( 0XWACS1NC)
XIN QING DAO ( 0IELZS1NC)</t>
  </si>
  <si>
    <t>PO ETA 1 Dec</t>
  </si>
  <si>
    <t>TPC</t>
  </si>
  <si>
    <t>FRENCH FRIES-COATED SHOESTRING FRIES 1/4" FROZEN-2KG/BAG-6BAG/CASE</t>
  </si>
  <si>
    <t>3,528‬</t>
  </si>
  <si>
    <t>Brand postpone to Jan 26 รอ supplier เฟิม &gt; ok 10 January 2026  &gt; มีเปลี่ยนราคารอจัดซื้อ</t>
  </si>
  <si>
    <r>
      <t>F101-00058936</t>
    </r>
    <r>
      <rPr>
        <sz val="8"/>
        <color theme="1"/>
        <rFont val="Calibri"/>
        <family val="2"/>
        <charset val="222"/>
        <scheme val="minor"/>
      </rPr>
      <t xml:space="preserve">
</t>
    </r>
    <r>
      <rPr>
        <strike/>
        <sz val="8"/>
        <color theme="1"/>
        <rFont val="Calibri"/>
        <family val="2"/>
        <scheme val="minor"/>
      </rPr>
      <t>New PO F101-00118805</t>
    </r>
  </si>
  <si>
    <t>TPC250928</t>
  </si>
  <si>
    <t>AMJ0267808</t>
  </si>
  <si>
    <t>AS NORA / 0XWAES1NC</t>
  </si>
  <si>
    <t>CNY</t>
  </si>
  <si>
    <t>รอ CN &gt; ได้รับ CN รอหัก</t>
  </si>
  <si>
    <t>CHEESE-AME SLICE-FONTERRA-160SLICE/PACK</t>
  </si>
  <si>
    <t>Case8</t>
  </si>
  <si>
    <t xml:space="preserve">F105-00053773 </t>
  </si>
  <si>
    <t>MAEU721172702</t>
  </si>
  <si>
    <t>MAERSK RIO NEGRO / 547N</t>
  </si>
  <si>
    <t>CHEESE-SWISS SLICE-FONTERRA-160SLICE/PACK</t>
  </si>
  <si>
    <t xml:space="preserve">F105-00054158 </t>
  </si>
  <si>
    <t>Interpress</t>
  </si>
  <si>
    <t>PACKAGING-SOS# 4 BAG (IMPORTED)-CASE</t>
  </si>
  <si>
    <t>F105-00060475
F105-00060459 inland+ doc
F105-00066893 inland 63 USD</t>
  </si>
  <si>
    <t>OSO013361</t>
  </si>
  <si>
    <t>DDU</t>
  </si>
  <si>
    <t>RF25M0300046701</t>
  </si>
  <si>
    <t>Kart</t>
  </si>
  <si>
    <t>40FT</t>
  </si>
  <si>
    <t>PACKAGING-SOS#6 BAG (IMPORTED)-CASE</t>
  </si>
  <si>
    <t>F105-00060475
F105-00060459 inland+ doc</t>
  </si>
  <si>
    <t>PACKAGING-FRY BAG MEDIUM-6000PC/CASE</t>
  </si>
  <si>
    <t>PACKAGING-HIYW MULTI PURPOSE-900PC/CASE</t>
  </si>
  <si>
    <t>PACKAGING-HIYW WRAP HAMB CHEESE BURGER (WAX)-1000PC/PACK</t>
  </si>
  <si>
    <t>Pack</t>
  </si>
  <si>
    <t>PACKAGING-HIYW WRAP SPECIALTY (WAX)-1000PC/PACK</t>
  </si>
  <si>
    <t>PACKAGING-HIYW WRAP-WHOPPER (BROWN KRAFT PE)-5000PC/CASE</t>
  </si>
  <si>
    <t>PACKAGING-PLAIN WRAP (PE) SIZE 25X25 CM.-2500PC/CASE</t>
  </si>
  <si>
    <t>PACKAGING-HIYW WRAP-DOUBLE/SINGLE (WAX)-5000PC/CASE</t>
  </si>
  <si>
    <t>PACKAGING-HIYW WRAP-TG/TC-1000PC/PACK</t>
  </si>
  <si>
    <t>F105-00057830</t>
  </si>
  <si>
    <t>TH25120101</t>
  </si>
  <si>
    <t>AMJ0266457</t>
  </si>
  <si>
    <t>PALU BAY ( 0XWACS1NC)
HAIAN EAST ( 0QIMFS1NC)</t>
  </si>
  <si>
    <t>F105-00057831</t>
  </si>
  <si>
    <t>TH25120201</t>
  </si>
  <si>
    <t>AMJ0267545</t>
  </si>
  <si>
    <t>AS NORA ( 0XWAES1NC)
HANSA HOMBURG ( 0QIMHS1NC)</t>
  </si>
  <si>
    <t>เสีย 3
short 35</t>
  </si>
  <si>
    <t>Hainan</t>
  </si>
  <si>
    <t>CREAM CHEESE-REFINED-MILKGROUND-2KG/BOX-5BOX/CASE</t>
  </si>
  <si>
    <t>BOX</t>
  </si>
  <si>
    <t>ผลิตเกิน 68 cartons &gt; 340 boxes</t>
  </si>
  <si>
    <t>C102-00002851</t>
  </si>
  <si>
    <t>MINOR-HN/002/2025</t>
  </si>
  <si>
    <t>FOB</t>
  </si>
  <si>
    <t>033F520574</t>
  </si>
  <si>
    <t>Wanhai</t>
  </si>
  <si>
    <t>XIN QING DAO V.249S</t>
  </si>
  <si>
    <t> 1000034043</t>
  </si>
  <si>
    <t>IQF MOZZARELLA CHEESE-12KG/CASE</t>
  </si>
  <si>
    <t>250408720-DEC25 - 48.384 MT</t>
  </si>
  <si>
    <t>C102-00003606</t>
  </si>
  <si>
    <t>MAERSK RIO DELTA / 549N</t>
  </si>
  <si>
    <t>ส่งเคลม supplier แล้ว &gt; supplier แจ้งว่าจ่ายเงินคืนแล้ว</t>
  </si>
  <si>
    <t>MG</t>
  </si>
  <si>
    <t>Grandness HK</t>
  </si>
  <si>
    <t>VEG CAN-MUSHROOM (CHINA)-6 CAN/CASE</t>
  </si>
  <si>
    <t>Case6</t>
  </si>
  <si>
    <t>F101-00081829</t>
  </si>
  <si>
    <t>25MFHK03G</t>
  </si>
  <si>
    <t>Container Number</t>
  </si>
  <si>
    <t>RFCU2125445</t>
  </si>
  <si>
    <t>OOCL</t>
  </si>
  <si>
    <t xml:space="preserve">WAN HAI 333 26019S </t>
  </si>
  <si>
    <t>20FT</t>
  </si>
  <si>
    <t>Comgroup</t>
  </si>
  <si>
    <t>BEEF-ANGUS XT PATTY-BK-5.5 OZ/PC-96PC/CASE</t>
  </si>
  <si>
    <t>BK-20251037</t>
  </si>
  <si>
    <t>F105-00052179</t>
  </si>
  <si>
    <t>CP25598</t>
  </si>
  <si>
    <t>FCA</t>
  </si>
  <si>
    <t>BNE500363700</t>
  </si>
  <si>
    <t>PIL</t>
  </si>
  <si>
    <t xml:space="preserve">OOCL BRISBANE  </t>
  </si>
  <si>
    <t>AUD</t>
  </si>
  <si>
    <t>BEEF-AUS PATTY 4INCH-BK-288PC/CASE</t>
  </si>
  <si>
    <t>BEEF-AUS PATTY 4.0 OZ (113G)-BK-144PC/CASE</t>
  </si>
  <si>
    <t>BTM</t>
  </si>
  <si>
    <t>Breadtalk</t>
  </si>
  <si>
    <t>SWEET BUN DOUGH-CASE</t>
  </si>
  <si>
    <t>PO 1125-0144</t>
  </si>
  <si>
    <t>F401-00007758</t>
  </si>
  <si>
    <t>PO-DOS-TH-BT-1125-0144</t>
  </si>
  <si>
    <t>EXW</t>
  </si>
  <si>
    <t>ELCH26010012</t>
  </si>
  <si>
    <t>OOCL BRISBANE V.245N</t>
  </si>
  <si>
    <t>GOURMENT FRUIT LOAF DOUGH-</t>
  </si>
  <si>
    <t>SWEET BUN DOUGH 30GM.-CASE</t>
  </si>
  <si>
    <t>GAGA</t>
  </si>
  <si>
    <t>Kingmao</t>
  </si>
  <si>
    <t>CREAMER (IMPORT)</t>
  </si>
  <si>
    <t>1 of 25</t>
  </si>
  <si>
    <t>F301-00003284</t>
  </si>
  <si>
    <t>THGB2601D30</t>
  </si>
  <si>
    <t>HASLC01251222573</t>
  </si>
  <si>
    <t>Heung A</t>
  </si>
  <si>
    <t>SAWASDEE ATLANTIC</t>
  </si>
  <si>
    <t>PATAGONIAFRESH S.A</t>
  </si>
  <si>
    <t>VEG-TOMATO PASTE-CHILE-240KG/DRUM</t>
  </si>
  <si>
    <t>drum</t>
  </si>
  <si>
    <t>F101-00093879</t>
  </si>
  <si>
    <t>731500071085</t>
  </si>
  <si>
    <t xml:space="preserve">EVER LUCENT 0747-068W  </t>
  </si>
  <si>
    <t>LCL</t>
  </si>
  <si>
    <t>Franke</t>
  </si>
  <si>
    <t>CLEANING&amp;SAFETY-LUBRICANT-TAYLOR 4 OZ. (BLUE)-PC</t>
  </si>
  <si>
    <t>Piece</t>
  </si>
  <si>
    <t>The estimated completion of this order is mid Nov.</t>
  </si>
  <si>
    <t>F105-00046705</t>
  </si>
  <si>
    <t>Shipco</t>
  </si>
  <si>
    <t>EY0014</t>
  </si>
  <si>
    <t>Air</t>
  </si>
  <si>
    <t>CLEANING&amp;SAFETY-CLEANING BRUSH KIT FOR SUNDAE M/C-9PC/SET</t>
  </si>
  <si>
    <t>Set</t>
  </si>
  <si>
    <t>F105-00046688</t>
  </si>
  <si>
    <t>CLEANING&amp;SAFETY-VISOR HOLDER-PC</t>
  </si>
  <si>
    <t>CLEANING&amp;SAFETY-VISOR BRACKET-PC</t>
  </si>
  <si>
    <t>UTENSIL-LID FOR SAUCE PAN 1/6-PC</t>
  </si>
  <si>
    <t>UTENSIL-SPATULAMAYONNAISE HUZTLER(WHITE)-PC</t>
  </si>
  <si>
    <t>UTENSIL-FRY BASKET-PC</t>
  </si>
  <si>
    <t>UTENSIL-SPRAY VALVE-PC</t>
  </si>
  <si>
    <t xml:space="preserve"> 5 </t>
  </si>
  <si>
    <t>UTENSIL-CUTTER BOX SAFETY-PC</t>
  </si>
  <si>
    <t>UTENSIL-INSERT FISH CHICKEN 5 SLOT-PC</t>
  </si>
  <si>
    <t>UTENSIL-PLASTIC TONG UTILITY 12 INCH (RED)-PC</t>
  </si>
  <si>
    <t>UTENSIL-PLASTIC BOWL MC WATTAGE TEST-PC</t>
  </si>
  <si>
    <t>UTENSIL-PAN W/ SINGLE HANDLE ,AMBER (619453)-PC</t>
  </si>
  <si>
    <t>UTENSIL-PIE FRY BASKET S/S-PC</t>
  </si>
  <si>
    <t>UTENSIL-CONTAINER 3.5QT LID-PC</t>
  </si>
  <si>
    <t>SGB</t>
  </si>
  <si>
    <t>Sanneng</t>
  </si>
  <si>
    <t>UTENSIL-CROSS HATCH ALUMINIUM TRAY NON STICK</t>
  </si>
  <si>
    <t>2000 &gt; 2120</t>
  </si>
  <si>
    <t>PCS</t>
  </si>
  <si>
    <t xml:space="preserve">The ready date is 30 Dec, so the fastest ETD is around 4 Jan.  </t>
  </si>
  <si>
    <t xml:space="preserve"> F101-00103377
F101-00103376 freight
F101-00134298 รับเพิ่ม 120</t>
  </si>
  <si>
    <t>E251233</t>
  </si>
  <si>
    <t>JYDSH251234862F</t>
  </si>
  <si>
    <t xml:space="preserve">AGN INTERNATIONAL </t>
  </si>
  <si>
    <t>XIN AN V.60S</t>
  </si>
  <si>
    <t>Booking Mon 11-Aug-25</t>
  </si>
  <si>
    <t>Kagome Aus</t>
  </si>
  <si>
    <t> 1000033193</t>
  </si>
  <si>
    <t>TOMATO DICED-CASE</t>
  </si>
  <si>
    <t>960 &gt; 951</t>
  </si>
  <si>
    <t>Postpone to Jan 26 / ETD 16 Dec, ETA 5 Jan ok</t>
  </si>
  <si>
    <t xml:space="preserve">C102-00000986 </t>
  </si>
  <si>
    <t>FOIN-021573</t>
  </si>
  <si>
    <t>ส่ง PO แล้ว /เก็บไฟล์แล้ว</t>
  </si>
  <si>
    <t>MEL500656900</t>
  </si>
  <si>
    <t xml:space="preserve"> OOCL BRISBANE</t>
  </si>
  <si>
    <t>ส่งเคลม supplier แล้ว &gt; ได้รับ CN รอหัก &gt; หักแล้ว</t>
  </si>
  <si>
    <t>X</t>
  </si>
  <si>
    <t>C102-00001086</t>
  </si>
  <si>
    <t>FOIN-021577
FOIN-021578</t>
  </si>
  <si>
    <t>MEL500657100</t>
  </si>
  <si>
    <t>Wilmar</t>
  </si>
  <si>
    <t>SHORTENING-TNT-20KG/CASE</t>
  </si>
  <si>
    <t>F105-00060461</t>
  </si>
  <si>
    <t>GOSUSUB8102351</t>
  </si>
  <si>
    <t>Gold star</t>
  </si>
  <si>
    <t xml:space="preserve">INFERRO/14 </t>
  </si>
  <si>
    <t>F105-00060473</t>
  </si>
  <si>
    <t>GOSUSUB8102350</t>
  </si>
  <si>
    <t>VEG-TOMATO PASTE-3.15KG/BAG-6BAG/CASE</t>
  </si>
  <si>
    <r>
      <t xml:space="preserve">Postpone to Jan 26 / ETD 16 Dec, ETA 5 Jan ok
</t>
    </r>
    <r>
      <rPr>
        <sz val="8"/>
        <color rgb="FFFF0000"/>
        <rFont val="Calibri"/>
        <family val="2"/>
        <scheme val="minor"/>
      </rPr>
      <t>AUD4.34/kg to AUD4.08/kg</t>
    </r>
  </si>
  <si>
    <t>F101-00039390</t>
  </si>
  <si>
    <t>FOIN-021574
FOIN-021575
FOIN-021576</t>
  </si>
  <si>
    <t>MEL500659700</t>
  </si>
  <si>
    <t>MFGH</t>
  </si>
  <si>
    <t>F107-00028524</t>
  </si>
  <si>
    <t>GM251211</t>
  </si>
  <si>
    <t>AMJ0268615</t>
  </si>
  <si>
    <t>NAVIOS VERANO ( 0XWAGS1NC)
SHUN LONG ( 0QIMJS1NC)</t>
  </si>
  <si>
    <t xml:space="preserve">PO new order for ETA 1 Nov , 04-Aug-25 / (2X40RF), shipment will arrange with ETD : 18 Oct 2025 &amp; ETA 26 Oct 2025. </t>
  </si>
  <si>
    <t>Mission</t>
  </si>
  <si>
    <t>FLATBREAD-CRISPY THIN 12 INCH-60PC/CASE</t>
  </si>
  <si>
    <t>3978 &gt; 3971</t>
  </si>
  <si>
    <t>Brand postpone to Jan 26</t>
  </si>
  <si>
    <t>F101-00064151</t>
  </si>
  <si>
    <t>I470272032</t>
  </si>
  <si>
    <t>YML</t>
  </si>
  <si>
    <t>INFERRO-035N (ITS2552N)</t>
  </si>
  <si>
    <t>MYR</t>
  </si>
  <si>
    <t>ส่งขาด 7</t>
  </si>
  <si>
    <t>short ship ได้ CN รอหัก &gt; หักแล้ว</t>
  </si>
  <si>
    <t>postpone to Jan26.</t>
  </si>
  <si>
    <t>FLATBREAD-CRISPY THIN 9 INCH-60PC/CASE</t>
  </si>
  <si>
    <t>3200 &gt; 3205</t>
  </si>
  <si>
    <t>F101-00068691</t>
  </si>
  <si>
    <t>I470272033</t>
  </si>
  <si>
    <t>ส่งเกิน 5</t>
  </si>
  <si>
    <t>Send over ได้ CN รอหัก &gt; หักแล้ว</t>
  </si>
  <si>
    <t> 1000018434</t>
  </si>
  <si>
    <t>VEGETABLE SHORTENING (BONCHON)-20KG/CASE</t>
  </si>
  <si>
    <t>จบ contract เก่า</t>
  </si>
  <si>
    <t>C102-00003672</t>
  </si>
  <si>
    <t>GOSUSUB8102394</t>
  </si>
  <si>
    <t>BK-20251038/ BPA-BK00000233</t>
  </si>
  <si>
    <t>F105-00065519</t>
  </si>
  <si>
    <t>CP25599</t>
  </si>
  <si>
    <t>BNE500385900</t>
  </si>
  <si>
    <t>OOCL YOKOHAMA</t>
  </si>
  <si>
    <t>20RF</t>
  </si>
  <si>
    <t xml:space="preserve">BK-20251038  </t>
  </si>
  <si>
    <t>ให้ Nasa เคลมกับทางประกัน &gt; ประกันไม่รับ &gt; แจ้ง GSSC แล้ว</t>
  </si>
  <si>
    <t>DQ</t>
  </si>
  <si>
    <t>Wassernstrom</t>
  </si>
  <si>
    <t>PLASTIC BOTTLE F/ ARCTIC FLAVOR</t>
  </si>
  <si>
    <t>F103-00007037
F103-00007019 Air freight</t>
  </si>
  <si>
    <t>8880 9692 2841</t>
  </si>
  <si>
    <t>Fedex</t>
  </si>
  <si>
    <t>PLASTIC PUMP F/ ARCTIC FLAVOR</t>
  </si>
  <si>
    <t>Bonchon</t>
  </si>
  <si>
    <t>ORIGINAL SAUCE</t>
  </si>
  <si>
    <t>F107-00027806</t>
  </si>
  <si>
    <t>BC-20260105-TH</t>
  </si>
  <si>
    <t>NSEA2601007</t>
  </si>
  <si>
    <t>HNF</t>
  </si>
  <si>
    <t>SKY CHALLENGE 0SKAVS1NC</t>
  </si>
  <si>
    <t>SPICY SAUCE</t>
  </si>
  <si>
    <t>STAINLESS COLANDER SCOOP FOR FRIED CHICKEN LARGE</t>
  </si>
  <si>
    <t>F107-00029546</t>
  </si>
  <si>
    <t>BC-20260113-TH</t>
  </si>
  <si>
    <t>NSEA2601016</t>
  </si>
  <si>
    <t>KMTC NAGOYA 0SKAXS1NC</t>
  </si>
  <si>
    <t>STAINLESS COLANDER SCOOP FOR FRIED CHICKEN SMALL</t>
  </si>
  <si>
    <t>TONG 20 CM FOR CHICKEN</t>
  </si>
  <si>
    <t>A MIX-CAKE SC FLOUR (CTNX40PKTX205.6GM) 2* NEW</t>
  </si>
  <si>
    <t>1225-0125</t>
  </si>
  <si>
    <t>F401-00008091</t>
  </si>
  <si>
    <t>PO-DOS-TH-BT-1225-0125</t>
  </si>
  <si>
    <t>ELCH26010023</t>
  </si>
  <si>
    <t>DAPHNE</t>
  </si>
  <si>
    <t>A MIX-CAKE G FLOUR (CTNX13PKTX893GM) 1* NEW</t>
  </si>
  <si>
    <t>A MIX-CAKE J FLOUR (CTNX30PKTX370GM) 2* NEW</t>
  </si>
  <si>
    <t>A MIX-S FLOUR (CTNX16PKTX840GM) 3*F1462</t>
  </si>
  <si>
    <t>A MIX-T FLOUR (CTNX18PKTX795GM) 3*F1046</t>
  </si>
  <si>
    <t>PORK FLOSS</t>
  </si>
  <si>
    <t>SAMBAL CHICKEN FLOSS</t>
  </si>
  <si>
    <t>1000019495</t>
  </si>
  <si>
    <t>2 of 25</t>
  </si>
  <si>
    <t xml:space="preserve">F301-00003285 </t>
  </si>
  <si>
    <t>THGB2601D31</t>
  </si>
  <si>
    <t>142504188782</t>
  </si>
  <si>
    <t>EVER WEB 0336-020A</t>
  </si>
  <si>
    <t>MFCR (SZ)</t>
  </si>
  <si>
    <t>FRENCH FRIES-XLF 10MM SKIN OFF-2.5 KG/BAG-5BAG/CASE</t>
  </si>
  <si>
    <t>ส่งขาด 1 ตู้</t>
  </si>
  <si>
    <t>F106-00075557</t>
  </si>
  <si>
    <t xml:space="preserve">HF26/13411 </t>
  </si>
  <si>
    <t>GOSURQL6247111</t>
  </si>
  <si>
    <t>ZHONG GU SHEN YANG/11 (</t>
  </si>
  <si>
    <t>ส่งเคลม supplier แล้ว ได้ CN หักแล้ว</t>
  </si>
  <si>
    <t>Comfortly Food</t>
  </si>
  <si>
    <t>1000012613</t>
  </si>
  <si>
    <t>ONION RING-BREAD PREFORMED-908G/BAG</t>
  </si>
  <si>
    <t>F105-00057853</t>
  </si>
  <si>
    <t>25KFL1125</t>
  </si>
  <si>
    <t>Cosco</t>
  </si>
  <si>
    <t>XIN QING DAO / 250S</t>
  </si>
  <si>
    <t>Signature India</t>
  </si>
  <si>
    <t>FLATBREAD-TORTILLA 6"-30G/PC-12PC/PACK</t>
  </si>
  <si>
    <t>pack</t>
  </si>
  <si>
    <t xml:space="preserve">รอ PI </t>
  </si>
  <si>
    <t>F105-00061587</t>
  </si>
  <si>
    <t>EXP/SIGN/6138</t>
  </si>
  <si>
    <t>A32GX00597</t>
  </si>
  <si>
    <t>INTERASIA LINES</t>
  </si>
  <si>
    <t>CHARLOTTE SCHULTE</t>
  </si>
  <si>
    <t xml:space="preserve">รอ FC approve / Junior เอาเข้า 25 oct </t>
  </si>
  <si>
    <t>Snowvalley</t>
  </si>
  <si>
    <t>FRENCH FRIES-XLF 10MM SKIN OFFSV-12KG/CASE</t>
  </si>
  <si>
    <t>รอ FC approve / Junior เอาเข้า 25 oct 
1-Nov 
postpone to 1 Feb 2026</t>
  </si>
  <si>
    <t>F106-00073392</t>
  </si>
  <si>
    <t>CISV-MIN-25005</t>
  </si>
  <si>
    <t>XIN QING DAO</t>
  </si>
  <si>
    <t>UTENSIL-BRUSH BLUE WITH HOOK,NYLON-PC</t>
  </si>
  <si>
    <t>F107-00028513
F107-00028512 Inland</t>
  </si>
  <si>
    <t>235-89488324</t>
  </si>
  <si>
    <t>TK6048/ 29 &amp;TK6229 /31</t>
  </si>
  <si>
    <t>F101-00081828</t>
  </si>
  <si>
    <t>25MFHK09G</t>
  </si>
  <si>
    <t>YM CAPACITY  064S</t>
  </si>
  <si>
    <t>F101-00081833</t>
  </si>
  <si>
    <t>F101-00081834</t>
  </si>
  <si>
    <t>1000015487</t>
  </si>
  <si>
    <t>ราคาใหม่ต้องเป็น AME 77.9 , Swiss 96.32</t>
  </si>
  <si>
    <t>F105-00060476</t>
  </si>
  <si>
    <t>MAERSK MONTE LASCAR / KOTA LAMBANG / 606N</t>
  </si>
  <si>
    <t>1000001464</t>
  </si>
  <si>
    <t>F105-00060462</t>
  </si>
  <si>
    <t>F105-00061584</t>
  </si>
  <si>
    <t>GOSUSUB8102661</t>
  </si>
  <si>
    <t>YM INTERACTION 285W</t>
  </si>
  <si>
    <t>1000013182</t>
  </si>
  <si>
    <t>3978 &gt; 3954</t>
  </si>
  <si>
    <t>short 24 cs</t>
  </si>
  <si>
    <t>F101-00108390
F101-00108109 freight</t>
  </si>
  <si>
    <t>I470273030</t>
  </si>
  <si>
    <t>YM INTERACTION-285N (ITS2603N)</t>
  </si>
  <si>
    <t>ส่งขาด 24</t>
  </si>
  <si>
    <t>BK-20251039 / BPA-BK00000233</t>
  </si>
  <si>
    <t>F105-00065520</t>
  </si>
  <si>
    <t>CP25600</t>
  </si>
  <si>
    <t>BNE500401300</t>
  </si>
  <si>
    <t>KOTA LARIS / 095N</t>
  </si>
  <si>
    <t>BK-20251039</t>
  </si>
  <si>
    <t>F105-00038986</t>
  </si>
  <si>
    <t>HF26/13391</t>
  </si>
  <si>
    <t>MNBU3024822</t>
  </si>
  <si>
    <t>GSL CHRISTEN / 602E</t>
  </si>
  <si>
    <t xml:space="preserve">Tasty Bite </t>
  </si>
  <si>
    <t>VEG-FROZEN CRUNCHY JR PANEER PATTY 85G-180PC/CASE</t>
  </si>
  <si>
    <t>F105-00063098
F105-00063090 Freight</t>
  </si>
  <si>
    <t>E260780</t>
  </si>
  <si>
    <t>MUMG03634600</t>
  </si>
  <si>
    <t>ONE</t>
  </si>
  <si>
    <t>CARL SCHULTE 0008E</t>
  </si>
  <si>
    <t xml:space="preserve">Shanghai IEA Textiles </t>
  </si>
  <si>
    <t>UNIFORM-CREW POLO SHIRT GRAY UNISEX - M 2022-PC</t>
  </si>
  <si>
    <t>F105-00045386</t>
  </si>
  <si>
    <t>SD26CE1807011-26SD180259</t>
  </si>
  <si>
    <t>KMTC POHANG / 2601S</t>
  </si>
  <si>
    <t>Logwin</t>
  </si>
  <si>
    <t>UNIFORM-CREW POLO SHIRT GRAY UNISEX - 2XL 2022-PC</t>
  </si>
  <si>
    <t>UNIFORM-SS MANAGER SHIRT GRAY FEMALE - S 2022-PC</t>
  </si>
  <si>
    <t>UNIFORM-SS MANAGER SHIRT GRAY MALE - XL 2022-PC</t>
  </si>
  <si>
    <t>UNIFORM-SS MANAGER SHIRT GRAY FEMALE - L 2022-PC</t>
  </si>
  <si>
    <t>UNIFORM-SS MANAGER SHIRT GRAY FEMALE - M 2022-PC</t>
  </si>
  <si>
    <t>UNIFORM-SS MANAGER SHIRT GRAY FEMALE - XL 2022-PC</t>
  </si>
  <si>
    <t>UNIFORM-MALE MANAGER WHITE SHIRT S-PC</t>
  </si>
  <si>
    <t>UNIFORM-MALE MANAGER WHITE SHIRT M-PC</t>
  </si>
  <si>
    <t>UNIFORM-FEMALE MANAGER WHITE SHIRT S-PC</t>
  </si>
  <si>
    <t>UNIFORM-FEMALE MANAGER WHITE SHIRT L-PC</t>
  </si>
  <si>
    <t>UNIFORM-BBQ BROWN TRUCKER HAT - 2022-PC</t>
  </si>
  <si>
    <t>UNIFORM-MALE BROWN PANTS M-PC</t>
  </si>
  <si>
    <t>F105-00046047</t>
  </si>
  <si>
    <t>UNIFORM-MALE BROWN PANTS S-PC</t>
  </si>
  <si>
    <t>UNIFORM-MALE BROWN PANTS L-PC</t>
  </si>
  <si>
    <t>UNIFORM-FEMALE BROWN PANTS S-PC</t>
  </si>
  <si>
    <t>UNIFORM-FEMALE BROWN PANTS L-PC</t>
  </si>
  <si>
    <t>UNIFORM-WINTER JACKET BROWN - S 2022-PC</t>
  </si>
  <si>
    <t>UNIFORM-WINTER JACKET BROWN - M 2022-PC</t>
  </si>
  <si>
    <t>UNIFORM-WINTER JACKET BROWN - L 2022-PC</t>
  </si>
  <si>
    <t>UNIFORM-WINTER JACKET BROWN - XL 2022-PC</t>
  </si>
  <si>
    <t>UNIFORM-CREW POLO SHIRT GRAY UNISEX - XL 2022-PC</t>
  </si>
  <si>
    <t>UNIFORM-BK BLANK NAME TAG-PC</t>
  </si>
  <si>
    <t>UNIFORM-SS MANAGER SHIRT GRAY MALE - M 2022-PC</t>
  </si>
  <si>
    <t>UNIFORM-SS MANAGER SHIRT GRAY MALE - L 2022-PC</t>
  </si>
  <si>
    <t>UNIFORM-SS MANAGER SHIRT GRAY FEMALE - 2XL 2022-PC</t>
  </si>
  <si>
    <t>UNIFORM-BK TIE - 2022-PC</t>
  </si>
  <si>
    <t>UNIFORM-BK BELT M 2022-PC</t>
  </si>
  <si>
    <t>UNIFORM-BK BELT - XL 2022-PC</t>
  </si>
  <si>
    <t>BK-20251040 / BPA-BK00000233</t>
  </si>
  <si>
    <t>F105-00065521</t>
  </si>
  <si>
    <t>BNE500401400</t>
  </si>
  <si>
    <t>OOCL HOUSTON</t>
  </si>
  <si>
    <t>BK-20251040</t>
  </si>
  <si>
    <t>CP26004</t>
  </si>
  <si>
    <t>PO 1125-0145</t>
  </si>
  <si>
    <t>F401-00008045</t>
  </si>
  <si>
    <t>PO-DOS-TH-BT-1125-0145</t>
  </si>
  <si>
    <t>ELCH26020006</t>
  </si>
  <si>
    <t>PILCON</t>
  </si>
  <si>
    <t>KOTA LARIS</t>
  </si>
  <si>
    <t>For SSP</t>
  </si>
  <si>
    <t>F105-00073234</t>
  </si>
  <si>
    <t>CP26094</t>
  </si>
  <si>
    <t>SBNE9820451</t>
  </si>
  <si>
    <t>MPL</t>
  </si>
  <si>
    <t>JQ</t>
  </si>
  <si>
    <t>3 of 25</t>
  </si>
  <si>
    <t xml:space="preserve">  </t>
  </si>
  <si>
    <t>F301-00003286</t>
  </si>
  <si>
    <t>THGB2602D32</t>
  </si>
  <si>
    <t>HASLC01260100332</t>
  </si>
  <si>
    <t>SAWASDEE RIGEL</t>
  </si>
  <si>
    <t>C102-00003794</t>
  </si>
  <si>
    <t>XIN TAI CANG SEI1331W / XIN YANG PU TCX198E</t>
  </si>
  <si>
    <t>ส่งเคลม supplier แล้ว &gt; ได้รับ CN รอหัก</t>
  </si>
  <si>
    <t>UTENSIL-PAN 9" HARD ANODIZED-PC</t>
  </si>
  <si>
    <t>F101-00129092
F101-00129088 Freight</t>
  </si>
  <si>
    <t>E260120-1</t>
  </si>
  <si>
    <t>JYDSH260102438F</t>
  </si>
  <si>
    <t>UTENSIL-PAN 12" HARD ANODIZED-PC</t>
  </si>
  <si>
    <t>6400 &gt; 6409</t>
  </si>
  <si>
    <t>F101-00118811
F101-00117210 inland</t>
  </si>
  <si>
    <t>I470273525</t>
  </si>
  <si>
    <t>MARIA C-0090N (KCX2602N)</t>
  </si>
  <si>
    <t>send over ได้ CN รอหัก &gt; หักแล้ว</t>
  </si>
  <si>
    <t>F105-00060474
F105-00060460 inland+ doc</t>
  </si>
  <si>
    <t>OSO013564</t>
  </si>
  <si>
    <t>RF26M0300006801</t>
  </si>
  <si>
    <t>VEG-FROZEN VEGGIE PATTY 65G-240PC/CASE</t>
  </si>
  <si>
    <t>Delay ingredient , expect ETA 18 Feb</t>
  </si>
  <si>
    <t>F105-00062367</t>
  </si>
  <si>
    <t>E260827</t>
  </si>
  <si>
    <t>MUMG06974900</t>
  </si>
  <si>
    <t>ONE MOTIVATOR 0079E</t>
  </si>
  <si>
    <t>XIAMEN UKANG IMP &amp; EXP. CO., LTD,</t>
  </si>
  <si>
    <t>FRUIT-FROZEN STRAWBERRY-10KG/CASE</t>
  </si>
  <si>
    <t>C102-00003937</t>
  </si>
  <si>
    <t>529-26026</t>
  </si>
  <si>
    <t>OOCL AMERICA</t>
  </si>
  <si>
    <t>CLEANING&amp;SAFETY-LUBRICANT-TAYLOR 4 OZ. (RED)-PC</t>
  </si>
  <si>
    <t>F105-00050462</t>
  </si>
  <si>
    <t>TK6016</t>
  </si>
  <si>
    <t>AIR</t>
  </si>
  <si>
    <t>CLEANING&amp;SAFETY-COMBO MJ RED/E5 GREEN W/RED HANG ON-PC</t>
  </si>
  <si>
    <t>CLEANING&amp;SAFETY-APPLICATOR TUBE SLEEVE 14" RED/WHITE-PC</t>
  </si>
  <si>
    <t>CLEANING&amp;SAFETY-COLD SOAK BUCKET_BLACK 4.25GL-PC</t>
  </si>
  <si>
    <t>F105-00050466+ inland</t>
  </si>
  <si>
    <t>CLEANING&amp;SAFETY-THERMA PRENE (18")-PAIR</t>
  </si>
  <si>
    <t>Pair</t>
  </si>
  <si>
    <t>UTENSIL-SHORTENING TEST KIT,BUNGE-PC</t>
  </si>
  <si>
    <t>CLEANING&amp;SAFETY-GLOVE,CUT RESISTANT SIZE 8-PC</t>
  </si>
  <si>
    <t>UTENSIL-TEFLON SHEET,FOR ANTUNES VCT2000-10PC/BOX</t>
  </si>
  <si>
    <t>Box</t>
  </si>
  <si>
    <t>UTENSIL-LADLE,1 OZ S/S 155 MM HANDLE-PC</t>
  </si>
  <si>
    <t>ยื่น NSW -Stainless</t>
  </si>
  <si>
    <t>CLEANING&amp;SAFETY-18"THREE FINGER BROILER GLOVE,BK57181-PC</t>
  </si>
  <si>
    <t>ยื่น NSW   material: Nylon</t>
  </si>
  <si>
    <t>UTENSIL-PAN W/HANDLES,AMBER-PC</t>
  </si>
  <si>
    <t>ยื่น NSW</t>
  </si>
  <si>
    <t>BK-20251047 / BPA-BK00000233  มีสินค้าตัวอย่างมา 3.9 oz, 55 g</t>
  </si>
  <si>
    <t>F105-00065522</t>
  </si>
  <si>
    <t>CP26023</t>
  </si>
  <si>
    <t>BNE500423100</t>
  </si>
  <si>
    <t>KOTA LUMAYAN / 186N</t>
  </si>
  <si>
    <t>BK-20251047</t>
  </si>
  <si>
    <t>BK-20251043</t>
  </si>
  <si>
    <t xml:space="preserve"> F105-00071216</t>
  </si>
  <si>
    <t>CP26000</t>
  </si>
  <si>
    <t>BNE500400800</t>
  </si>
  <si>
    <t>OOCL BRISBANE / 246N</t>
  </si>
  <si>
    <t>BK-20251044</t>
  </si>
  <si>
    <t>F105-00071553</t>
  </si>
  <si>
    <t>CP26001</t>
  </si>
  <si>
    <t>BNE500400900</t>
  </si>
  <si>
    <t>OOCL YOKOHAMA / 208N</t>
  </si>
  <si>
    <t>รอ Jenny เฟิม
ETD 6 Feb, 18 Feb</t>
  </si>
  <si>
    <t>Hormel</t>
  </si>
  <si>
    <t>PEPPERONI-PORK SLICED-HORMEL- 2BAG/CASE</t>
  </si>
  <si>
    <t xml:space="preserve">F101-00093469 </t>
  </si>
  <si>
    <t>051263753</t>
  </si>
  <si>
    <t>BL</t>
  </si>
  <si>
    <t>CMA CGM ARCTIC</t>
  </si>
  <si>
    <t>F105-00063097
F105-00063092 inland, doc
F105-00078201 inland รับ 59.75</t>
  </si>
  <si>
    <t>OSO013561</t>
  </si>
  <si>
    <t>F105-00063097
F105-00063092 inland, doc</t>
  </si>
  <si>
    <t>RF26M0300009101</t>
  </si>
  <si>
    <t>PACKAGING-FRY BAG LARGE-6000PC/CASE</t>
  </si>
  <si>
    <t>300 &gt; 285</t>
  </si>
  <si>
    <t>PACKAGING-HIYW-WRAP BREAKFAST (PE)-2500PC/CASE</t>
  </si>
  <si>
    <t>4 of 25</t>
  </si>
  <si>
    <t>F301-00003287</t>
  </si>
  <si>
    <t>THGB2602D33</t>
  </si>
  <si>
    <t>I237085802</t>
  </si>
  <si>
    <t xml:space="preserve">YM CAPACITY-065S </t>
  </si>
  <si>
    <t>5 of 25  original ETA 23 Feb, Move to 16 Feb due to Chinese holiday</t>
  </si>
  <si>
    <t>F301-00003288</t>
  </si>
  <si>
    <t>THGB2602D34</t>
  </si>
  <si>
    <t>I237085807</t>
  </si>
  <si>
    <t>F107-00039230</t>
  </si>
  <si>
    <t>BC-20260209-TH</t>
  </si>
  <si>
    <t>041600006547</t>
  </si>
  <si>
    <t>KMTC PUSAN 2602S</t>
  </si>
  <si>
    <t>C102-00003793</t>
  </si>
  <si>
    <t>GOSUSUB8103070</t>
  </si>
  <si>
    <t>MTT SANDAKAN/70 (KM6)</t>
  </si>
  <si>
    <t>ส่งเคลม supplier แล้ว</t>
  </si>
  <si>
    <t>F105-00061583</t>
  </si>
  <si>
    <t>TH26011201</t>
  </si>
  <si>
    <t>XIN QING DAO NCT251S</t>
  </si>
  <si>
    <t>F105-00063095</t>
  </si>
  <si>
    <t>MAERSK RIO DELTA / 604N //REN JIAN 17 / 609N</t>
  </si>
  <si>
    <t xml:space="preserve">F105-00063091 </t>
  </si>
  <si>
    <t>Frosty boy</t>
  </si>
  <si>
    <t>SOFT SERVE-POWDER-FROSTY BOY-1.5KG/BAG</t>
  </si>
  <si>
    <t>F105-00072185</t>
  </si>
  <si>
    <t>081-61074031</t>
  </si>
  <si>
    <t>QANTAS</t>
  </si>
  <si>
    <t>JQ0065 BNE - BKK</t>
  </si>
  <si>
    <t>PT. Great Giant</t>
  </si>
  <si>
    <t>CANNED PINEAPPLE IN SYRUP</t>
  </si>
  <si>
    <t>C102-00003874</t>
  </si>
  <si>
    <t>BNDG00436800</t>
  </si>
  <si>
    <t>TMS GLORY S2612 (TSGC) / SINAR SIGLI 092N (SGST)</t>
  </si>
  <si>
    <t>ส่งเคลม supplier แล้ว รอ CN</t>
  </si>
  <si>
    <t xml:space="preserve">HF26/13669  </t>
  </si>
  <si>
    <t>100670003881</t>
  </si>
  <si>
    <t>EVER URBAN 222E</t>
  </si>
  <si>
    <t>V-serve</t>
  </si>
  <si>
    <t>Leprino</t>
  </si>
  <si>
    <t>CHEESE-STRING-LEPRINO-6.8KG/CASE-6.8KG/C</t>
  </si>
  <si>
    <t>10560 &gt; 2640</t>
  </si>
  <si>
    <t>4 containers &gt; ขาดส่ง 3 ตู้</t>
  </si>
  <si>
    <r>
      <rPr>
        <strike/>
        <sz val="8"/>
        <color theme="1"/>
        <rFont val="Calibri"/>
        <family val="2"/>
        <scheme val="minor"/>
      </rPr>
      <t>C102-00003673</t>
    </r>
    <r>
      <rPr>
        <sz val="8"/>
        <color theme="1"/>
        <rFont val="Calibri"/>
        <family val="2"/>
        <scheme val="minor"/>
      </rPr>
      <t xml:space="preserve">
C102-00003818</t>
    </r>
  </si>
  <si>
    <t>Container no. ONEU9039165</t>
  </si>
  <si>
    <t xml:space="preserve">HMM EMERALD 011W </t>
  </si>
  <si>
    <t> 1000037926</t>
  </si>
  <si>
    <t>C102-00004107</t>
  </si>
  <si>
    <t>MINOR-HN/001/2026</t>
  </si>
  <si>
    <t xml:space="preserve">XIN CHI WAN NCT095S </t>
  </si>
  <si>
    <t>SW</t>
  </si>
  <si>
    <t>Yantai Runheng</t>
  </si>
  <si>
    <t>FRUIT CAN-CHERRY MARACHINO SIZE L-2KG/BTL</t>
  </si>
  <si>
    <t>CASE(6BTL)</t>
  </si>
  <si>
    <t>F102-00022545</t>
  </si>
  <si>
    <t>RHSW251016-1</t>
  </si>
  <si>
    <t>XMS26011387</t>
  </si>
  <si>
    <t>XIN QING DAO 251S</t>
  </si>
  <si>
    <t>F101-00107161</t>
  </si>
  <si>
    <t>051267386</t>
  </si>
  <si>
    <t>SZLU9587930</t>
  </si>
  <si>
    <t>MSC</t>
  </si>
  <si>
    <t xml:space="preserve">
MSC MARTINA MARIA FV605S</t>
  </si>
  <si>
    <t>B ไม่ต้องทำ ตอนนี้ได้เอกสารตัวจริงแล้ว</t>
  </si>
  <si>
    <t>-</t>
  </si>
  <si>
    <t>Kagome USA</t>
  </si>
  <si>
    <t>F101-00108391</t>
  </si>
  <si>
    <t>SI019755</t>
  </si>
  <si>
    <t>EVER FOREVER / 1203W+  MILLENNIUM BRIGHT RBC2 091S</t>
  </si>
  <si>
    <t>F101-00108392</t>
  </si>
  <si>
    <t>SI019849</t>
  </si>
  <si>
    <t>EVER LEGACY / 1204W</t>
  </si>
  <si>
    <t>Vessel already arrived</t>
  </si>
  <si>
    <t>5,300.00USD / 1 MT</t>
  </si>
  <si>
    <t>C102-00004205</t>
  </si>
  <si>
    <t>MAERSK RIO BRAVO / 606N // ALS KRONOS / 611N</t>
  </si>
  <si>
    <t>10560 &gt; 7920</t>
  </si>
  <si>
    <t>เหลือส่ง 3 ตู้</t>
  </si>
  <si>
    <r>
      <rPr>
        <strike/>
        <sz val="8"/>
        <color rgb="FF000000"/>
        <rFont val="Calibri"/>
        <family val="2"/>
        <scheme val="minor"/>
      </rPr>
      <t xml:space="preserve">C102-00003673
</t>
    </r>
    <r>
      <rPr>
        <sz val="8"/>
        <color rgb="FF000000"/>
        <rFont val="Calibri"/>
        <family val="2"/>
        <scheme val="minor"/>
      </rPr>
      <t>C102-00003818</t>
    </r>
  </si>
  <si>
    <t>91481381
91481382
91481924</t>
  </si>
  <si>
    <t>RICG10547800</t>
  </si>
  <si>
    <t>ONE HANNOVER 099W (OHNT) / ONE CYGNUS 023E (ONYT)</t>
  </si>
  <si>
    <t>ส่งเคลม supplier แล้ว &gt; ได้รับ CN + หักแล้ว</t>
  </si>
  <si>
    <t>Chinese NY , brand confirm option 2- ETA 10 Mar</t>
  </si>
  <si>
    <t xml:space="preserve">F105-00057854 </t>
  </si>
  <si>
    <t>25KFL1217</t>
  </si>
  <si>
    <t>XIN NAN SHA</t>
  </si>
  <si>
    <t>BK-20251045- Move up shipment, vessel delay</t>
  </si>
  <si>
    <t>F105-00071217</t>
  </si>
  <si>
    <t>CP26002</t>
  </si>
  <si>
    <t>BNE500401000</t>
  </si>
  <si>
    <t>OOCL YOKOHAMA VYOK0208N</t>
  </si>
  <si>
    <t>BK-20251045</t>
  </si>
  <si>
    <t>short ship ส่งเมลถาม supplier อยู่</t>
  </si>
  <si>
    <t xml:space="preserve">BK-20251046 </t>
  </si>
  <si>
    <t xml:space="preserve">F105-00074907 </t>
  </si>
  <si>
    <t>CP26003</t>
  </si>
  <si>
    <t>BNE500401100</t>
  </si>
  <si>
    <t>รอ Jenny เฟิม
ETD 15 Feb, ETA 27 Feb &gt; เลื่อไม่ได้</t>
  </si>
  <si>
    <t>BK-20251046</t>
  </si>
  <si>
    <t>1000011836.0</t>
  </si>
  <si>
    <t>BK-20251048</t>
  </si>
  <si>
    <t>F105-00075307</t>
  </si>
  <si>
    <t>CP26024</t>
  </si>
  <si>
    <t>BNE500423200</t>
  </si>
  <si>
    <t>KOTA LUMAYAN / 187N</t>
  </si>
  <si>
    <t>1000022205.0</t>
  </si>
  <si>
    <t>1000036622.0</t>
  </si>
  <si>
    <t>BK-20251049</t>
  </si>
  <si>
    <t xml:space="preserve">F105-00075308 </t>
  </si>
  <si>
    <t>CP26025</t>
  </si>
  <si>
    <t>BNE500423300</t>
  </si>
  <si>
    <t>OOCL YOKOHAMA / 209N</t>
  </si>
  <si>
    <t xml:space="preserve">รอ Jenny เฟิม
ETD 8 Mar, ETA 23 Mar </t>
  </si>
  <si>
    <t xml:space="preserve">F105-00063096 </t>
  </si>
  <si>
    <t>MAERSK RIO ALFA / 605N // ARGOLIKOS / 610N</t>
  </si>
  <si>
    <t>F105-00063093</t>
  </si>
  <si>
    <t>SYR</t>
  </si>
  <si>
    <t>CLEANING&amp;SAFETY-SCRATOR BRUSH BLACK-PC</t>
  </si>
  <si>
    <t>F105-00071215
F105-00078740 :Freight เพิ่ม 30</t>
  </si>
  <si>
    <t>G1030ZG26014</t>
  </si>
  <si>
    <t>NGBCB26003054H</t>
  </si>
  <si>
    <t>Freight link</t>
  </si>
  <si>
    <t>CUL YANGPU V.2605S</t>
  </si>
  <si>
    <t>CLEANING&amp;SAFETY-CHANGER SYRTEX L24 RED-PC</t>
  </si>
  <si>
    <t>F105-00071215</t>
  </si>
  <si>
    <t>CLEANING&amp;SAFETY-BRUSH-RED PURPOSE UTILITY SCRUB-PC</t>
  </si>
  <si>
    <t>CLEANING&amp;SAFETY-CHANGER SYRTEX L24 BLUE-PC</t>
  </si>
  <si>
    <t>CLEANING&amp;SAFETY-ANGEL BLOOM BLUE-PC</t>
  </si>
  <si>
    <t>CLEANING&amp;SAFETY-DISP.FLOOR SQUEEGEE 23.6"-PC</t>
  </si>
  <si>
    <t>CLEANING&amp;SAFETY-TOILET BRUSH-YELLOW-PC</t>
  </si>
  <si>
    <t>F105-00070580</t>
  </si>
  <si>
    <t>CLEANING&amp;SAFETY-SUPER T-BAR 14"INTERCHANGE FITTING-PC</t>
  </si>
  <si>
    <t>Short lead time , expect to receive May</t>
  </si>
  <si>
    <t>F105-00071554
F105-00070597 inland</t>
  </si>
  <si>
    <t>ONE HAWK / 034W</t>
  </si>
  <si>
    <t>UTENSIL-LID FOR PATTY-PC</t>
  </si>
  <si>
    <t>20 &gt; 24</t>
  </si>
  <si>
    <t>UTENSIL-TONG 9 BLUE-PC</t>
  </si>
  <si>
    <t>E-scope หมดอายุ Oct 26</t>
  </si>
  <si>
    <t>UTENSIL-BRUSH PARTY BLUE WITH HOOK,NYLON-PC</t>
  </si>
  <si>
    <t>UTENSIL-SKIMMER-PC</t>
  </si>
  <si>
    <t>UTENSIL-TRAY BEEF COOKOUT FOR NIECO MPB94-PC</t>
  </si>
  <si>
    <t>E-scope หมดอายุ 18 Feb 26</t>
  </si>
  <si>
    <t>BK-20251050</t>
  </si>
  <si>
    <t xml:space="preserve">F105-00074908 </t>
  </si>
  <si>
    <t>CP26047</t>
  </si>
  <si>
    <t>BNE600002400</t>
  </si>
  <si>
    <t>KOTA LUMAYAN</t>
  </si>
  <si>
    <t>comgroup ไม่ต้องทำ supplier ส่งคุณแวนตรง</t>
  </si>
  <si>
    <t xml:space="preserve">BK-20251051  </t>
  </si>
  <si>
    <t>F105-00075309</t>
  </si>
  <si>
    <t>CP26063</t>
  </si>
  <si>
    <t>BNE600007700</t>
  </si>
  <si>
    <t>BK-20251051</t>
  </si>
  <si>
    <t>BK-20251052/ BPA-BK00000299</t>
  </si>
  <si>
    <t>F105-00082841</t>
  </si>
  <si>
    <t>CP26048</t>
  </si>
  <si>
    <t>BNE600006000</t>
  </si>
  <si>
    <t>BK-20251052</t>
  </si>
  <si>
    <t>BK-20251053 / BPA-BK00000299</t>
  </si>
  <si>
    <t>F105-00082836</t>
  </si>
  <si>
    <t>CP26049</t>
  </si>
  <si>
    <t>BNE600006100</t>
  </si>
  <si>
    <t>BK-20251053</t>
  </si>
  <si>
    <t>F105-00067085</t>
  </si>
  <si>
    <t>SSLSULCHCAD0673</t>
  </si>
  <si>
    <t>Samudera</t>
  </si>
  <si>
    <t>HIGHWAY</t>
  </si>
  <si>
    <t>Already add Nasa in email</t>
  </si>
  <si>
    <t>Waiting</t>
  </si>
  <si>
    <t>240 &gt; 253</t>
  </si>
  <si>
    <t>F105-00068578
F105-00089353 13 cases</t>
  </si>
  <si>
    <t>E260933</t>
  </si>
  <si>
    <t>MUMG27861700</t>
  </si>
  <si>
    <t>CHARLOTTE SCHULTE 0129E</t>
  </si>
  <si>
    <t>300 &gt; 287</t>
  </si>
  <si>
    <t>F105-00068575 + Freight</t>
  </si>
  <si>
    <t xml:space="preserve">E260949 </t>
  </si>
  <si>
    <t>Already add Nasa in email - 0</t>
  </si>
  <si>
    <t xml:space="preserve">Waiting </t>
  </si>
  <si>
    <t>F105-00067084</t>
  </si>
  <si>
    <t>TH26012201</t>
  </si>
  <si>
    <t>XIN CHI WAN 096S</t>
  </si>
  <si>
    <t>F105-00067091
F105-00067086 inland, doc
F105-00078201 inland รับ 104.02</t>
  </si>
  <si>
    <t>OSO013695</t>
  </si>
  <si>
    <t>RF26M0300013601</t>
  </si>
  <si>
    <t>F105-00067091
F105-00067086 inland, doc</t>
  </si>
  <si>
    <t>F105-00071552</t>
  </si>
  <si>
    <t xml:space="preserve"> (MAERSK RIO NEGRO / 609N) /  (BREMEN BELLE / 614W)</t>
  </si>
  <si>
    <t>F105-00071551</t>
  </si>
  <si>
    <t>K.Van ตามเอกสารแล้ว บีไม่ต้องทำ</t>
  </si>
  <si>
    <t>F105-00072713</t>
  </si>
  <si>
    <t>ZIMUSYD000038359</t>
  </si>
  <si>
    <t>ZIM</t>
  </si>
  <si>
    <t>NAVIOS INDIGO/32/N</t>
  </si>
  <si>
    <t>Waiting for QA approval of the product lot.</t>
  </si>
  <si>
    <t>F105-00073233</t>
  </si>
  <si>
    <t>26KFL0205</t>
  </si>
  <si>
    <t xml:space="preserve">XIN QING DAO </t>
  </si>
  <si>
    <t>F105-00073231</t>
  </si>
  <si>
    <t>E270024</t>
  </si>
  <si>
    <t>MUMG37916900</t>
  </si>
  <si>
    <t>DELPHINUS C 0110E</t>
  </si>
  <si>
    <t>Waiting cargo ready date from supplier</t>
  </si>
  <si>
    <t>รอแก้ inv</t>
  </si>
  <si>
    <t>F105-00073230</t>
  </si>
  <si>
    <t>HF26/14213</t>
  </si>
  <si>
    <t>MNBU3450113</t>
  </si>
  <si>
    <t>GSL GRANIA / 614E , HERTA / 616W</t>
  </si>
  <si>
    <t>F105-00073232</t>
  </si>
  <si>
    <t>WAN HANG HENG YUAN / OOCL YOKOHAMA</t>
  </si>
  <si>
    <t xml:space="preserve"> 1125-0146 Loading on 02 – 4 Mar 2026</t>
  </si>
  <si>
    <t xml:space="preserve">F401-00008624  </t>
  </si>
  <si>
    <t>PO-DOS-TH-BT-1125-0146</t>
  </si>
  <si>
    <t>ELCH26030007</t>
  </si>
  <si>
    <t>KOTA LARIS V.096N</t>
  </si>
  <si>
    <t>PO1125-0147 Loading on 09 –11 Mar 2026</t>
  </si>
  <si>
    <t>F401-00008622</t>
  </si>
  <si>
    <t>PO-DOS-TH-BT-1125-0147</t>
  </si>
  <si>
    <t>ELCH26030008</t>
  </si>
  <si>
    <t>OOCL HOUSTON V.215N</t>
  </si>
  <si>
    <r>
      <rPr>
        <sz val="8"/>
        <color rgb="FF000000"/>
        <rFont val="Calibri"/>
        <family val="2"/>
        <scheme val="minor"/>
      </rPr>
      <t>B ไม่ต้องทำ Breadtalk จะส่งให้แนนเอง -</t>
    </r>
    <r>
      <rPr>
        <sz val="8"/>
        <color rgb="FFFF0000"/>
        <rFont val="Calibri"/>
        <family val="2"/>
        <scheme val="minor"/>
      </rPr>
      <t xml:space="preserve"> ไม่มี tracking no. </t>
    </r>
  </si>
  <si>
    <t xml:space="preserve">PO1125-0148  Loading on 30 Mar –01 Apr 2026. </t>
  </si>
  <si>
    <t>F401-00008623</t>
  </si>
  <si>
    <t>PO-DOS-TH-BT-1125-0148</t>
  </si>
  <si>
    <t>ELCH26040015A</t>
  </si>
  <si>
    <t>OOCL YOKOHAMA V.209N</t>
  </si>
  <si>
    <t>3000 &gt; 3024</t>
  </si>
  <si>
    <t>รอ PI</t>
  </si>
  <si>
    <t>F103-00006670
F103-00006668 inland</t>
  </si>
  <si>
    <t>ONE MILLAU / 045W</t>
  </si>
  <si>
    <t>B ไม่ต้องทำ ได้เอกสารตัวจริงแล้ว</t>
  </si>
  <si>
    <t>F103-00007452
F103-00007443 inland</t>
  </si>
  <si>
    <t>ยังไม่ถึงเวลาเปิด</t>
  </si>
  <si>
    <t>Nan เช็คเอกสารแล้ว บีไม่ต้องทำ</t>
  </si>
  <si>
    <t>รอ update ราคา /combine 2 orders Mar + urgent order</t>
  </si>
  <si>
    <t>F103-00007715
F103-00007700 freight</t>
  </si>
  <si>
    <t>RDO ENDEAVOUR / 076E</t>
  </si>
  <si>
    <t>6 of 25 original 2 Mar , postpone to 12 Mar - Chinese NY</t>
  </si>
  <si>
    <t>F301-00003546</t>
  </si>
  <si>
    <t>THGB2603D35</t>
  </si>
  <si>
    <t>ASHLC670812041</t>
  </si>
  <si>
    <t>Asean sea line</t>
  </si>
  <si>
    <t>POS BANGKOK</t>
  </si>
  <si>
    <t>7 of 25original 9 Mar , postpone to 12 Mar - Chenese NY</t>
  </si>
  <si>
    <t>F301-00003547</t>
  </si>
  <si>
    <t>THGB2603D36</t>
  </si>
  <si>
    <t>ASHLC670812042</t>
  </si>
  <si>
    <t>8 of 25</t>
  </si>
  <si>
    <t>F301-00003548</t>
  </si>
  <si>
    <t>THGB2603D37</t>
  </si>
  <si>
    <t>142600543946</t>
  </si>
  <si>
    <t xml:space="preserve">EVER WEB 0344-022A </t>
  </si>
  <si>
    <t>รอเอกสาร Linfox + 64 รอกล่องเปล่ามา repack</t>
  </si>
  <si>
    <t>9 of 25</t>
  </si>
  <si>
    <t>F301-00003787</t>
  </si>
  <si>
    <t>THGB2603D38</t>
  </si>
  <si>
    <t>TSTSH2526321</t>
  </si>
  <si>
    <t>Percheron</t>
  </si>
  <si>
    <t>YM CREDENTAL</t>
  </si>
  <si>
    <t>10 of 25</t>
  </si>
  <si>
    <t>F301-00003788</t>
  </si>
  <si>
    <t>THGB2604D39</t>
  </si>
  <si>
    <t>TSTSH2528055</t>
  </si>
  <si>
    <t>Tracking ไม่ได้</t>
  </si>
  <si>
    <t>11 of 25</t>
  </si>
  <si>
    <t>F301-00003789</t>
  </si>
  <si>
    <t>THGB2604D40</t>
  </si>
  <si>
    <t>TSTSH2535403</t>
  </si>
  <si>
    <t>GSL AFRICA</t>
  </si>
  <si>
    <t>damage 1 case
15 cases ไม่เสียถึงเนื้อใน รอเปลี่ยนกล่อง</t>
  </si>
  <si>
    <t>12 of 25 มีโหลดกล่องเปล่า 65 ใบมาด้วย</t>
  </si>
  <si>
    <t>F301-00003959</t>
  </si>
  <si>
    <t>THGB2605D41</t>
  </si>
  <si>
    <t>TSTSH2577729</t>
  </si>
  <si>
    <t xml:space="preserve">UNITEX </t>
  </si>
  <si>
    <t>GSL AFRICA/983S</t>
  </si>
  <si>
    <t>13 of 25</t>
  </si>
  <si>
    <t xml:space="preserve">F301-00003961 </t>
  </si>
  <si>
    <t>THGB2605D42</t>
  </si>
  <si>
    <t>14 of 25</t>
  </si>
  <si>
    <t>F301-00004462</t>
  </si>
  <si>
    <t>15 of 25</t>
  </si>
  <si>
    <t>F301-00004463</t>
  </si>
  <si>
    <t>16 of 25</t>
  </si>
  <si>
    <t>F301-00005164</t>
  </si>
  <si>
    <t>17 of 25</t>
  </si>
  <si>
    <t>F301-00005163</t>
  </si>
  <si>
    <t>18 of 25</t>
  </si>
  <si>
    <t>F301-00005162</t>
  </si>
  <si>
    <t>19 of 25</t>
  </si>
  <si>
    <t>20 of 25</t>
  </si>
  <si>
    <t>21 of 25</t>
  </si>
  <si>
    <t>22 of 25</t>
  </si>
  <si>
    <t>23 of 25</t>
  </si>
  <si>
    <t>24 of 25</t>
  </si>
  <si>
    <t>25 of 25</t>
  </si>
  <si>
    <t>No email</t>
  </si>
  <si>
    <t>Mccain</t>
  </si>
  <si>
    <t> 1000012226</t>
  </si>
  <si>
    <t>MASHED POTATO PUREE-3KG/BAG</t>
  </si>
  <si>
    <t>รอ FC appove แล้วค่อยสั่ง</t>
  </si>
  <si>
    <t xml:space="preserve">F106-00106114 </t>
  </si>
  <si>
    <t>213B1986369</t>
  </si>
  <si>
    <t xml:space="preserve">
MSC AAYA QB606E / MSC AAYA QB606E</t>
  </si>
  <si>
    <t>F107-00029545</t>
  </si>
  <si>
    <t>GM251216</t>
  </si>
  <si>
    <t>XIN CHI WAN NCT095S</t>
  </si>
  <si>
    <t>F107-00039885</t>
  </si>
  <si>
    <t>BC-20260309-TH</t>
  </si>
  <si>
    <t>Container: BEAU4140311</t>
  </si>
  <si>
    <t>CNC</t>
  </si>
  <si>
    <t>HAIAN EAST ( 0CG6ON1NC)</t>
  </si>
  <si>
    <t>Postpone to Apr25</t>
  </si>
  <si>
    <t>F101-00081830</t>
  </si>
  <si>
    <t>26MFHK01G</t>
  </si>
  <si>
    <t>WAN HAI 333 26023S</t>
  </si>
  <si>
    <t>F101-00081832</t>
  </si>
  <si>
    <t>Cancel shipment</t>
  </si>
  <si>
    <t>Elpozo</t>
  </si>
  <si>
    <t>PEPPERONI-PORK SLICED-ELPOZO-2KG/BAG-5BAG/CASE</t>
  </si>
  <si>
    <t>800&gt; 832</t>
  </si>
  <si>
    <t>Postpone shpment to ETA Jul</t>
  </si>
  <si>
    <t>F101-00111189</t>
  </si>
  <si>
    <t>EUR</t>
  </si>
  <si>
    <t>3000 &gt;1500 &gt; 1533</t>
  </si>
  <si>
    <t>F101-00117261</t>
  </si>
  <si>
    <t xml:space="preserve"> CMA CGM ARGENTINA</t>
  </si>
  <si>
    <t>1500 &gt; 1468</t>
  </si>
  <si>
    <t>F101-00123955</t>
  </si>
  <si>
    <t>051103691</t>
  </si>
  <si>
    <t xml:space="preserve"> CMA CGM LEO </t>
  </si>
  <si>
    <t>short ship ตาม CN อยู่</t>
  </si>
  <si>
    <t>Already add Nasa in email.</t>
  </si>
  <si>
    <t>Waiting BKG</t>
  </si>
  <si>
    <t>Postpone to ETA Aug &gt; Move back to Jul</t>
  </si>
  <si>
    <t>F101-00123956</t>
  </si>
  <si>
    <t>3978 &gt; 3970</t>
  </si>
  <si>
    <t>F101-00127112
F101-00127088 local charge</t>
  </si>
  <si>
    <t>I470275202</t>
  </si>
  <si>
    <t xml:space="preserve">YM COOPERATION-055N </t>
  </si>
  <si>
    <t>1989 &gt; 1991</t>
  </si>
  <si>
    <t>ส่งเกิน 2 cs</t>
  </si>
  <si>
    <t>F101-00127113
F101-00127089 local charge</t>
  </si>
  <si>
    <t>I470275198</t>
  </si>
  <si>
    <t xml:space="preserve">AS PATRIA-2602N </t>
  </si>
  <si>
    <t>F101-00127114
F101-00127087 local charge</t>
  </si>
  <si>
    <t xml:space="preserve">Mueloliva </t>
  </si>
  <si>
    <t>OIL-EXTRA VIRGIN OLIVE-5L/BTL</t>
  </si>
  <si>
    <t>bottle</t>
  </si>
  <si>
    <t xml:space="preserve">production date of this order is Feb 13. ETD will be around 25 </t>
  </si>
  <si>
    <t>C102-00003600</t>
  </si>
  <si>
    <t>ALGG00319700</t>
  </si>
  <si>
    <t>ONE INFINITY 008E (ITYT) /ONE MISSION 0086E</t>
  </si>
  <si>
    <t>OIL-OLIVE POMACE-5L/BTL</t>
  </si>
  <si>
    <t>C102-00003875</t>
  </si>
  <si>
    <t>BNDG00870300</t>
  </si>
  <si>
    <t>TMS GLORY S2626 / NATTHA BHUM 054N</t>
  </si>
  <si>
    <t>C102-00003876</t>
  </si>
  <si>
    <t>BNDG01061300</t>
  </si>
  <si>
    <t>TMS GLORY S2630</t>
  </si>
  <si>
    <t>C102-00004307</t>
  </si>
  <si>
    <t>C102-00004308</t>
  </si>
  <si>
    <t xml:space="preserve">Waiting  - ETA August </t>
  </si>
  <si>
    <t>C102-00005124</t>
  </si>
  <si>
    <t>รอราคา</t>
  </si>
  <si>
    <t xml:space="preserve">C102-00003934 </t>
  </si>
  <si>
    <t>FOIN-022219</t>
  </si>
  <si>
    <t>Container no: CSNU2362210</t>
  </si>
  <si>
    <t xml:space="preserve">KOTA LUMAYAN </t>
  </si>
  <si>
    <t>ส่งเคลม supplier แล้ว &gt; ได้รับ CN แล้ว</t>
  </si>
  <si>
    <t>C102-00003936</t>
  </si>
  <si>
    <t>FOIN-022518</t>
  </si>
  <si>
    <t>รอ damage report</t>
  </si>
  <si>
    <t>C102-00003935</t>
  </si>
  <si>
    <t>BPA-MSCS00000174  FOB price 1.65/ kgs</t>
  </si>
  <si>
    <t>C102-00005059</t>
  </si>
  <si>
    <t>960+960</t>
  </si>
  <si>
    <t>ต้องเปิด PO เพิ่มอีก 1</t>
  </si>
  <si>
    <t>C102-00005123</t>
  </si>
  <si>
    <t>รอลูกตาลเฟิม</t>
  </si>
  <si>
    <t>C102-00004032</t>
  </si>
  <si>
    <t>91492587
91492588
91492589
91492946</t>
  </si>
  <si>
    <t>404640169669</t>
  </si>
  <si>
    <t xml:space="preserve"> EVER MAGNA 1440-003W</t>
  </si>
  <si>
    <t>VEG-FROZEN BROCCOLI-1KG/BAG-10BAG/CASE</t>
  </si>
  <si>
    <t>Case10</t>
  </si>
  <si>
    <t>Price 10.4  รอผล lab  ออก แล้วค่อย book  book ETD 7 Mar เป็นต้นไป</t>
  </si>
  <si>
    <t>C102-00004104</t>
  </si>
  <si>
    <t>529-26041</t>
  </si>
  <si>
    <t>1900+50</t>
  </si>
  <si>
    <t xml:space="preserve">Price 10.4 / samples of asparagus </t>
  </si>
  <si>
    <t>C102-00004105</t>
  </si>
  <si>
    <t>529-26112</t>
  </si>
  <si>
    <t>XIN CHI WAN</t>
  </si>
  <si>
    <t>*</t>
  </si>
  <si>
    <t>3800+100</t>
  </si>
  <si>
    <t>Price 10.4  / cargo ready date 10 mar</t>
  </si>
  <si>
    <t>C102-00004106
C102-00004963</t>
  </si>
  <si>
    <t>Price 10.4</t>
  </si>
  <si>
    <t>C102-00004713</t>
  </si>
  <si>
    <t>C102-00004944</t>
  </si>
  <si>
    <t xml:space="preserve">Shandong Litian </t>
  </si>
  <si>
    <t>VEG-FROZEN MIX BEANS-1KG/BAG-10BAG/CASE</t>
  </si>
  <si>
    <t>scheduled for shipment in early March &gt; 11 Mar</t>
  </si>
  <si>
    <r>
      <rPr>
        <strike/>
        <sz val="8"/>
        <color rgb="FF000000"/>
        <rFont val="Calibri"/>
        <family val="2"/>
        <scheme val="minor"/>
      </rPr>
      <t xml:space="preserve">C102-00004108
</t>
    </r>
    <r>
      <rPr>
        <sz val="8"/>
        <color rgb="FF000000"/>
        <rFont val="Calibri"/>
        <family val="2"/>
        <scheme val="minor"/>
      </rPr>
      <t>C102-00004175</t>
    </r>
  </si>
  <si>
    <t>LTSI2601</t>
  </si>
  <si>
    <t>POBUTAO260280971</t>
  </si>
  <si>
    <t>PAN OCEAN</t>
  </si>
  <si>
    <t>ASL QINGDAO 2603</t>
  </si>
  <si>
    <r>
      <rPr>
        <strike/>
        <sz val="8"/>
        <color theme="1"/>
        <rFont val="Calibri"/>
        <family val="2"/>
        <scheme val="minor"/>
      </rPr>
      <t>C102-00004108</t>
    </r>
    <r>
      <rPr>
        <sz val="8"/>
        <color theme="1"/>
        <rFont val="Calibri"/>
        <family val="2"/>
        <charset val="222"/>
        <scheme val="minor"/>
      </rPr>
      <t xml:space="preserve">
C102-00004175</t>
    </r>
  </si>
  <si>
    <t>VEG-IQF EDAMAME-1KG/BAG</t>
  </si>
  <si>
    <t>VEG-IQF GREEN PEAS-1KG/BAG</t>
  </si>
  <si>
    <t>VEG-FROZEN JAPANESE PUMPKIN-1KG/BAG</t>
  </si>
  <si>
    <t>bag</t>
  </si>
  <si>
    <t>6000 + 6000</t>
  </si>
  <si>
    <t>5595 &gt;6714</t>
  </si>
  <si>
    <t>C102-00004122
C102-00004221</t>
  </si>
  <si>
    <t>SSLSULCHCAD0616</t>
  </si>
  <si>
    <t>HIGHWAY 366N</t>
  </si>
  <si>
    <t>28 Mar, 30 Mar</t>
  </si>
  <si>
    <t>Tradex</t>
  </si>
  <si>
    <t>FRUIT CAN-CHERRY MARACHINO SIZE L-4.25KG/BTL-4BTL/CASE</t>
  </si>
  <si>
    <t>880 &gt; 802</t>
  </si>
  <si>
    <t>Case4</t>
  </si>
  <si>
    <t>ready on 9th February.</t>
  </si>
  <si>
    <t>F102-00019557</t>
  </si>
  <si>
    <t>0025214-IN</t>
  </si>
  <si>
    <t>EVER WISH 0343-012B</t>
  </si>
  <si>
    <t>18 + 2</t>
  </si>
  <si>
    <t>18 short ship ส่งเมลหา supplier แล้ว &gt; ได้รับ CN
CRP-816217 มีเคลมประกัน 2 case รอเปลี่ยนกล่องอีก 23 cs</t>
  </si>
  <si>
    <t>1000032643</t>
  </si>
  <si>
    <t>, JF estimated to get it done by end of this month or early of next month. (Mar)</t>
  </si>
  <si>
    <t>F102-00019558</t>
  </si>
  <si>
    <t>0025348-IN</t>
  </si>
  <si>
    <t>404640209318</t>
  </si>
  <si>
    <t xml:space="preserve">EVER EAGLE 0017-194W </t>
  </si>
  <si>
    <t>For 3rd and 4th shipment, please inspect in March with ETA April.
พี่รี่ขอเลื่อนเป็น ETA 4 May &gt; inspec เสร็จ 4 May</t>
  </si>
  <si>
    <t xml:space="preserve">F102-00022546 </t>
  </si>
  <si>
    <t>RH2603</t>
  </si>
  <si>
    <t>XMS26041112</t>
  </si>
  <si>
    <t>IRENES RALLY V.0010S</t>
  </si>
  <si>
    <t xml:space="preserve">DHL: 1468678606 </t>
  </si>
  <si>
    <t>Brand postpone shipment</t>
  </si>
  <si>
    <t>ทำจ่ายอีก 70% 15 May</t>
  </si>
  <si>
    <t>For 3rd and 4th shipment, please inspect in March with ETA April.
พี่รี่ขอเลื่อนเป็น ETA 4 May</t>
  </si>
  <si>
    <t xml:space="preserve">F102-00022547 </t>
  </si>
  <si>
    <t>For 5th and 6th shipment, please inspect in May with ETA June. 
พี่รี่ขอเลื่อนเป็น 4 Sep</t>
  </si>
  <si>
    <t>F102-00022548</t>
  </si>
  <si>
    <t>Brand postpone to ETA Sep</t>
  </si>
  <si>
    <t>ทำจ่าย 100%</t>
  </si>
  <si>
    <t>F102-00022549</t>
  </si>
  <si>
    <t>Yantai Yunheng</t>
  </si>
  <si>
    <t>CHERRY MARACHINO-L (2KG)</t>
  </si>
  <si>
    <t>00026001</t>
  </si>
  <si>
    <t>TA6PW2176700</t>
  </si>
  <si>
    <t>MARINA ONE V.0047S</t>
  </si>
  <si>
    <t>ส่งเคลมกับทางประกันแล้ว</t>
  </si>
  <si>
    <t>Zhejiang Times</t>
  </si>
  <si>
    <t>PACKAGING-FOIL BOX FOR LASAGNA-250PC/PACK</t>
  </si>
  <si>
    <t>CASE</t>
  </si>
  <si>
    <t>cargo ready date of this shipment will be 15 Nov &gt; postpone to Mar 2025</t>
  </si>
  <si>
    <t>F101-00058935</t>
  </si>
  <si>
    <t>25BY0107</t>
  </si>
  <si>
    <t>Brand would like to cancel the order; however, the supplier is unable to cancel and hold shipment.</t>
  </si>
  <si>
    <t>Postpone to ETA 1 Apr</t>
  </si>
  <si>
    <t xml:space="preserve">F101-00118806 </t>
  </si>
  <si>
    <t>TPC251216</t>
  </si>
  <si>
    <t>WAN HAI 517</t>
  </si>
  <si>
    <t>ONION RING-BREAD PREFORMED 908G/BAG-8BAG/CASE</t>
  </si>
  <si>
    <t>1015 + 1015</t>
  </si>
  <si>
    <t>Supplier delay shipment</t>
  </si>
  <si>
    <t xml:space="preserve">F101-00127119 
F101-00153222 </t>
  </si>
  <si>
    <t>26KFL0309</t>
  </si>
  <si>
    <t>https://p15lax.webtracker.wisegrid.net/Shipments/ShipmentDetails.aspx?Ref=2380224f-3ab6-4f8b-97ed-7a824997adc0</t>
  </si>
  <si>
    <t>SAUCE-TOMATO BLEND-3.025KG/BAG-6BAG/CASE</t>
  </si>
  <si>
    <t>F101-00127841</t>
  </si>
  <si>
    <t>SSELAX00118886THLCH</t>
  </si>
  <si>
    <t>Primary freight</t>
  </si>
  <si>
    <t>CMA CGM CALLISTO / 1TUGXW1MA</t>
  </si>
  <si>
    <t>Waiting QA green light to ship out.</t>
  </si>
  <si>
    <t>Austral</t>
  </si>
  <si>
    <t>CHEESE-EDAM DICED-500G/BAG-12BAG/CASE</t>
  </si>
  <si>
    <t>F101-00132584</t>
  </si>
  <si>
    <t>The supplier has delayed the shipment due to waiting for imported ingredients.</t>
  </si>
  <si>
    <t>CHEESE-GOUDA DICED-500G/BAG-12BAG/CASE</t>
  </si>
  <si>
    <t>Intop ( HK)</t>
  </si>
  <si>
    <t>Non catalog</t>
  </si>
  <si>
    <t>DDP Pan 10''</t>
  </si>
  <si>
    <t>ได้ e-scope แล้ว</t>
  </si>
  <si>
    <t>F101-00137503</t>
  </si>
  <si>
    <t>HD-260312-21</t>
  </si>
  <si>
    <t>180 5589 0752</t>
  </si>
  <si>
    <t>KE657</t>
  </si>
  <si>
    <t>already add Nasa in email</t>
  </si>
  <si>
    <t>Pcs</t>
  </si>
  <si>
    <t xml:space="preserve">F105-00080354 </t>
  </si>
  <si>
    <t>G1030ZG26032</t>
  </si>
  <si>
    <t>NGBCB26013873B</t>
  </si>
  <si>
    <t>FREIGHT LINKS</t>
  </si>
  <si>
    <t>KHUNA BHUM V.079S</t>
  </si>
  <si>
    <t>CLEANING&amp;SAFETY-ANGEL BROOM-RED-PC</t>
  </si>
  <si>
    <t>CLEANING&amp;SAFETY-BRUSH-BLUE PURPOSE UTILITY SCRUB-PC</t>
  </si>
  <si>
    <t>CLEANING&amp;SAFETY-HANG ON BUCKET W/SANITIZER LABLE-BLUE-PC</t>
  </si>
  <si>
    <t>CLEANING&amp;SAFETY-COMBO MJ BLUE/E5 YELLOW W/BLUE HANG ON-PC</t>
  </si>
  <si>
    <t>CLEANING&amp;SAFETY-CAUTION SIGN 21"-PC</t>
  </si>
  <si>
    <t>CLEANING&amp;SAFETY-RN 12" BLITZER CHANNEL&amp;RUBBER-PC</t>
  </si>
  <si>
    <t>CLEANING&amp;SAFETY-INTERCHANGE HANDLE 48" ALUM BLACK-PC</t>
  </si>
  <si>
    <t>CLEANING&amp;SAFETY-LOBBY DUSTPAN WITH HANDLE-PC</t>
  </si>
  <si>
    <t xml:space="preserve">already add Nasa in email / tracking ไม่ได้ </t>
  </si>
  <si>
    <t>รอ PI / FC เฟิม</t>
  </si>
  <si>
    <t>F101-00146865</t>
  </si>
  <si>
    <t>E260426</t>
  </si>
  <si>
    <t>JYDSH260410497F</t>
  </si>
  <si>
    <t>LITTLE WARRIOR V. 036S</t>
  </si>
  <si>
    <t>BK-20251054</t>
  </si>
  <si>
    <t>F105-00083281</t>
  </si>
  <si>
    <t>CP26103</t>
  </si>
  <si>
    <t>BNE600040100</t>
  </si>
  <si>
    <t>BK-20251055  / BPA-BK00000299</t>
  </si>
  <si>
    <t>don't sent</t>
  </si>
  <si>
    <t xml:space="preserve">F105-00087966 </t>
  </si>
  <si>
    <t>CP26104</t>
  </si>
  <si>
    <t>BNE600040200</t>
  </si>
  <si>
    <t>BK-20251055</t>
  </si>
  <si>
    <t>BK-20251056  light load  / BPA-BK00000299</t>
  </si>
  <si>
    <t xml:space="preserve">F105-00087967 </t>
  </si>
  <si>
    <t>CP26105</t>
  </si>
  <si>
    <t>BNE600040300</t>
  </si>
  <si>
    <t>BK-20251056</t>
  </si>
  <si>
    <t>F105-00073995</t>
  </si>
  <si>
    <t>1989&gt; 1992</t>
  </si>
  <si>
    <t>ส่งเกิน 3 cs</t>
  </si>
  <si>
    <t>F101-00139629
F101-00139614 inland</t>
  </si>
  <si>
    <t>I470278367</t>
  </si>
  <si>
    <t xml:space="preserve">Shipco / YML </t>
  </si>
  <si>
    <t>YM INTERACTION V.289N</t>
  </si>
  <si>
    <t>Brand move up to ETA May , wait supplier confirm
cargo ready date will be 16 May 2026.</t>
  </si>
  <si>
    <t>F101-00139638
F101-00139611 inland</t>
  </si>
  <si>
    <t>Petikemas</t>
  </si>
  <si>
    <t>3200 &gt; 3225</t>
  </si>
  <si>
    <t>ส่งเกิน 25 cs</t>
  </si>
  <si>
    <t>F101-00139640
F101-00139610 inland</t>
  </si>
  <si>
    <t>Cancel</t>
  </si>
  <si>
    <t>MFCR</t>
  </si>
  <si>
    <t>Black bag</t>
  </si>
  <si>
    <t>COFFEE BEAN-TCC 3 STORIES BLEND-1KG/BAG-8BAG/CASE</t>
  </si>
  <si>
    <t>COFFEE BEAN-TCC DECAF-500G/BAG</t>
  </si>
  <si>
    <t>bags</t>
  </si>
  <si>
    <t>C102-00004204</t>
  </si>
  <si>
    <t>Anping</t>
  </si>
  <si>
    <t>UTENSIL-MEASURING SPOON 1/2TSP-2.5ML-5PC/SET - TPC</t>
  </si>
  <si>
    <t>SET(5PCS)</t>
  </si>
  <si>
    <t>Ship out 3 Mar</t>
  </si>
  <si>
    <t>F101-00139998</t>
  </si>
  <si>
    <t>YD26-CH-018</t>
  </si>
  <si>
    <t>1Z36471A0412995865</t>
  </si>
  <si>
    <t>UPS</t>
  </si>
  <si>
    <t>BK-20251057 / BPA-BK00000299 &gt; Brand accept delay due to supplier cant produce in time</t>
  </si>
  <si>
    <t>F105-00082838</t>
  </si>
  <si>
    <t>CP26142</t>
  </si>
  <si>
    <t>BNE600040000</t>
  </si>
  <si>
    <t>BK-20251057</t>
  </si>
  <si>
    <t>MEASURING SPOON 1TSP-5ML</t>
  </si>
  <si>
    <t>MEASURING SPOON 1/4TSP-1.25ML</t>
  </si>
  <si>
    <t>2323641650 (BKG show Australia to 	
Jakarta, Indonesia)</t>
  </si>
  <si>
    <t>Top cut</t>
  </si>
  <si>
    <t>BEEF-AUS STRIPLOIN STEAK-250G/PC-16PC/CASE</t>
  </si>
  <si>
    <t>cases</t>
  </si>
  <si>
    <t xml:space="preserve">we are aiming for ETD around first week of May. </t>
  </si>
  <si>
    <t>F106-00112954</t>
  </si>
  <si>
    <t>BNE600126300</t>
  </si>
  <si>
    <t>Brand is placing orders with a short lead time,  waiting for the cargo ready date from the supplier.</t>
  </si>
  <si>
    <t>advance 70%</t>
  </si>
  <si>
    <t>BEEF-CUBE ROLL STEAK-250G/PC-16PC/CASE</t>
  </si>
  <si>
    <t>Files foods</t>
  </si>
  <si>
    <t>UTENSIL-DAY DOT DISPENSER 51MM-PC</t>
  </si>
  <si>
    <t>F101-00140019</t>
  </si>
  <si>
    <t>OE1147528</t>
  </si>
  <si>
    <t xml:space="preserve">EY119760964AU </t>
  </si>
  <si>
    <t>EMS</t>
  </si>
  <si>
    <t>Mid America</t>
  </si>
  <si>
    <t>PREMIUM-GROGU &amp; MANDALORIAN W/JET PACK-200PCS/CASE</t>
  </si>
  <si>
    <t>BPA-BK00000263</t>
  </si>
  <si>
    <t>F105-00074693</t>
  </si>
  <si>
    <t>MG2026-057A</t>
  </si>
  <si>
    <t>STARSHIP NEPTUNE</t>
  </si>
  <si>
    <t>PREMIUM-STORMTROOPER &amp; AT-RT DRIVER-200PCS/CASE</t>
  </si>
  <si>
    <t>MG2026-057B</t>
  </si>
  <si>
    <t>PREMIUM-ZEB ORRELIOS &amp; RAZOR CREST-200PCS/CASE</t>
  </si>
  <si>
    <t>MG2026-057C</t>
  </si>
  <si>
    <t>PREMIUM-MANDALORIAN &amp; GROGU IN PRAM-200PCS/CASE</t>
  </si>
  <si>
    <t>MG2026-057D</t>
  </si>
  <si>
    <t>F105-00075645</t>
  </si>
  <si>
    <t>(MAERSK RIO INDIA / 614N) /  (BREMEN BELLE / 619N)</t>
  </si>
  <si>
    <t>F105-00075632</t>
  </si>
  <si>
    <t>F105-00075646</t>
  </si>
  <si>
    <t xml:space="preserve"> (MAERSK RIO NEGRO / 616N) / ALS KRONOS / 621W)</t>
  </si>
  <si>
    <t>F105-00075633</t>
  </si>
  <si>
    <t>BK-20251058 / BPA-BK00000299</t>
  </si>
  <si>
    <t>F105-00082835</t>
  </si>
  <si>
    <t>CP26165</t>
  </si>
  <si>
    <t>BNE600036400</t>
  </si>
  <si>
    <t>BK-20251058</t>
  </si>
  <si>
    <t>already add Nasa in email/  B  ไม่ได้รับ Email + Tracking ไม่ได้ ต้องใช้ phone number</t>
  </si>
  <si>
    <t>UTENSIL-HEAT PIN (HARD ANODIZED)-PC</t>
  </si>
  <si>
    <t>รอ PI / ทำ e-scope แล้ว  &gt; ของพร้อม 23 Mar</t>
  </si>
  <si>
    <t>F101-00146539</t>
  </si>
  <si>
    <t>E260328</t>
  </si>
  <si>
    <t>SF0289312049412</t>
  </si>
  <si>
    <t>SF</t>
  </si>
  <si>
    <t xml:space="preserve">tracking ไม่ได้ </t>
  </si>
  <si>
    <t>V-Star</t>
  </si>
  <si>
    <t>BPA-BK00000257</t>
  </si>
  <si>
    <r>
      <rPr>
        <strike/>
        <sz val="8"/>
        <color rgb="FFE26B0A"/>
        <rFont val="Calibri"/>
        <family val="2"/>
        <scheme val="minor"/>
      </rPr>
      <t xml:space="preserve">F105-00077628
</t>
    </r>
    <r>
      <rPr>
        <sz val="8"/>
        <color rgb="FFE26B0A"/>
        <rFont val="Calibri"/>
        <family val="2"/>
        <scheme val="minor"/>
      </rPr>
      <t>F105-00082839</t>
    </r>
  </si>
  <si>
    <t>VS26149</t>
  </si>
  <si>
    <t>NSBKK26S84790</t>
  </si>
  <si>
    <t>HEDE (HONGKONG) INTERNATIONAL SHIPPING LIMITED</t>
  </si>
  <si>
    <t>A GORYU 2609S</t>
  </si>
  <si>
    <r>
      <rPr>
        <strike/>
        <sz val="8"/>
        <color theme="9" tint="-0.249977111117893"/>
        <rFont val="Calibri"/>
        <family val="2"/>
        <scheme val="minor"/>
      </rPr>
      <t>F105-00077628</t>
    </r>
    <r>
      <rPr>
        <sz val="8"/>
        <color theme="9" tint="-0.249977111117893"/>
        <rFont val="Calibri"/>
        <family val="2"/>
        <charset val="222"/>
        <scheme val="minor"/>
      </rPr>
      <t xml:space="preserve">
F105-00082839</t>
    </r>
  </si>
  <si>
    <t>324 &gt; 576</t>
  </si>
  <si>
    <t>288 &gt; 372</t>
  </si>
  <si>
    <t>PACKAGING-WRAP-ANGUS XT &amp; TRUFFLE (BROWN KRAFT PE)-2500PC/CASE</t>
  </si>
  <si>
    <t>64&gt; 72</t>
  </si>
  <si>
    <t>304&gt; 315</t>
  </si>
  <si>
    <t>48&gt; 56</t>
  </si>
  <si>
    <t>192&gt; 224</t>
  </si>
  <si>
    <t>EG CAN-CHAMPIGNON MUSHROOM-DW1.93KG/CAN</t>
  </si>
  <si>
    <t>1/7</t>
  </si>
  <si>
    <t>C102-00004747</t>
  </si>
  <si>
    <t>26MSCS01M</t>
  </si>
  <si>
    <t>XMTHLCH26040001</t>
  </si>
  <si>
    <t>H &amp; FRIENDS</t>
  </si>
  <si>
    <t>YM CAPACITY/067S</t>
  </si>
  <si>
    <t>2/7</t>
  </si>
  <si>
    <t>C102-00004745</t>
  </si>
  <si>
    <t>26MSCS02M</t>
  </si>
  <si>
    <t>3/7</t>
  </si>
  <si>
    <t>C102-00004746</t>
  </si>
  <si>
    <t>26MSCS03M</t>
  </si>
  <si>
    <t>4/7</t>
  </si>
  <si>
    <t>5/7</t>
  </si>
  <si>
    <t>6/7</t>
  </si>
  <si>
    <t>7/7</t>
  </si>
  <si>
    <t>Supplier can catch ETA 1st week of May</t>
  </si>
  <si>
    <t>F106-00120305</t>
  </si>
  <si>
    <t>HF27/11084</t>
  </si>
  <si>
    <t>100670018403</t>
  </si>
  <si>
    <t>DP WORLD JEBEL ALI 010E</t>
  </si>
  <si>
    <t>Brand is placing orders with a short lead time, and  waiting for the cargo ready date from the supplier.</t>
  </si>
  <si>
    <t>Brand postpone to ETA 26 Jun
New price 12.50</t>
  </si>
  <si>
    <t>F106-00120306</t>
  </si>
  <si>
    <t>HFEX26SO/1203860</t>
  </si>
  <si>
    <t>Brand postpone shipment to ETA 26 Jun</t>
  </si>
  <si>
    <t>Brand postpone to ETA 27 Jul
New price 12.50</t>
  </si>
  <si>
    <t>F106-00120307</t>
  </si>
  <si>
    <t>HFEX26SO/1203861</t>
  </si>
  <si>
    <t xml:space="preserve">F101-00146925 </t>
  </si>
  <si>
    <t>Brand move up to ETA Jun , wait supplier confirm &gt; Confirm
cargo ready date will be 16 May 2026</t>
  </si>
  <si>
    <t>F101-00148926</t>
  </si>
  <si>
    <t>P' NAN</t>
  </si>
  <si>
    <t>F107-00047170</t>
  </si>
  <si>
    <t>GM260305</t>
  </si>
  <si>
    <t>F107-00048113</t>
  </si>
  <si>
    <t>GM260309</t>
  </si>
  <si>
    <t>WAN HAI 509</t>
  </si>
  <si>
    <t>HEC</t>
  </si>
  <si>
    <t>FOOD PAN 1/1 DEEP 6 INCH-PIECE</t>
  </si>
  <si>
    <t>C102-00005086</t>
  </si>
  <si>
    <t>202604081006</t>
  </si>
  <si>
    <t>STARSHIP NEPTUNE 2605W</t>
  </si>
  <si>
    <t>FOOD PAN 1/1 DEEP 4 INCH-PIECE</t>
  </si>
  <si>
    <t>S2600150536</t>
  </si>
  <si>
    <t>FOOD PAN LID W/HANDLE 1/2-PIECE</t>
  </si>
  <si>
    <t>C102-00005090</t>
  </si>
  <si>
    <t>FOOD PAN 1/2 DEEP 6 INCH-PIECE</t>
  </si>
  <si>
    <t>FOOD PAN 1/3 DEEP 4 INCH-PIECE</t>
  </si>
  <si>
    <t>FOOD PAN LID W/HANDLE 1/3-PIECE</t>
  </si>
  <si>
    <t>FOOD PAN 1/2 DRAINER-PIECE</t>
  </si>
  <si>
    <t>FOOD PAN 1/3 DRAINER-PIECE</t>
  </si>
  <si>
    <t>FOOD PAN 1/6 DEEP 4 INCH-PIECE</t>
  </si>
  <si>
    <t>FOOD PAN 1/6 DEEP 6 INCH-PIECE</t>
  </si>
  <si>
    <t>FOOD PAN 1/3 DEEP 6 INCH-PIECE</t>
  </si>
  <si>
    <t xml:space="preserve">Middle May </t>
  </si>
  <si>
    <t>CLEANING&amp;SAFETY-INTERCHANGE BROOM HANDLE,36",BLUE-PC</t>
  </si>
  <si>
    <t xml:space="preserve">                30 </t>
  </si>
  <si>
    <t>F105-00084899</t>
  </si>
  <si>
    <t>CLEANING&amp;SAFETY-INTERCHANGE BROOM HANDLE,36",RED-PC</t>
  </si>
  <si>
    <t xml:space="preserve">                10 </t>
  </si>
  <si>
    <t>CLEANING&amp;SAFETY-PHU BRUSH W/HANDLE-PC</t>
  </si>
  <si>
    <t xml:space="preserve">                  5 </t>
  </si>
  <si>
    <t>CLEANING&amp;SAFETY-HAND BRUSH (WHITE)-PC</t>
  </si>
  <si>
    <t>CLEANING&amp;SAFETY-BURGER KING ZONE KIT RED-SET</t>
  </si>
  <si>
    <t xml:space="preserve">                   5 </t>
  </si>
  <si>
    <t xml:space="preserve">                50 </t>
  </si>
  <si>
    <t xml:space="preserve">                40 </t>
  </si>
  <si>
    <t xml:space="preserve">                45 </t>
  </si>
  <si>
    <t>CLEANING&amp;SAFETY-ANGEL BROOM GREEN BRISTLES-PC</t>
  </si>
  <si>
    <t xml:space="preserve">                15 </t>
  </si>
  <si>
    <t>CLEANING&amp;SAFETY-RN SWIVEL HANDLE WITH INTERCHANGE INSERT-PC</t>
  </si>
  <si>
    <t>CLEANING&amp;SAFETY-BRUSH &amp; MOP HANDLE WITH SWIVEL GRIP54"-PC</t>
  </si>
  <si>
    <t xml:space="preserve">                20 </t>
  </si>
  <si>
    <t>F105-00080610</t>
  </si>
  <si>
    <t>I430246390</t>
  </si>
  <si>
    <t xml:space="preserve">YM INTERACTION-289W </t>
  </si>
  <si>
    <t>F105-00080609</t>
  </si>
  <si>
    <t>I430246681</t>
  </si>
  <si>
    <t>INFERRO-040W</t>
  </si>
  <si>
    <t>Middle June</t>
  </si>
  <si>
    <t>F105-00080602</t>
  </si>
  <si>
    <t>F105-00080608</t>
  </si>
  <si>
    <t>F105-00080603</t>
  </si>
  <si>
    <t>F105-00080606</t>
  </si>
  <si>
    <t>F105-00080607</t>
  </si>
  <si>
    <t>F105-00086110</t>
  </si>
  <si>
    <t>New price 18 USD</t>
  </si>
  <si>
    <t>F105-00080605</t>
  </si>
  <si>
    <t>HFEX26SO/1203862</t>
  </si>
  <si>
    <t>F105-00080604</t>
  </si>
  <si>
    <t>HFEX26SO/1203863</t>
  </si>
  <si>
    <t>F105-00090831</t>
  </si>
  <si>
    <t>Done</t>
  </si>
  <si>
    <t>UTENSIL-DOUGH PERFORATOR-ROLLER-PC</t>
  </si>
  <si>
    <t>มี e-scope แล้ว</t>
  </si>
  <si>
    <t>F101-00149594</t>
  </si>
  <si>
    <t>HD-260312-21 = 40 pcs 
HD-260312-22 = 32 pcs</t>
  </si>
  <si>
    <t>BK-20251059</t>
  </si>
  <si>
    <t>CP26186</t>
  </si>
  <si>
    <t>BNE600123400</t>
  </si>
  <si>
    <t>OOCL BRISBANE</t>
  </si>
  <si>
    <t>BK-20251060</t>
  </si>
  <si>
    <t>CP26187</t>
  </si>
  <si>
    <t>BNE600096800</t>
  </si>
  <si>
    <t>BK-20251061</t>
  </si>
  <si>
    <t>CP26238</t>
  </si>
  <si>
    <t>WAITING BKG CNF</t>
  </si>
  <si>
    <t>F106-00121676</t>
  </si>
  <si>
    <t>IN2571463</t>
  </si>
  <si>
    <t>081-61736500</t>
  </si>
  <si>
    <t>JQ0029</t>
  </si>
  <si>
    <t>WATING CNF PACKAGE</t>
  </si>
  <si>
    <t xml:space="preserve">F105-00082280 </t>
  </si>
  <si>
    <t>CLEANING&amp;SAFETY-BRUSH FOR TOMATO SLICER-PC</t>
  </si>
  <si>
    <t>CLEANING&amp;SAFETY-GROUT BRUSH-RED-PC</t>
  </si>
  <si>
    <t>CLEANING&amp;SAFETY-GROUT GRABBER BRUSH BLUE-PC</t>
  </si>
  <si>
    <t>UTENSIL-READY PANS FOR PATTY-PC</t>
  </si>
  <si>
    <t>Plastic</t>
  </si>
  <si>
    <t>UTENSIL-SPATULA SLOTTED AMBER-PC</t>
  </si>
  <si>
    <t>S/S</t>
  </si>
  <si>
    <t>UTENSIL-KNIFE,10"SCALLOPED W/B1.POLY HANDLE-PC</t>
  </si>
  <si>
    <t>UTENSIL-BLADES SET F/TOMATO SABER 1/4"-PC</t>
  </si>
  <si>
    <t>UTENSIL-CUTTING BOARD 6X9 W/NON-SKID FEET-PC</t>
  </si>
  <si>
    <t>UTENSIL-BELT,SILICONE WRAP,BLACK FOR ANTUNES-PC</t>
  </si>
  <si>
    <t>UTENSIL-F/F SCOOP,DUAL HANDLE-PC</t>
  </si>
  <si>
    <t>UTENSIL-CHICKEN CUTTER W/DISPOSAL BLADE-PC</t>
  </si>
  <si>
    <t>UTENSIL-GRATE S/S 1/3 PHU-PC</t>
  </si>
  <si>
    <t>S/S แผ่นกั้นทำด้วยแสตนเลส</t>
  </si>
  <si>
    <t>OSO013695 (2)</t>
  </si>
  <si>
    <t>RF26M0300015301</t>
  </si>
  <si>
    <t>120 &gt; 93</t>
  </si>
  <si>
    <t>don't send PO</t>
  </si>
  <si>
    <t>C102-00004758</t>
  </si>
  <si>
    <t>(MAERSK RIO DELTA / 611N) / (HERTA / 616W)</t>
  </si>
  <si>
    <t>P'NAN</t>
  </si>
  <si>
    <t>F107-00050463</t>
  </si>
  <si>
    <t>BC-20260415-TH</t>
  </si>
  <si>
    <t>NSEA2604037</t>
  </si>
  <si>
    <t>KMTC TOKYO 2605S</t>
  </si>
  <si>
    <t>C102-00004748</t>
  </si>
  <si>
    <t xml:space="preserve">GOSUSUB8105181 </t>
  </si>
  <si>
    <t>Gold Star</t>
  </si>
  <si>
    <t>MTT SANDAKAN - 74W</t>
  </si>
  <si>
    <t>C102-00004759</t>
  </si>
  <si>
    <t>The supplier is currently awaiting customs inspection procedures and related policies.</t>
  </si>
  <si>
    <t>Bag</t>
  </si>
  <si>
    <t>C102-00004760</t>
  </si>
  <si>
    <t>ของพร้อม 16 Apr</t>
  </si>
  <si>
    <t>F101-00153554</t>
  </si>
  <si>
    <t>E260415</t>
  </si>
  <si>
    <t>SF0217030271717</t>
  </si>
  <si>
    <t>NAN Incharge</t>
  </si>
  <si>
    <t>PO 0226-0141</t>
  </si>
  <si>
    <r>
      <rPr>
        <strike/>
        <sz val="8"/>
        <color rgb="FFE26B0A"/>
        <rFont val="Calibri"/>
        <family val="2"/>
        <scheme val="minor"/>
      </rPr>
      <t xml:space="preserve">F401-00009622
</t>
    </r>
    <r>
      <rPr>
        <sz val="8"/>
        <color rgb="FFE26B0A"/>
        <rFont val="Calibri"/>
        <family val="2"/>
        <scheme val="minor"/>
      </rPr>
      <t>F401-00010159</t>
    </r>
  </si>
  <si>
    <t>PO-DOS-TH-BT-0226-0141</t>
  </si>
  <si>
    <t>ELCH26040009</t>
  </si>
  <si>
    <t>MARIA C V.0092N</t>
  </si>
  <si>
    <r>
      <rPr>
        <strike/>
        <sz val="8"/>
        <color theme="9" tint="-0.249977111117893"/>
        <rFont val="Calibri"/>
        <family val="2"/>
        <scheme val="minor"/>
      </rPr>
      <t>F401-00009622</t>
    </r>
    <r>
      <rPr>
        <sz val="8"/>
        <color theme="9" tint="-0.249977111117893"/>
        <rFont val="Calibri"/>
        <family val="2"/>
        <charset val="222"/>
        <scheme val="minor"/>
      </rPr>
      <t xml:space="preserve">
F401-00010159</t>
    </r>
  </si>
  <si>
    <t>A MIX-EGG CREAM (CTNX40PKTX205GM) 1*F1145</t>
  </si>
  <si>
    <t>160&gt; 136</t>
  </si>
  <si>
    <t>165&gt; 141</t>
  </si>
  <si>
    <t>F105-00082834</t>
  </si>
  <si>
    <t>PACKAGING-HIYW MUTI PURPOSE-900PC/CASE</t>
  </si>
  <si>
    <t>PACKAGING-  DOUBLE/SINGLE (WAX)-1000PC/PACK</t>
  </si>
  <si>
    <t>PACKAGING-HIYW-TG/TC-1000PC/PACK</t>
  </si>
  <si>
    <t>UTENSIL-CUTTING BOARD 18X18-PC</t>
  </si>
  <si>
    <t>Cargo ready 15 May</t>
  </si>
  <si>
    <t>F101-00156161</t>
  </si>
  <si>
    <t>Cargo ready date 15 May</t>
  </si>
  <si>
    <t>F105-00084898</t>
  </si>
  <si>
    <t xml:space="preserve">                35 </t>
  </si>
  <si>
    <t xml:space="preserve">              160 </t>
  </si>
  <si>
    <t xml:space="preserve">              200 </t>
  </si>
  <si>
    <t>CLEANING&amp;SAFETY-HANG ON BUCKET W/SANITIZER LABLE-RED-PC</t>
  </si>
  <si>
    <t xml:space="preserve">              102 </t>
  </si>
  <si>
    <t xml:space="preserve">              200 </t>
  </si>
  <si>
    <t xml:space="preserve">              170 </t>
  </si>
  <si>
    <t xml:space="preserve">                25 </t>
  </si>
  <si>
    <t xml:space="preserve">                12 </t>
  </si>
  <si>
    <t xml:space="preserve">                   1 </t>
  </si>
  <si>
    <t xml:space="preserve">              100 </t>
  </si>
  <si>
    <t xml:space="preserve">                33 </t>
  </si>
  <si>
    <t>1/10</t>
  </si>
  <si>
    <t>F101-00158118</t>
  </si>
  <si>
    <t>26MFHK02G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</si>
  <si>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</si>
  <si>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</si>
  <si>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</si>
  <si>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</si>
  <si>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</si>
  <si>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</si>
  <si>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</si>
  <si>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</si>
  <si>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</si>
  <si>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บีไม่ต้องทำ</t>
  </si>
  <si>
    <t>PREMIUM-DAFFY DUCK / LOLA BUNNY-200PCS/CASE</t>
  </si>
  <si>
    <t>BPA-BK00000306</t>
  </si>
  <si>
    <t>F105-00083558</t>
  </si>
  <si>
    <t>LT2026-057A</t>
  </si>
  <si>
    <t>BKK0408</t>
  </si>
  <si>
    <t>PREMIUM-ROAD RUNNER / TASMANIAN DEVIL-200PCS/CASE</t>
  </si>
  <si>
    <t>LT2026-057B</t>
  </si>
  <si>
    <t>PREMIUM-BUGS BUNNY / TWEETY-200PCS/CASE</t>
  </si>
  <si>
    <t>LT2026-057C</t>
  </si>
  <si>
    <t>SHORTENING TEST KIT #4 &amp; #5 Tube 10611292</t>
  </si>
  <si>
    <t>pcs</t>
  </si>
  <si>
    <t>F107-00054962
F107-00054961 - inland</t>
  </si>
  <si>
    <t>รอค่าเฟรท</t>
  </si>
  <si>
    <t>B ไม่ต้องทำ Breadtalk จะส่งให้แนนเอง / Tracking ไม่ได้</t>
  </si>
  <si>
    <t>708 &gt;888</t>
  </si>
  <si>
    <t>1125-0149</t>
  </si>
  <si>
    <t>F401-00009599</t>
  </si>
  <si>
    <t>PO-DOS-TH-BT-1125-0149</t>
  </si>
  <si>
    <t>ELCH26040018</t>
  </si>
  <si>
    <t>OOCL HOUSTON V.216N</t>
  </si>
  <si>
    <t>B ไม่ต้องทำ Breadtalk จะส่งให้แนนเอง</t>
  </si>
  <si>
    <t>0326-0144</t>
  </si>
  <si>
    <t>F401-00010319</t>
  </si>
  <si>
    <t>ELCH26050007</t>
  </si>
  <si>
    <t>0326-0145</t>
  </si>
  <si>
    <t>F401-00010318</t>
  </si>
  <si>
    <t>ELCH26050014</t>
  </si>
  <si>
    <t>FROZEN DOUGH SALTED CROISSANT</t>
  </si>
  <si>
    <t>Non cat</t>
  </si>
  <si>
    <t>sample product</t>
  </si>
  <si>
    <t xml:space="preserve">F101-00161296 </t>
  </si>
  <si>
    <t>DHL</t>
  </si>
  <si>
    <t>ใช้ CN deduct cost ไปแล้ว</t>
  </si>
  <si>
    <t>DHL เคลียร์เอง / Nasa advance import duty ให้</t>
  </si>
  <si>
    <t>move up to May</t>
  </si>
  <si>
    <t>F101-00161358</t>
  </si>
  <si>
    <t>TPC260415</t>
  </si>
  <si>
    <t>F101-00160892</t>
  </si>
  <si>
    <t xml:space="preserve">F101-00161329 </t>
  </si>
  <si>
    <t>E260432</t>
  </si>
  <si>
    <t>SF0214801216977</t>
  </si>
  <si>
    <t>UTENSIL-MEASURING SPOON 1TBSP-20ML-5PC/SET</t>
  </si>
  <si>
    <t>F101-00165750</t>
  </si>
  <si>
    <t>YD26-CH-031</t>
  </si>
  <si>
    <t>1Z36471A0426451523</t>
  </si>
  <si>
    <t>UTENSIL-MEASURING SPOON 1/2TBSP-10ML-5PC/SET</t>
  </si>
  <si>
    <t>UTENSIL-MEASURING SPOON 1TSP-5ML-5PC/SET</t>
  </si>
  <si>
    <t>UTENSIL-MEASURING SPOON 1/8TSP-0.63ML-5PC/SET</t>
  </si>
  <si>
    <t>No records were found.</t>
  </si>
  <si>
    <t>FOOD PAN LID 1/6-PIECE</t>
  </si>
  <si>
    <t>FOOD PAN NOTCH-LID 1/6-PIECE</t>
  </si>
  <si>
    <t>FOOD PAN 1/9 DEEP 2.5 INCH-PIECE</t>
  </si>
  <si>
    <t>FOOD PAN 1/9 DEEP 4 INCH-PIECE</t>
  </si>
  <si>
    <t>FOOD PAN LID 1/9-PIECE</t>
  </si>
  <si>
    <t>FOOD PAN 1/2 DEEP 8 INCH-PIECE</t>
  </si>
  <si>
    <t>F105-00086741</t>
  </si>
  <si>
    <t>ยังไม่ถึงเวลาเปิด PO</t>
  </si>
  <si>
    <t xml:space="preserve">F105-00086109 </t>
  </si>
  <si>
    <t>4028 &gt; 1007</t>
  </si>
  <si>
    <t xml:space="preserve">F105-00086108 </t>
  </si>
  <si>
    <t xml:space="preserve">F105-00087812 </t>
  </si>
  <si>
    <t xml:space="preserve"> F101-00165369</t>
  </si>
  <si>
    <t>รอ Hieng เฟิม</t>
  </si>
  <si>
    <t>F107-00058641</t>
  </si>
  <si>
    <t>C102-00005122</t>
  </si>
  <si>
    <t>F107-00056699</t>
  </si>
  <si>
    <t>STAINLESS COLANDER SCOOP FOR FRYER</t>
  </si>
  <si>
    <t>265 &gt; 1060</t>
  </si>
  <si>
    <t xml:space="preserve">TPC-00012667 </t>
  </si>
  <si>
    <t>2385 &gt; 1590</t>
  </si>
  <si>
    <t>IEA</t>
  </si>
  <si>
    <t xml:space="preserve">UNIFORM-SS MANAGER SHIRT GRAY MALE - M </t>
  </si>
  <si>
    <t>F105-00088783</t>
  </si>
  <si>
    <t xml:space="preserve">UNIFORM-SS MANAGER SHIRT GRAY MALE - XL 2022-PC	</t>
  </si>
  <si>
    <t xml:space="preserve">UNIFORM-SS MANAGER SHIRT GRAY FEMALE - S 2022-PC	</t>
  </si>
  <si>
    <t xml:space="preserve">UNIFORM-SS MANAGER SHIRT GRAY FEMALE - </t>
  </si>
  <si>
    <t>UNIFORM-SS MANAGER SHIRT GRAY FEMALE -</t>
  </si>
  <si>
    <t>UNIFORM-CREW POLO SHIRT GRAY UNISEX - S</t>
  </si>
  <si>
    <t xml:space="preserve">UNIFORM-CREW POLO SHIRT GRAY UNISEX - M 2022-PC	</t>
  </si>
  <si>
    <t>UNIFORM-CREW POLO SHIRT GRAY UNISEX - L</t>
  </si>
  <si>
    <t xml:space="preserve">UNIFORM-CREW POLO SHIRT GRAY UNISEX - XL 2022-PC	</t>
  </si>
  <si>
    <t>UNIFORM-CREW POLO SHIRT GRAY UNISEX - 2X</t>
  </si>
  <si>
    <t>light load  BK-20251062</t>
  </si>
  <si>
    <t>CP26283</t>
  </si>
  <si>
    <t>BNE600125000</t>
  </si>
  <si>
    <t xml:space="preserve">BK-20251063 </t>
  </si>
  <si>
    <t>BK-20251064</t>
  </si>
  <si>
    <t>BK-20251065</t>
  </si>
  <si>
    <t>BK-20251066</t>
  </si>
  <si>
    <t>C102-00005175</t>
  </si>
  <si>
    <t>MAERSK RIO NEGRO / 616N</t>
  </si>
  <si>
    <t>F101-00166180</t>
  </si>
  <si>
    <t>F105-00088559</t>
  </si>
  <si>
    <t>MAERSK RIO INDIA / 621N</t>
  </si>
  <si>
    <t>F101-00167665</t>
  </si>
  <si>
    <t>Cancel PO</t>
  </si>
  <si>
    <t xml:space="preserve">Fujian Hailitian </t>
  </si>
  <si>
    <t>PASTRY SHEET-LONG STRIP DOUGH FROZEN-10PC/BAG-10BAG/CASE</t>
  </si>
  <si>
    <t>F101-00168010</t>
  </si>
  <si>
    <t>waiting cargo ready date from supplier</t>
  </si>
  <si>
    <t xml:space="preserve">Jiangsu Zishan </t>
  </si>
  <si>
    <t>VEG CAN-MUSHROOM (CHINA)-6CAN/CASE</t>
  </si>
  <si>
    <t>F101-00168052</t>
  </si>
  <si>
    <t>เหลือ 70%</t>
  </si>
  <si>
    <t>F101-00168053</t>
  </si>
  <si>
    <t>F101-00168054</t>
  </si>
  <si>
    <t>F101-00168026</t>
  </si>
  <si>
    <t>PREMIUM-CHASE / REX-200PCS/CASE</t>
  </si>
  <si>
    <t>BPA-BK00000334</t>
  </si>
  <si>
    <t>F105-00089489</t>
  </si>
  <si>
    <t xml:space="preserve">S2600157118 </t>
  </si>
  <si>
    <t>PREMIUM-SKYE / RUBBLE-200PCS/CASE</t>
  </si>
  <si>
    <t>PREMIUM-RHUBARB / MARSHALL-200PCS/CASE</t>
  </si>
  <si>
    <t>MSCS-00045179</t>
  </si>
  <si>
    <t>OIL-PURE OLIVE OIL-BOVEDA-1L/BTL-15BTL/CASE</t>
  </si>
  <si>
    <t>OIL-EXTRA VIRGIN OLIVE-BOVEDA-1L/BTL-15BTL/CASE</t>
  </si>
  <si>
    <t xml:space="preserve">TPC-00012602 </t>
  </si>
  <si>
    <t xml:space="preserve">TPC-00012603 </t>
  </si>
  <si>
    <t>MFG-00004968</t>
  </si>
  <si>
    <t>MFG-00004970</t>
  </si>
  <si>
    <t>0326-0146</t>
  </si>
  <si>
    <t xml:space="preserve">0326-0147 </t>
  </si>
  <si>
    <t>PASTRY SHEET-LONG STRIP DOUGH FROZEN-10PC/BAG-6BAG/CASE</t>
  </si>
  <si>
    <t xml:space="preserve">TPC-00012707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</si>
</sst>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[$-409]d\-mmm\-yy;@"/>
    <numFmt numFmtId="166" formatCode="B1d\-mmm"/>
    <numFmt numFmtId="167" formatCode="#,##0.000"/>
  </numFmts>
  <fonts count="6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rgb="FF00B050"/>
      <name val="Tahoma"/>
      <family val="2"/>
    </font>
    <font>
      <sz val="11"/>
      <color rgb="FF00B0F0"/>
      <name val="Tahoma"/>
      <family val="2"/>
    </font>
    <font>
      <sz val="11"/>
      <color rgb="FF7030A0"/>
      <name val="Tahoma"/>
      <family val="2"/>
    </font>
    <font>
      <sz val="11"/>
      <color theme="1"/>
      <name val="Tahoma"/>
      <family val="2"/>
    </font>
    <font>
      <sz val="8"/>
      <color theme="1"/>
      <name val="Calibri"/>
      <family val="2"/>
      <charset val="222"/>
      <scheme val="minor"/>
    </font>
    <font>
      <b/>
      <sz val="8"/>
      <color rgb="FF002060"/>
      <name val="Calibri"/>
      <family val="2"/>
      <charset val="222"/>
      <scheme val="minor"/>
    </font>
    <font>
      <sz val="8"/>
      <color rgb="FF002060"/>
      <name val="Calibri"/>
      <family val="2"/>
    </font>
    <font>
      <b/>
      <sz val="8"/>
      <color rgb="FF7030A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charset val="22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charset val="222"/>
      <scheme val="minor"/>
    </font>
    <font>
      <sz val="8"/>
      <color rgb="FF000000"/>
      <name val="Calibri"/>
      <family val="2"/>
    </font>
    <font>
      <sz val="8"/>
      <color rgb="FF7030A0"/>
      <name val="Aptos"/>
      <family val="2"/>
      <charset val="1"/>
    </font>
    <font>
      <strike/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Aptos"/>
      <family val="2"/>
    </font>
    <font>
      <sz val="10"/>
      <color rgb="FF000000"/>
      <name val="Calibri"/>
      <family val="2"/>
    </font>
    <font>
      <sz val="8"/>
      <color rgb="FFFF0000"/>
      <name val="Calibri"/>
      <family val="2"/>
      <scheme val="minor"/>
    </font>
    <font>
      <sz val="8"/>
      <color rgb="FF7030A0"/>
      <name val="Calibri"/>
      <family val="2"/>
      <charset val="22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  <charset val="222"/>
      <scheme val="minor"/>
    </font>
    <font>
      <b/>
      <sz val="8"/>
      <color rgb="FF000000"/>
      <name val="Calibri"/>
      <family val="2"/>
      <scheme val="minor"/>
    </font>
    <font>
      <sz val="10"/>
      <color theme="1"/>
      <name val="Calibri"/>
      <family val="2"/>
    </font>
    <font>
      <sz val="8"/>
      <color rgb="FF333333"/>
      <name val="Arial"/>
      <family val="2"/>
    </font>
    <font>
      <sz val="8"/>
      <name val="Calibri"/>
      <family val="2"/>
      <scheme val="minor"/>
    </font>
    <font>
      <sz val="8"/>
      <color rgb="FFFF0000"/>
      <name val="Calibri"/>
      <family val="2"/>
    </font>
    <font>
      <sz val="8"/>
      <color rgb="FF00B050"/>
      <name val="Calibri"/>
      <family val="2"/>
      <charset val="222"/>
      <scheme val="minor"/>
    </font>
    <font>
      <strike/>
      <sz val="8"/>
      <color rgb="FF000000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name val="Calibri"/>
      <family val="2"/>
    </font>
    <font>
      <sz val="8"/>
      <color rgb="FF00B050"/>
      <name val="Calibri"/>
      <family val="2"/>
    </font>
    <font>
      <b/>
      <sz val="8"/>
      <color rgb="FF00B050"/>
      <name val="Calibri"/>
      <family val="2"/>
      <scheme val="minor"/>
    </font>
    <font>
      <strike/>
      <sz val="8"/>
      <color rgb="FFFF0000"/>
      <name val="Calibri"/>
      <family val="2"/>
      <scheme val="minor"/>
    </font>
    <font>
      <sz val="12"/>
      <color rgb="FF000000"/>
      <name val="Aptos"/>
      <family val="2"/>
    </font>
    <font>
      <sz val="8"/>
      <name val="Calibri"/>
      <family val="2"/>
      <charset val="222"/>
      <scheme val="minor"/>
    </font>
    <font>
      <b/>
      <sz val="8"/>
      <color rgb="FF7030A0"/>
      <name val="Calibri"/>
      <family val="2"/>
      <charset val="222"/>
      <scheme val="minor"/>
    </font>
    <font>
      <u/>
      <sz val="11"/>
      <color theme="10"/>
      <name val="Calibri"/>
      <family val="2"/>
      <charset val="222"/>
      <scheme val="minor"/>
    </font>
    <font>
      <sz val="8"/>
      <color theme="7" tint="0.39997558519241921"/>
      <name val="Calibri"/>
      <family val="2"/>
      <charset val="222"/>
      <scheme val="minor"/>
    </font>
    <font>
      <b/>
      <sz val="8"/>
      <name val="Calibri"/>
      <family val="2"/>
      <scheme val="minor"/>
    </font>
    <font>
      <sz val="8"/>
      <color theme="9" tint="-0.249977111117893"/>
      <name val="Calibri"/>
      <family val="2"/>
      <charset val="222"/>
      <scheme val="minor"/>
    </font>
    <font>
      <b/>
      <sz val="8"/>
      <color rgb="FFFF0000"/>
      <name val="Calibri"/>
      <family val="2"/>
      <charset val="222"/>
      <scheme val="minor"/>
    </font>
    <font>
      <sz val="9"/>
      <color rgb="FF000000"/>
      <name val="Aptos Narrow"/>
      <family val="2"/>
    </font>
    <font>
      <sz val="8"/>
      <color rgb="FFE26B0A"/>
      <name val="Calibri"/>
      <family val="2"/>
      <scheme val="minor"/>
    </font>
    <font>
      <strike/>
      <sz val="8"/>
      <color rgb="FFE26B0A"/>
      <name val="Calibri"/>
      <family val="2"/>
      <scheme val="minor"/>
    </font>
    <font>
      <sz val="10.5"/>
      <color rgb="FFFF0000"/>
      <name val="Microsoft YaHei UI"/>
      <family val="2"/>
    </font>
    <font>
      <sz val="10.5"/>
      <color rgb="FF000000"/>
      <name val="Microsoft YaHei UI"/>
      <family val="2"/>
    </font>
    <font>
      <sz val="8"/>
      <color theme="9" tint="-0.249977111117893"/>
      <name val="Calibri"/>
      <family val="2"/>
      <scheme val="minor"/>
    </font>
    <font>
      <strike/>
      <sz val="8"/>
      <color theme="9" tint="-0.249977111117893"/>
      <name val="Calibri"/>
      <family val="2"/>
      <scheme val="minor"/>
    </font>
    <font>
      <sz val="8"/>
      <color rgb="FFC00000"/>
      <name val="Calibri"/>
      <family val="2"/>
      <charset val="222"/>
      <scheme val="minor"/>
    </font>
    <font>
      <sz val="8"/>
      <color theme="8" tint="-0.249977111117893"/>
      <name val="Calibri"/>
      <family val="2"/>
      <charset val="222"/>
      <scheme val="minor"/>
    </font>
    <font>
      <sz val="8"/>
      <color theme="8" tint="-0.249977111117893"/>
      <name val="Calibri"/>
      <family val="2"/>
    </font>
    <font>
      <sz val="8"/>
      <color rgb="FF002060"/>
      <name val="Calibri"/>
      <family val="2"/>
      <charset val="222"/>
      <scheme val="minor"/>
    </font>
    <font>
      <sz val="8"/>
      <color rgb="FF002060"/>
      <name val="Calibri"/>
      <family val="2"/>
      <scheme val="minor"/>
    </font>
    <font>
      <sz val="9"/>
      <color rgb="FF002060"/>
      <name val="Calibri"/>
      <family val="2"/>
    </font>
    <font>
      <b/>
      <sz val="8"/>
      <color rgb="FF002060"/>
      <name val="Calibri"/>
      <family val="2"/>
      <scheme val="minor"/>
    </font>
    <font>
      <sz val="8"/>
      <color rgb="FFC00000"/>
      <name val="Calibri"/>
      <family val="2"/>
    </font>
    <font>
      <sz val="8"/>
      <color rgb="FFC0000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8"/>
      <color rgb="FF000000"/>
      <name val="Calibri"/>
      <family val="2"/>
      <charset val="222"/>
      <scheme val="minor"/>
    </font>
    <font>
      <sz val="8"/>
      <color theme="9" tint="-0.249977111117893"/>
      <name val="Calibri"/>
      <family val="2"/>
    </font>
    <font>
      <b/>
      <sz val="8"/>
      <color theme="9" tint="-0.249977111117893"/>
      <name val="Calibri"/>
      <family val="2"/>
      <scheme val="minor"/>
    </font>
    <font>
      <sz val="11"/>
      <color rgb="FF00206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0" fillId="0" borderId="0" applyNumberFormat="0" applyFill="0" applyBorder="0" applyAlignment="0" applyProtection="0"/>
  </cellStyleXfs>
  <cellXfs count="440">
    <xf numFmtId="0" fontId="0" fillId="0" borderId="0" xfId="0"/>
    <xf numFmtId="16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/>
    </xf>
    <xf numFmtId="165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vertical="center"/>
    </xf>
    <xf numFmtId="165" fontId="7" fillId="0" borderId="1" xfId="0" applyNumberFormat="1" applyFont="1" applyBorder="1"/>
    <xf numFmtId="0" fontId="7" fillId="10" borderId="1" xfId="0" applyFont="1" applyFill="1" applyBorder="1"/>
    <xf numFmtId="0" fontId="10" fillId="11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11" fillId="0" borderId="1" xfId="0" applyFont="1" applyBorder="1"/>
    <xf numFmtId="0" fontId="11" fillId="12" borderId="1" xfId="0" applyFont="1" applyFill="1" applyBorder="1" applyAlignment="1">
      <alignment horizontal="left"/>
    </xf>
    <xf numFmtId="49" fontId="11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164" fontId="11" fillId="11" borderId="1" xfId="0" applyNumberFormat="1" applyFont="1" applyFill="1" applyBorder="1" applyAlignment="1">
      <alignment horizontal="center" vertical="center"/>
    </xf>
    <xf numFmtId="15" fontId="11" fillId="11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horizontal="center"/>
    </xf>
    <xf numFmtId="165" fontId="11" fillId="11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/>
    </xf>
    <xf numFmtId="165" fontId="11" fillId="13" borderId="1" xfId="0" applyNumberFormat="1" applyFont="1" applyFill="1" applyBorder="1"/>
    <xf numFmtId="4" fontId="11" fillId="13" borderId="1" xfId="0" applyNumberFormat="1" applyFont="1" applyFill="1" applyBorder="1"/>
    <xf numFmtId="0" fontId="11" fillId="14" borderId="1" xfId="0" applyFont="1" applyFill="1" applyBorder="1"/>
    <xf numFmtId="0" fontId="11" fillId="14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6" fontId="11" fillId="11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5" fontId="7" fillId="15" borderId="1" xfId="0" applyNumberFormat="1" applyFont="1" applyFill="1" applyBorder="1" applyAlignment="1">
      <alignment horizontal="center" vertical="center"/>
    </xf>
    <xf numFmtId="165" fontId="7" fillId="16" borderId="1" xfId="0" applyNumberFormat="1" applyFont="1" applyFill="1" applyBorder="1" applyAlignment="1">
      <alignment horizontal="center" vertical="center"/>
    </xf>
    <xf numFmtId="16" fontId="7" fillId="16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5" fontId="11" fillId="14" borderId="1" xfId="0" applyNumberFormat="1" applyFont="1" applyFill="1" applyBorder="1"/>
    <xf numFmtId="0" fontId="7" fillId="14" borderId="1" xfId="0" applyFont="1" applyFill="1" applyBorder="1"/>
    <xf numFmtId="0" fontId="11" fillId="14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165" fontId="7" fillId="13" borderId="1" xfId="0" applyNumberFormat="1" applyFont="1" applyFill="1" applyBorder="1" applyAlignment="1">
      <alignment horizontal="center"/>
    </xf>
    <xf numFmtId="4" fontId="15" fillId="13" borderId="1" xfId="0" applyNumberFormat="1" applyFont="1" applyFill="1" applyBorder="1" applyAlignment="1">
      <alignment horizontal="right" vertical="center" wrapText="1"/>
    </xf>
    <xf numFmtId="0" fontId="7" fillId="14" borderId="1" xfId="0" applyFont="1" applyFill="1" applyBorder="1" applyAlignment="1">
      <alignment horizontal="left"/>
    </xf>
    <xf numFmtId="0" fontId="7" fillId="14" borderId="1" xfId="0" applyFont="1" applyFill="1" applyBorder="1" applyAlignment="1">
      <alignment horizontal="center" vertical="center"/>
    </xf>
    <xf numFmtId="164" fontId="7" fillId="17" borderId="1" xfId="0" applyNumberFormat="1" applyFont="1" applyFill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164" fontId="7" fillId="11" borderId="1" xfId="0" applyNumberFormat="1" applyFont="1" applyFill="1" applyBorder="1" applyAlignment="1">
      <alignment horizontal="center" vertical="center"/>
    </xf>
    <xf numFmtId="1" fontId="7" fillId="11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65" fontId="7" fillId="17" borderId="1" xfId="0" applyNumberFormat="1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165" fontId="18" fillId="13" borderId="1" xfId="0" applyNumberFormat="1" applyFont="1" applyFill="1" applyBorder="1"/>
    <xf numFmtId="4" fontId="18" fillId="13" borderId="1" xfId="0" applyNumberFormat="1" applyFont="1" applyFill="1" applyBorder="1"/>
    <xf numFmtId="0" fontId="18" fillId="14" borderId="1" xfId="0" applyFont="1" applyFill="1" applyBorder="1" applyAlignment="1">
      <alignment horizontal="left"/>
    </xf>
    <xf numFmtId="0" fontId="7" fillId="12" borderId="1" xfId="0" applyFont="1" applyFill="1" applyBorder="1" applyAlignment="1">
      <alignment vertical="center"/>
    </xf>
    <xf numFmtId="16" fontId="7" fillId="11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wrapText="1"/>
    </xf>
    <xf numFmtId="16" fontId="11" fillId="0" borderId="1" xfId="0" applyNumberFormat="1" applyFont="1" applyBorder="1" applyAlignment="1">
      <alignment horizontal="center" vertical="center"/>
    </xf>
    <xf numFmtId="16" fontId="11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4" fontId="20" fillId="13" borderId="1" xfId="0" applyNumberFormat="1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center" wrapText="1"/>
    </xf>
    <xf numFmtId="164" fontId="11" fillId="0" borderId="1" xfId="0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16" fontId="21" fillId="0" borderId="1" xfId="0" applyNumberFormat="1" applyFont="1" applyBorder="1" applyAlignment="1">
      <alignment horizontal="center" vertical="center"/>
    </xf>
    <xf numFmtId="165" fontId="11" fillId="13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15" fontId="11" fillId="0" borderId="1" xfId="0" applyNumberFormat="1" applyFont="1" applyBorder="1" applyAlignment="1">
      <alignment horizontal="center" vertical="center"/>
    </xf>
    <xf numFmtId="0" fontId="7" fillId="10" borderId="1" xfId="0" applyFont="1" applyFill="1" applyBorder="1" applyAlignment="1">
      <alignment vertical="center"/>
    </xf>
    <xf numFmtId="16" fontId="11" fillId="13" borderId="1" xfId="0" applyNumberFormat="1" applyFont="1" applyFill="1" applyBorder="1" applyAlignment="1">
      <alignment horizontal="left"/>
    </xf>
    <xf numFmtId="4" fontId="11" fillId="13" borderId="1" xfId="0" applyNumberFormat="1" applyFont="1" applyFill="1" applyBorder="1" applyAlignment="1">
      <alignment horizontal="left"/>
    </xf>
    <xf numFmtId="0" fontId="11" fillId="7" borderId="1" xfId="0" applyFont="1" applyFill="1" applyBorder="1"/>
    <xf numFmtId="0" fontId="11" fillId="12" borderId="1" xfId="0" applyFont="1" applyFill="1" applyBorder="1"/>
    <xf numFmtId="165" fontId="11" fillId="19" borderId="1" xfId="0" applyNumberFormat="1" applyFont="1" applyFill="1" applyBorder="1" applyAlignment="1">
      <alignment horizontal="center" vertical="center"/>
    </xf>
    <xf numFmtId="165" fontId="21" fillId="11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/>
    </xf>
    <xf numFmtId="165" fontId="11" fillId="14" borderId="1" xfId="0" applyNumberFormat="1" applyFont="1" applyFill="1" applyBorder="1" applyAlignment="1">
      <alignment horizontal="center"/>
    </xf>
    <xf numFmtId="165" fontId="11" fillId="7" borderId="1" xfId="0" applyNumberFormat="1" applyFont="1" applyFill="1" applyBorder="1" applyAlignment="1">
      <alignment horizontal="center" vertical="center"/>
    </xf>
    <xf numFmtId="165" fontId="11" fillId="15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/>
    <xf numFmtId="0" fontId="22" fillId="11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/>
    </xf>
    <xf numFmtId="4" fontId="18" fillId="13" borderId="1" xfId="0" applyNumberFormat="1" applyFont="1" applyFill="1" applyBorder="1" applyAlignment="1">
      <alignment horizontal="center" wrapText="1"/>
    </xf>
    <xf numFmtId="0" fontId="11" fillId="12" borderId="1" xfId="0" applyFont="1" applyFill="1" applyBorder="1" applyAlignment="1">
      <alignment horizontal="left" wrapText="1"/>
    </xf>
    <xf numFmtId="0" fontId="22" fillId="0" borderId="1" xfId="0" applyFont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/>
    </xf>
    <xf numFmtId="4" fontId="7" fillId="13" borderId="1" xfId="0" applyNumberFormat="1" applyFont="1" applyFill="1" applyBorder="1" applyAlignment="1">
      <alignment vertical="center"/>
    </xf>
    <xf numFmtId="166" fontId="7" fillId="14" borderId="1" xfId="0" applyNumberFormat="1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/>
    </xf>
    <xf numFmtId="0" fontId="18" fillId="13" borderId="1" xfId="0" applyFont="1" applyFill="1" applyBorder="1" applyAlignment="1">
      <alignment vertical="center"/>
    </xf>
    <xf numFmtId="16" fontId="13" fillId="0" borderId="1" xfId="0" applyNumberFormat="1" applyFont="1" applyBorder="1" applyAlignment="1">
      <alignment horizontal="center" vertical="center"/>
    </xf>
    <xf numFmtId="43" fontId="18" fillId="13" borderId="1" xfId="1" applyFont="1" applyFill="1" applyBorder="1" applyAlignment="1"/>
    <xf numFmtId="165" fontId="14" fillId="17" borderId="1" xfId="0" applyNumberFormat="1" applyFon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5" fontId="14" fillId="0" borderId="1" xfId="0" applyNumberFormat="1" applyFont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left" vertical="center" wrapText="1"/>
    </xf>
    <xf numFmtId="165" fontId="7" fillId="11" borderId="1" xfId="0" quotePrefix="1" applyNumberFormat="1" applyFont="1" applyFill="1" applyBorder="1" applyAlignment="1">
      <alignment horizontal="center" vertical="center"/>
    </xf>
    <xf numFmtId="165" fontId="11" fillId="13" borderId="1" xfId="0" applyNumberFormat="1" applyFont="1" applyFill="1" applyBorder="1" applyAlignment="1">
      <alignment vertical="center"/>
    </xf>
    <xf numFmtId="0" fontId="11" fillId="10" borderId="1" xfId="0" applyFont="1" applyFill="1" applyBorder="1"/>
    <xf numFmtId="0" fontId="20" fillId="13" borderId="1" xfId="0" applyFont="1" applyFill="1" applyBorder="1" applyAlignment="1">
      <alignment horizontal="right" vertical="center" wrapText="1"/>
    </xf>
    <xf numFmtId="0" fontId="7" fillId="12" borderId="1" xfId="0" applyFont="1" applyFill="1" applyBorder="1" applyAlignment="1">
      <alignment horizontal="left"/>
    </xf>
    <xf numFmtId="16" fontId="7" fillId="0" borderId="1" xfId="0" applyNumberFormat="1" applyFont="1" applyBorder="1" applyAlignment="1">
      <alignment horizontal="center"/>
    </xf>
    <xf numFmtId="165" fontId="7" fillId="14" borderId="1" xfId="0" applyNumberFormat="1" applyFont="1" applyFill="1" applyBorder="1"/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/>
    <xf numFmtId="0" fontId="23" fillId="12" borderId="1" xfId="0" applyFont="1" applyFill="1" applyBorder="1" applyAlignment="1">
      <alignment horizontal="left"/>
    </xf>
    <xf numFmtId="49" fontId="23" fillId="0" borderId="1" xfId="0" applyNumberFormat="1" applyFont="1" applyBorder="1" applyAlignment="1">
      <alignment horizontal="center"/>
    </xf>
    <xf numFmtId="165" fontId="23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5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165" fontId="24" fillId="0" borderId="1" xfId="0" applyNumberFormat="1" applyFont="1" applyBorder="1" applyAlignment="1">
      <alignment horizontal="center" vertical="center"/>
    </xf>
    <xf numFmtId="15" fontId="24" fillId="0" borderId="1" xfId="0" applyNumberFormat="1" applyFont="1" applyBorder="1" applyAlignment="1">
      <alignment horizontal="center" vertical="center"/>
    </xf>
    <xf numFmtId="16" fontId="25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/>
    </xf>
    <xf numFmtId="165" fontId="23" fillId="13" borderId="1" xfId="0" applyNumberFormat="1" applyFont="1" applyFill="1" applyBorder="1"/>
    <xf numFmtId="4" fontId="23" fillId="13" borderId="1" xfId="0" applyNumberFormat="1" applyFont="1" applyFill="1" applyBorder="1"/>
    <xf numFmtId="16" fontId="23" fillId="14" borderId="1" xfId="0" applyNumberFormat="1" applyFont="1" applyFill="1" applyBorder="1" applyAlignment="1">
      <alignment horizontal="left"/>
    </xf>
    <xf numFmtId="0" fontId="23" fillId="14" borderId="1" xfId="0" applyFont="1" applyFill="1" applyBorder="1" applyAlignment="1">
      <alignment horizontal="left"/>
    </xf>
    <xf numFmtId="0" fontId="23" fillId="14" borderId="1" xfId="0" applyFont="1" applyFill="1" applyBorder="1" applyAlignment="1">
      <alignment horizontal="left" vertical="center"/>
    </xf>
    <xf numFmtId="0" fontId="23" fillId="10" borderId="1" xfId="0" applyFont="1" applyFill="1" applyBorder="1"/>
    <xf numFmtId="0" fontId="21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165" fontId="7" fillId="7" borderId="1" xfId="0" applyNumberFormat="1" applyFont="1" applyFill="1" applyBorder="1" applyAlignment="1">
      <alignment horizontal="center" vertical="center"/>
    </xf>
    <xf numFmtId="165" fontId="11" fillId="11" borderId="1" xfId="0" quotePrefix="1" applyNumberFormat="1" applyFont="1" applyFill="1" applyBorder="1" applyAlignment="1">
      <alignment horizontal="center" vertical="center"/>
    </xf>
    <xf numFmtId="165" fontId="7" fillId="13" borderId="1" xfId="0" applyNumberFormat="1" applyFont="1" applyFill="1" applyBorder="1" applyAlignment="1">
      <alignment vertical="center"/>
    </xf>
    <xf numFmtId="165" fontId="11" fillId="13" borderId="1" xfId="0" applyNumberFormat="1" applyFont="1" applyFill="1" applyBorder="1" applyAlignment="1">
      <alignment horizontal="left"/>
    </xf>
    <xf numFmtId="4" fontId="11" fillId="13" borderId="1" xfId="0" applyNumberFormat="1" applyFont="1" applyFill="1" applyBorder="1" applyAlignment="1">
      <alignment horizontal="center"/>
    </xf>
    <xf numFmtId="16" fontId="11" fillId="14" borderId="1" xfId="0" applyNumberFormat="1" applyFont="1" applyFill="1" applyBorder="1" applyAlignment="1">
      <alignment horizontal="left"/>
    </xf>
    <xf numFmtId="0" fontId="24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4" fontId="26" fillId="13" borderId="1" xfId="0" applyNumberFormat="1" applyFont="1" applyFill="1" applyBorder="1" applyAlignment="1">
      <alignment wrapText="1"/>
    </xf>
    <xf numFmtId="2" fontId="1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5" fontId="14" fillId="11" borderId="1" xfId="0" applyNumberFormat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wrapText="1"/>
    </xf>
    <xf numFmtId="15" fontId="11" fillId="13" borderId="1" xfId="0" applyNumberFormat="1" applyFont="1" applyFill="1" applyBorder="1" applyAlignment="1">
      <alignment horizontal="left"/>
    </xf>
    <xf numFmtId="0" fontId="26" fillId="13" borderId="1" xfId="0" applyFont="1" applyFill="1" applyBorder="1" applyAlignment="1">
      <alignment wrapText="1"/>
    </xf>
    <xf numFmtId="16" fontId="7" fillId="0" borderId="1" xfId="0" applyNumberFormat="1" applyFont="1" applyBorder="1"/>
    <xf numFmtId="165" fontId="7" fillId="13" borderId="1" xfId="0" applyNumberFormat="1" applyFont="1" applyFill="1" applyBorder="1"/>
    <xf numFmtId="0" fontId="7" fillId="13" borderId="1" xfId="0" applyFont="1" applyFill="1" applyBorder="1"/>
    <xf numFmtId="165" fontId="15" fillId="0" borderId="1" xfId="0" applyNumberFormat="1" applyFont="1" applyBorder="1" applyAlignment="1">
      <alignment horizontal="center" vertical="center"/>
    </xf>
    <xf numFmtId="0" fontId="11" fillId="1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1" xfId="0" applyFont="1" applyBorder="1"/>
    <xf numFmtId="4" fontId="7" fillId="13" borderId="1" xfId="0" applyNumberFormat="1" applyFont="1" applyFill="1" applyBorder="1"/>
    <xf numFmtId="0" fontId="15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16" fontId="21" fillId="11" borderId="1" xfId="0" applyNumberFormat="1" applyFont="1" applyFill="1" applyBorder="1" applyAlignment="1">
      <alignment horizontal="center" vertical="center"/>
    </xf>
    <xf numFmtId="0" fontId="21" fillId="0" borderId="1" xfId="0" applyFont="1" applyBorder="1"/>
    <xf numFmtId="0" fontId="28" fillId="0" borderId="1" xfId="0" applyFont="1" applyBorder="1" applyAlignment="1">
      <alignment horizontal="center"/>
    </xf>
    <xf numFmtId="165" fontId="21" fillId="19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/>
    <xf numFmtId="0" fontId="11" fillId="12" borderId="1" xfId="0" applyFont="1" applyFill="1" applyBorder="1" applyAlignment="1">
      <alignment wrapText="1"/>
    </xf>
    <xf numFmtId="0" fontId="11" fillId="14" borderId="1" xfId="0" applyFont="1" applyFill="1" applyBorder="1" applyAlignment="1">
      <alignment horizontal="center"/>
    </xf>
    <xf numFmtId="165" fontId="29" fillId="0" borderId="1" xfId="0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/>
    </xf>
    <xf numFmtId="165" fontId="7" fillId="13" borderId="1" xfId="0" applyNumberFormat="1" applyFont="1" applyFill="1" applyBorder="1" applyAlignment="1">
      <alignment wrapText="1"/>
    </xf>
    <xf numFmtId="49" fontId="7" fillId="0" borderId="1" xfId="0" applyNumberFormat="1" applyFont="1" applyBorder="1" applyAlignment="1">
      <alignment horizontal="center" vertical="center"/>
    </xf>
    <xf numFmtId="16" fontId="7" fillId="13" borderId="1" xfId="0" applyNumberFormat="1" applyFont="1" applyFill="1" applyBorder="1"/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wrapText="1"/>
    </xf>
    <xf numFmtId="0" fontId="30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11" fillId="3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49" fontId="11" fillId="0" borderId="1" xfId="0" applyNumberFormat="1" applyFont="1" applyBorder="1" applyAlignment="1">
      <alignment horizontal="left" vertical="center"/>
    </xf>
    <xf numFmtId="16" fontId="11" fillId="0" borderId="1" xfId="0" applyNumberFormat="1" applyFont="1" applyBorder="1"/>
    <xf numFmtId="0" fontId="15" fillId="1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1" fillId="1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/>
    </xf>
    <xf numFmtId="165" fontId="14" fillId="7" borderId="1" xfId="0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16" fontId="30" fillId="0" borderId="1" xfId="0" applyNumberFormat="1" applyFont="1" applyBorder="1" applyAlignment="1">
      <alignment horizontal="center" vertical="center"/>
    </xf>
    <xf numFmtId="165" fontId="30" fillId="0" borderId="1" xfId="0" applyNumberFormat="1" applyFont="1" applyBorder="1" applyAlignment="1">
      <alignment horizontal="center" vertical="center"/>
    </xf>
    <xf numFmtId="0" fontId="7" fillId="12" borderId="1" xfId="0" applyFont="1" applyFill="1" applyBorder="1"/>
    <xf numFmtId="0" fontId="7" fillId="12" borderId="1" xfId="0" applyFont="1" applyFill="1" applyBorder="1" applyAlignment="1">
      <alignment horizontal="left" wrapText="1"/>
    </xf>
    <xf numFmtId="167" fontId="26" fillId="13" borderId="1" xfId="0" applyNumberFormat="1" applyFont="1" applyFill="1" applyBorder="1" applyAlignment="1">
      <alignment wrapText="1"/>
    </xf>
    <xf numFmtId="0" fontId="7" fillId="12" borderId="1" xfId="0" applyFont="1" applyFill="1" applyBorder="1" applyAlignment="1">
      <alignment horizontal="left" vertical="center"/>
    </xf>
    <xf numFmtId="16" fontId="7" fillId="21" borderId="1" xfId="0" applyNumberFormat="1" applyFont="1" applyFill="1" applyBorder="1" applyAlignment="1">
      <alignment horizontal="center" vertical="center"/>
    </xf>
    <xf numFmtId="16" fontId="14" fillId="0" borderId="1" xfId="0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16" fontId="7" fillId="21" borderId="1" xfId="0" applyNumberFormat="1" applyFont="1" applyFill="1" applyBorder="1" applyAlignment="1">
      <alignment horizontal="center"/>
    </xf>
    <xf numFmtId="165" fontId="11" fillId="0" borderId="1" xfId="0" applyNumberFormat="1" applyFont="1" applyBorder="1"/>
    <xf numFmtId="16" fontId="11" fillId="0" borderId="1" xfId="0" applyNumberFormat="1" applyFont="1" applyBorder="1" applyAlignment="1">
      <alignment wrapText="1"/>
    </xf>
    <xf numFmtId="0" fontId="11" fillId="21" borderId="1" xfId="0" applyFont="1" applyFill="1" applyBorder="1" applyAlignment="1">
      <alignment horizontal="center"/>
    </xf>
    <xf numFmtId="165" fontId="11" fillId="19" borderId="1" xfId="0" applyNumberFormat="1" applyFont="1" applyFill="1" applyBorder="1"/>
    <xf numFmtId="4" fontId="20" fillId="19" borderId="2" xfId="0" applyNumberFormat="1" applyFont="1" applyFill="1" applyBorder="1" applyAlignment="1">
      <alignment horizontal="right" vertical="center" wrapText="1"/>
    </xf>
    <xf numFmtId="0" fontId="32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vertical="center"/>
    </xf>
    <xf numFmtId="0" fontId="33" fillId="0" borderId="1" xfId="0" applyFont="1" applyBorder="1" applyAlignment="1">
      <alignment horizontal="center" vertical="center" wrapText="1"/>
    </xf>
    <xf numFmtId="0" fontId="28" fillId="0" borderId="1" xfId="0" applyFont="1" applyBorder="1"/>
    <xf numFmtId="16" fontId="28" fillId="0" borderId="1" xfId="0" applyNumberFormat="1" applyFont="1" applyBorder="1"/>
    <xf numFmtId="165" fontId="34" fillId="0" borderId="1" xfId="0" applyNumberFormat="1" applyFont="1" applyBorder="1" applyAlignment="1">
      <alignment horizontal="center" vertical="center"/>
    </xf>
    <xf numFmtId="164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32" fillId="0" borderId="1" xfId="0" applyFont="1" applyBorder="1"/>
    <xf numFmtId="165" fontId="32" fillId="0" borderId="1" xfId="0" applyNumberFormat="1" applyFont="1" applyBorder="1"/>
    <xf numFmtId="0" fontId="32" fillId="14" borderId="1" xfId="0" applyFont="1" applyFill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30" fillId="0" borderId="1" xfId="0" applyFont="1" applyBorder="1"/>
    <xf numFmtId="0" fontId="32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horizontal="center" vertical="center" wrapText="1"/>
    </xf>
    <xf numFmtId="165" fontId="11" fillId="13" borderId="1" xfId="0" applyNumberFormat="1" applyFont="1" applyFill="1" applyBorder="1" applyAlignment="1">
      <alignment wrapText="1"/>
    </xf>
    <xf numFmtId="0" fontId="11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vertical="center"/>
    </xf>
    <xf numFmtId="165" fontId="11" fillId="14" borderId="1" xfId="0" applyNumberFormat="1" applyFont="1" applyFill="1" applyBorder="1" applyAlignment="1">
      <alignment horizontal="center" vertical="center"/>
    </xf>
    <xf numFmtId="164" fontId="11" fillId="14" borderId="1" xfId="0" applyNumberFormat="1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64" fontId="21" fillId="7" borderId="1" xfId="0" applyNumberFormat="1" applyFont="1" applyFill="1" applyBorder="1" applyAlignment="1">
      <alignment horizontal="center" vertical="center"/>
    </xf>
    <xf numFmtId="16" fontId="21" fillId="7" borderId="1" xfId="0" applyNumberFormat="1" applyFont="1" applyFill="1" applyBorder="1" applyAlignment="1">
      <alignment horizontal="center" vertical="center"/>
    </xf>
    <xf numFmtId="165" fontId="11" fillId="13" borderId="1" xfId="0" applyNumberFormat="1" applyFont="1" applyFill="1" applyBorder="1" applyAlignment="1">
      <alignment horizontal="center" wrapText="1"/>
    </xf>
    <xf numFmtId="0" fontId="30" fillId="7" borderId="1" xfId="0" applyFont="1" applyFill="1" applyBorder="1" applyAlignment="1">
      <alignment horizontal="center" vertical="center"/>
    </xf>
    <xf numFmtId="165" fontId="11" fillId="19" borderId="1" xfId="0" applyNumberFormat="1" applyFont="1" applyFill="1" applyBorder="1" applyAlignment="1">
      <alignment horizontal="center"/>
    </xf>
    <xf numFmtId="4" fontId="11" fillId="19" borderId="1" xfId="0" applyNumberFormat="1" applyFont="1" applyFill="1" applyBorder="1"/>
    <xf numFmtId="164" fontId="28" fillId="0" borderId="1" xfId="0" applyNumberFormat="1" applyFont="1" applyBorder="1" applyAlignment="1">
      <alignment horizontal="center" vertical="center"/>
    </xf>
    <xf numFmtId="16" fontId="28" fillId="0" borderId="1" xfId="0" applyNumberFormat="1" applyFont="1" applyBorder="1" applyAlignment="1">
      <alignment horizontal="center" vertical="center"/>
    </xf>
    <xf numFmtId="4" fontId="37" fillId="13" borderId="1" xfId="0" applyNumberFormat="1" applyFont="1" applyFill="1" applyBorder="1" applyAlignment="1">
      <alignment horizontal="right" vertical="center" wrapText="1"/>
    </xf>
    <xf numFmtId="0" fontId="14" fillId="0" borderId="1" xfId="0" applyFont="1" applyBorder="1" applyAlignment="1">
      <alignment vertical="center"/>
    </xf>
    <xf numFmtId="165" fontId="7" fillId="19" borderId="1" xfId="0" applyNumberFormat="1" applyFont="1" applyFill="1" applyBorder="1"/>
    <xf numFmtId="4" fontId="7" fillId="19" borderId="1" xfId="0" applyNumberFormat="1" applyFont="1" applyFill="1" applyBorder="1"/>
    <xf numFmtId="0" fontId="30" fillId="7" borderId="1" xfId="0" applyFont="1" applyFill="1" applyBorder="1" applyAlignment="1">
      <alignment horizontal="center" vertical="center" wrapText="1"/>
    </xf>
    <xf numFmtId="16" fontId="14" fillId="7" borderId="1" xfId="0" applyNumberFormat="1" applyFont="1" applyFill="1" applyBorder="1" applyAlignment="1">
      <alignment horizontal="center" vertical="center"/>
    </xf>
    <xf numFmtId="16" fontId="38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16" fontId="7" fillId="0" borderId="1" xfId="0" applyNumberFormat="1" applyFont="1" applyBorder="1" applyAlignment="1">
      <alignment vertical="center"/>
    </xf>
    <xf numFmtId="16" fontId="14" fillId="0" borderId="1" xfId="0" applyNumberFormat="1" applyFont="1" applyBorder="1" applyAlignment="1">
      <alignment horizontal="center"/>
    </xf>
    <xf numFmtId="0" fontId="14" fillId="21" borderId="1" xfId="0" applyFont="1" applyFill="1" applyBorder="1"/>
    <xf numFmtId="0" fontId="7" fillId="21" borderId="1" xfId="0" applyFont="1" applyFill="1" applyBorder="1"/>
    <xf numFmtId="0" fontId="7" fillId="21" borderId="1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left" wrapText="1"/>
    </xf>
    <xf numFmtId="15" fontId="11" fillId="0" borderId="1" xfId="0" applyNumberFormat="1" applyFont="1" applyBorder="1"/>
    <xf numFmtId="49" fontId="11" fillId="0" borderId="1" xfId="0" applyNumberFormat="1" applyFont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16" fontId="7" fillId="12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/>
    <xf numFmtId="15" fontId="7" fillId="13" borderId="1" xfId="0" applyNumberFormat="1" applyFont="1" applyFill="1" applyBorder="1"/>
    <xf numFmtId="0" fontId="39" fillId="11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166" fontId="18" fillId="13" borderId="1" xfId="0" applyNumberFormat="1" applyFont="1" applyFill="1" applyBorder="1" applyAlignment="1">
      <alignment horizontal="left"/>
    </xf>
    <xf numFmtId="4" fontId="18" fillId="13" borderId="1" xfId="0" applyNumberFormat="1" applyFont="1" applyFill="1" applyBorder="1" applyAlignment="1">
      <alignment horizontal="left"/>
    </xf>
    <xf numFmtId="0" fontId="40" fillId="0" borderId="1" xfId="2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41" fillId="21" borderId="1" xfId="0" applyFont="1" applyFill="1" applyBorder="1" applyAlignment="1">
      <alignment horizontal="center" vertical="center"/>
    </xf>
    <xf numFmtId="0" fontId="7" fillId="11" borderId="1" xfId="0" applyFont="1" applyFill="1" applyBorder="1"/>
    <xf numFmtId="0" fontId="28" fillId="7" borderId="1" xfId="0" applyFont="1" applyFill="1" applyBorder="1" applyAlignment="1">
      <alignment horizontal="center" vertical="center"/>
    </xf>
    <xf numFmtId="0" fontId="28" fillId="2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/>
    </xf>
    <xf numFmtId="0" fontId="28" fillId="12" borderId="1" xfId="0" applyFont="1" applyFill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/>
    </xf>
    <xf numFmtId="16" fontId="28" fillId="0" borderId="1" xfId="0" applyNumberFormat="1" applyFont="1" applyBorder="1" applyAlignment="1">
      <alignment horizontal="center"/>
    </xf>
    <xf numFmtId="0" fontId="42" fillId="0" borderId="1" xfId="0" applyFont="1" applyBorder="1" applyAlignment="1">
      <alignment horizontal="center" vertical="center"/>
    </xf>
    <xf numFmtId="0" fontId="7" fillId="12" borderId="1" xfId="0" applyFont="1" applyFill="1" applyBorder="1" applyAlignment="1">
      <alignment horizontal="center"/>
    </xf>
    <xf numFmtId="165" fontId="28" fillId="19" borderId="1" xfId="0" applyNumberFormat="1" applyFont="1" applyFill="1" applyBorder="1"/>
    <xf numFmtId="0" fontId="20" fillId="19" borderId="1" xfId="0" applyFont="1" applyFill="1" applyBorder="1" applyAlignment="1">
      <alignment horizontal="right" vertical="center" wrapText="1"/>
    </xf>
    <xf numFmtId="0" fontId="28" fillId="14" borderId="3" xfId="0" applyFont="1" applyFill="1" applyBorder="1"/>
    <xf numFmtId="0" fontId="28" fillId="14" borderId="1" xfId="0" applyFont="1" applyFill="1" applyBorder="1"/>
    <xf numFmtId="0" fontId="38" fillId="7" borderId="1" xfId="0" applyFont="1" applyFill="1" applyBorder="1" applyAlignment="1">
      <alignment horizontal="center" vertical="center"/>
    </xf>
    <xf numFmtId="0" fontId="43" fillId="22" borderId="1" xfId="0" applyFont="1" applyFill="1" applyBorder="1" applyAlignment="1">
      <alignment horizontal="center" vertical="center"/>
    </xf>
    <xf numFmtId="0" fontId="7" fillId="0" borderId="4" xfId="0" applyFont="1" applyBorder="1"/>
    <xf numFmtId="165" fontId="7" fillId="19" borderId="4" xfId="0" applyNumberFormat="1" applyFont="1" applyFill="1" applyBorder="1"/>
    <xf numFmtId="4" fontId="7" fillId="19" borderId="4" xfId="0" applyNumberFormat="1" applyFont="1" applyFill="1" applyBorder="1"/>
    <xf numFmtId="16" fontId="7" fillId="7" borderId="1" xfId="0" applyNumberFormat="1" applyFont="1" applyFill="1" applyBorder="1" applyAlignment="1">
      <alignment horizontal="center"/>
    </xf>
    <xf numFmtId="0" fontId="30" fillId="11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16" fontId="7" fillId="0" borderId="1" xfId="0" applyNumberFormat="1" applyFont="1" applyBorder="1" applyAlignment="1">
      <alignment wrapText="1"/>
    </xf>
    <xf numFmtId="0" fontId="7" fillId="7" borderId="1" xfId="0" applyFont="1" applyFill="1" applyBorder="1"/>
    <xf numFmtId="0" fontId="7" fillId="19" borderId="1" xfId="0" applyFont="1" applyFill="1" applyBorder="1"/>
    <xf numFmtId="16" fontId="7" fillId="7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vertical="center"/>
    </xf>
    <xf numFmtId="0" fontId="7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 vertical="center" wrapText="1"/>
    </xf>
    <xf numFmtId="165" fontId="7" fillId="14" borderId="1" xfId="0" applyNumberFormat="1" applyFont="1" applyFill="1" applyBorder="1" applyAlignment="1">
      <alignment horizontal="center"/>
    </xf>
    <xf numFmtId="16" fontId="7" fillId="14" borderId="1" xfId="0" applyNumberFormat="1" applyFont="1" applyFill="1" applyBorder="1"/>
    <xf numFmtId="0" fontId="7" fillId="0" borderId="1" xfId="0" quotePrefix="1" applyFont="1" applyBorder="1" applyAlignment="1">
      <alignment horizontal="center"/>
    </xf>
    <xf numFmtId="0" fontId="44" fillId="7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16" fontId="7" fillId="2" borderId="1" xfId="0" applyNumberFormat="1" applyFont="1" applyFill="1" applyBorder="1" applyAlignment="1">
      <alignment horizontal="center"/>
    </xf>
    <xf numFmtId="4" fontId="26" fillId="19" borderId="1" xfId="0" applyNumberFormat="1" applyFont="1" applyFill="1" applyBorder="1" applyAlignment="1">
      <alignment wrapText="1"/>
    </xf>
    <xf numFmtId="0" fontId="43" fillId="11" borderId="1" xfId="0" applyFont="1" applyFill="1" applyBorder="1" applyAlignment="1">
      <alignment horizontal="center" vertical="center"/>
    </xf>
    <xf numFmtId="16" fontId="24" fillId="21" borderId="1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46" fillId="12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165" fontId="43" fillId="0" borderId="1" xfId="0" applyNumberFormat="1" applyFont="1" applyBorder="1" applyAlignment="1">
      <alignment horizontal="center"/>
    </xf>
    <xf numFmtId="16" fontId="43" fillId="0" borderId="1" xfId="0" applyNumberFormat="1" applyFont="1" applyBorder="1" applyAlignment="1">
      <alignment horizontal="center"/>
    </xf>
    <xf numFmtId="0" fontId="50" fillId="1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22" fillId="11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wrapText="1"/>
    </xf>
    <xf numFmtId="16" fontId="52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53" fillId="11" borderId="1" xfId="0" applyFont="1" applyFill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vertical="center"/>
    </xf>
    <xf numFmtId="0" fontId="54" fillId="0" borderId="1" xfId="0" applyFont="1" applyBorder="1" applyAlignment="1">
      <alignment horizontal="left" vertical="center"/>
    </xf>
    <xf numFmtId="0" fontId="54" fillId="0" borderId="1" xfId="0" applyFont="1" applyBorder="1" applyAlignment="1">
      <alignment horizontal="center" vertical="center"/>
    </xf>
    <xf numFmtId="0" fontId="53" fillId="0" borderId="1" xfId="0" applyFont="1" applyBorder="1"/>
    <xf numFmtId="16" fontId="53" fillId="0" borderId="1" xfId="0" applyNumberFormat="1" applyFont="1" applyBorder="1"/>
    <xf numFmtId="0" fontId="55" fillId="11" borderId="1" xfId="0" applyFont="1" applyFill="1" applyBorder="1" applyAlignment="1">
      <alignment horizontal="center" vertical="center"/>
    </xf>
    <xf numFmtId="4" fontId="20" fillId="19" borderId="1" xfId="0" applyNumberFormat="1" applyFont="1" applyFill="1" applyBorder="1" applyAlignment="1">
      <alignment horizontal="right" vertical="center" wrapText="1"/>
    </xf>
    <xf numFmtId="0" fontId="7" fillId="14" borderId="3" xfId="0" applyFont="1" applyFill="1" applyBorder="1"/>
    <xf numFmtId="165" fontId="7" fillId="0" borderId="4" xfId="0" applyNumberFormat="1" applyFont="1" applyBorder="1"/>
    <xf numFmtId="0" fontId="14" fillId="0" borderId="1" xfId="0" applyFont="1" applyBorder="1"/>
    <xf numFmtId="0" fontId="38" fillId="0" borderId="1" xfId="0" applyFont="1" applyBorder="1" applyAlignment="1">
      <alignment horizontal="center"/>
    </xf>
    <xf numFmtId="0" fontId="38" fillId="0" borderId="1" xfId="0" applyFont="1" applyBorder="1"/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/>
    <xf numFmtId="0" fontId="43" fillId="0" borderId="1" xfId="0" applyFont="1" applyBorder="1" applyAlignment="1">
      <alignment vertical="center"/>
    </xf>
    <xf numFmtId="0" fontId="43" fillId="0" borderId="1" xfId="0" applyFont="1" applyBorder="1" applyAlignment="1">
      <alignment horizontal="left"/>
    </xf>
    <xf numFmtId="0" fontId="43" fillId="0" borderId="1" xfId="0" applyFont="1" applyBorder="1" applyAlignment="1">
      <alignment horizontal="center"/>
    </xf>
    <xf numFmtId="16" fontId="43" fillId="0" borderId="1" xfId="0" applyNumberFormat="1" applyFont="1" applyBorder="1"/>
    <xf numFmtId="0" fontId="43" fillId="12" borderId="1" xfId="0" applyFont="1" applyFill="1" applyBorder="1" applyAlignment="1">
      <alignment horizontal="center" vertical="center"/>
    </xf>
    <xf numFmtId="165" fontId="38" fillId="13" borderId="1" xfId="0" applyNumberFormat="1" applyFont="1" applyFill="1" applyBorder="1"/>
    <xf numFmtId="4" fontId="38" fillId="13" borderId="1" xfId="0" applyNumberFormat="1" applyFont="1" applyFill="1" applyBorder="1"/>
    <xf numFmtId="0" fontId="43" fillId="14" borderId="1" xfId="0" applyFont="1" applyFill="1" applyBorder="1"/>
    <xf numFmtId="0" fontId="55" fillId="0" borderId="1" xfId="0" applyFont="1" applyBorder="1" applyAlignment="1">
      <alignment horizontal="center" vertical="center"/>
    </xf>
    <xf numFmtId="0" fontId="55" fillId="0" borderId="1" xfId="0" applyFont="1" applyBorder="1"/>
    <xf numFmtId="0" fontId="56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vertical="center"/>
    </xf>
    <xf numFmtId="0" fontId="57" fillId="0" borderId="1" xfId="0" applyFont="1" applyBorder="1" applyAlignment="1">
      <alignment horizontal="left" vertical="center"/>
    </xf>
    <xf numFmtId="0" fontId="57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vertical="center"/>
    </xf>
    <xf numFmtId="0" fontId="56" fillId="0" borderId="1" xfId="0" applyFont="1" applyBorder="1" applyAlignment="1">
      <alignment horizontal="center"/>
    </xf>
    <xf numFmtId="16" fontId="56" fillId="0" borderId="1" xfId="0" applyNumberFormat="1" applyFont="1" applyBorder="1"/>
    <xf numFmtId="16" fontId="56" fillId="0" borderId="1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/>
    </xf>
    <xf numFmtId="165" fontId="55" fillId="0" borderId="1" xfId="0" applyNumberFormat="1" applyFont="1" applyBorder="1" applyAlignment="1">
      <alignment horizontal="center"/>
    </xf>
    <xf numFmtId="0" fontId="58" fillId="0" borderId="1" xfId="0" applyFont="1" applyBorder="1" applyAlignment="1">
      <alignment horizontal="center" vertical="center"/>
    </xf>
    <xf numFmtId="165" fontId="55" fillId="0" borderId="1" xfId="0" applyNumberFormat="1" applyFont="1" applyBorder="1"/>
    <xf numFmtId="0" fontId="55" fillId="14" borderId="1" xfId="0" applyFont="1" applyFill="1" applyBorder="1"/>
    <xf numFmtId="0" fontId="57" fillId="16" borderId="1" xfId="0" applyFont="1" applyFill="1" applyBorder="1" applyAlignment="1">
      <alignment horizontal="left" vertical="center"/>
    </xf>
    <xf numFmtId="0" fontId="52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left" vertical="center"/>
    </xf>
    <xf numFmtId="0" fontId="59" fillId="0" borderId="1" xfId="0" applyFont="1" applyBorder="1" applyAlignment="1">
      <alignment horizontal="center" vertical="center" wrapText="1"/>
    </xf>
    <xf numFmtId="0" fontId="52" fillId="0" borderId="1" xfId="0" applyFont="1" applyBorder="1"/>
    <xf numFmtId="16" fontId="52" fillId="0" borderId="1" xfId="0" applyNumberFormat="1" applyFont="1" applyBorder="1"/>
    <xf numFmtId="0" fontId="52" fillId="12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165" fontId="52" fillId="0" borderId="1" xfId="0" applyNumberFormat="1" applyFont="1" applyBorder="1" applyAlignment="1">
      <alignment horizontal="center"/>
    </xf>
    <xf numFmtId="0" fontId="61" fillId="0" borderId="1" xfId="0" applyFont="1" applyBorder="1" applyAlignment="1">
      <alignment horizontal="center" vertical="center"/>
    </xf>
    <xf numFmtId="16" fontId="38" fillId="0" borderId="1" xfId="0" applyNumberFormat="1" applyFont="1" applyBorder="1" applyAlignment="1">
      <alignment horizontal="center"/>
    </xf>
    <xf numFmtId="0" fontId="52" fillId="12" borderId="1" xfId="0" applyFont="1" applyFill="1" applyBorder="1"/>
    <xf numFmtId="165" fontId="52" fillId="13" borderId="1" xfId="0" applyNumberFormat="1" applyFont="1" applyFill="1" applyBorder="1"/>
    <xf numFmtId="0" fontId="52" fillId="14" borderId="1" xfId="0" applyFont="1" applyFill="1" applyBorder="1"/>
    <xf numFmtId="0" fontId="60" fillId="0" borderId="1" xfId="0" applyFont="1" applyBorder="1" applyAlignment="1">
      <alignment horizontal="left" vertical="center"/>
    </xf>
    <xf numFmtId="16" fontId="24" fillId="0" borderId="1" xfId="0" applyNumberFormat="1" applyFont="1" applyBorder="1" applyAlignment="1">
      <alignment horizontal="center" vertical="center"/>
    </xf>
    <xf numFmtId="16" fontId="24" fillId="0" borderId="1" xfId="0" applyNumberFormat="1" applyFont="1" applyBorder="1"/>
    <xf numFmtId="0" fontId="24" fillId="0" borderId="1" xfId="0" applyFont="1" applyBorder="1" applyAlignment="1">
      <alignment horizontal="center"/>
    </xf>
    <xf numFmtId="165" fontId="24" fillId="0" borderId="1" xfId="0" applyNumberFormat="1" applyFont="1" applyBorder="1" applyAlignment="1">
      <alignment horizontal="center"/>
    </xf>
    <xf numFmtId="0" fontId="62" fillId="0" borderId="1" xfId="0" applyFont="1" applyBorder="1" applyAlignment="1">
      <alignment horizontal="center" vertical="center"/>
    </xf>
    <xf numFmtId="165" fontId="24" fillId="0" borderId="1" xfId="0" applyNumberFormat="1" applyFont="1" applyBorder="1"/>
    <xf numFmtId="0" fontId="24" fillId="14" borderId="1" xfId="0" applyFont="1" applyFill="1" applyBorder="1"/>
    <xf numFmtId="16" fontId="30" fillId="0" borderId="1" xfId="0" applyNumberFormat="1" applyFont="1" applyBorder="1"/>
    <xf numFmtId="165" fontId="30" fillId="0" borderId="1" xfId="0" applyNumberFormat="1" applyFont="1" applyBorder="1" applyAlignment="1">
      <alignment horizontal="center"/>
    </xf>
    <xf numFmtId="16" fontId="30" fillId="0" borderId="1" xfId="0" applyNumberFormat="1" applyFont="1" applyBorder="1" applyAlignment="1">
      <alignment horizontal="center"/>
    </xf>
    <xf numFmtId="165" fontId="30" fillId="0" borderId="1" xfId="0" applyNumberFormat="1" applyFont="1" applyBorder="1"/>
    <xf numFmtId="0" fontId="30" fillId="14" borderId="1" xfId="0" applyFont="1" applyFill="1" applyBorder="1"/>
    <xf numFmtId="165" fontId="28" fillId="13" borderId="1" xfId="0" applyNumberFormat="1" applyFont="1" applyFill="1" applyBorder="1"/>
    <xf numFmtId="0" fontId="28" fillId="13" borderId="1" xfId="0" applyFont="1" applyFill="1" applyBorder="1"/>
    <xf numFmtId="0" fontId="50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left" vertical="center"/>
    </xf>
    <xf numFmtId="0" fontId="63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/>
    </xf>
    <xf numFmtId="16" fontId="43" fillId="0" borderId="1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165" fontId="43" fillId="14" borderId="1" xfId="0" applyNumberFormat="1" applyFont="1" applyFill="1" applyBorder="1"/>
    <xf numFmtId="0" fontId="55" fillId="0" borderId="1" xfId="0" applyFont="1" applyBorder="1" applyAlignment="1">
      <alignment horizontal="left"/>
    </xf>
    <xf numFmtId="16" fontId="55" fillId="0" borderId="1" xfId="0" applyNumberFormat="1" applyFont="1" applyBorder="1"/>
    <xf numFmtId="16" fontId="55" fillId="0" borderId="1" xfId="0" applyNumberFormat="1" applyFont="1" applyBorder="1" applyAlignment="1">
      <alignment horizontal="center"/>
    </xf>
    <xf numFmtId="0" fontId="65" fillId="0" borderId="1" xfId="0" applyFont="1" applyBorder="1"/>
    <xf numFmtId="0" fontId="53" fillId="0" borderId="1" xfId="0" applyFont="1" applyBorder="1" applyAlignment="1">
      <alignment horizontal="left"/>
    </xf>
    <xf numFmtId="0" fontId="53" fillId="0" borderId="1" xfId="0" applyFont="1" applyBorder="1" applyAlignment="1">
      <alignment horizontal="center"/>
    </xf>
    <xf numFmtId="0" fontId="14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AAD4C66-4BEF-4FA0-9E60-7173A41E2F58}"/>
</namedSheetView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15lax.webtracker.wisegrid.net/Shipments/ShipmentDetails.aspx?Ref=2380224f-3ab6-4f8b-97ed-7a824997adc0" TargetMode="External"/><Relationship Id="rId5" Type="http://schemas.microsoft.com/office/2019/04/relationships/namedSheetView" Target="../namedSheetViews/namedSheetView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0C02-20DA-4ACB-903C-1E2BC8144325}">
  <sheetPr>
    <tabColor rgb="FFFFFF00"/>
  </sheetPr>
  <dimension ref="A1:AY707"/>
  <sheetViews>
    <sheetView tabSelected="1" topLeftCell="N1" zoomScale="85" zoomScaleNormal="85" workbookViewId="0">
      <selection activeCell="Q2" sqref="Q2"/>
    </sheetView>
  </sheetViews>
  <sheetFormatPr defaultColWidth="8.7265625" defaultRowHeight="18.649999999999999" customHeight="1"/>
  <cols>
    <col min="1" max="1" width="28" style="20" customWidth="1"/>
    <col min="2" max="2" width="12.36328125" style="20" customWidth="1"/>
    <col min="3" max="3" width="11.08984375" style="21" bestFit="1" customWidth="1"/>
    <col min="4" max="4" width="9.08984375" style="20" bestFit="1" customWidth="1"/>
    <col min="5" max="5" width="13.6328125" style="22" customWidth="1"/>
    <col min="6" max="6" width="9.90625" style="23" bestFit="1" customWidth="1"/>
    <col min="7" max="7" width="42.7265625" style="21" customWidth="1"/>
    <col min="8" max="9" width="9.08984375" style="5" bestFit="1" customWidth="1"/>
    <col min="10" max="10" width="39.54296875" style="21" customWidth="1"/>
    <col min="11" max="11" width="11.453125" style="5" customWidth="1"/>
    <col min="12" max="12" width="12.453125" style="21" customWidth="1"/>
    <col min="13" max="13" width="22.90625" style="20" customWidth="1"/>
    <col min="14" max="14" width="19.7265625" style="5" bestFit="1" customWidth="1"/>
    <col min="15" max="15" width="10" style="5" customWidth="1"/>
    <col min="16" max="16" width="15.6328125" style="21" customWidth="1"/>
    <col min="17" max="17" width="18.7265625" style="20" customWidth="1"/>
    <col min="18" max="18" width="14.7265625" style="20" customWidth="1"/>
    <col min="19" max="19" width="26.90625" style="5" customWidth="1"/>
    <col min="20" max="20" width="11.6328125" style="5" customWidth="1"/>
    <col min="21" max="22" width="10.26953125" style="5" customWidth="1"/>
    <col min="23" max="23" width="11.6328125" style="21" customWidth="1"/>
    <col min="24" max="24" width="10" style="5" customWidth="1"/>
    <col min="25" max="25" width="11.7265625" style="5" customWidth="1"/>
    <col min="26" max="26" width="12" style="21" customWidth="1"/>
    <col min="27" max="27" width="10.08984375" style="20" customWidth="1"/>
    <col min="28" max="28" width="10" style="20" customWidth="1"/>
    <col min="29" max="29" width="10" style="21" customWidth="1"/>
    <col min="30" max="30" width="10" style="5" customWidth="1"/>
    <col min="31" max="31" width="12.7265625" style="5" customWidth="1"/>
    <col min="32" max="32" width="13.90625" style="5" customWidth="1"/>
    <col min="33" max="33" width="10" style="5" customWidth="1"/>
    <col min="34" max="34" width="10" style="20" customWidth="1"/>
    <col min="35" max="35" width="10" style="21" customWidth="1"/>
    <col min="36" max="36" width="20.26953125" style="21" customWidth="1"/>
    <col min="37" max="37" width="10.08984375" style="27" bestFit="1" customWidth="1"/>
    <col min="38" max="40" width="10" style="21" bestFit="1" customWidth="1"/>
    <col min="41" max="41" width="10.7265625" style="21" bestFit="1" customWidth="1"/>
    <col min="42" max="42" width="8.7265625" style="21"/>
    <col min="43" max="43" width="10" style="21" bestFit="1" customWidth="1"/>
    <col min="44" max="44" width="10" style="5" bestFit="1" customWidth="1"/>
    <col min="45" max="45" width="37.54296875" style="21" bestFit="1" customWidth="1"/>
    <col min="46" max="16384" width="8.7265625" style="21"/>
  </cols>
  <sheetData>
    <row r="1" spans="1:51" s="5" customFormat="1" ht="18.649999999999999" customHeight="1">
      <c r="A1" s="1" t="s">
        <v>0</v>
      </c>
      <c r="B1" s="2" t="s">
        <v>1</v>
      </c>
      <c r="C1" s="2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2" t="s">
        <v>1</v>
      </c>
      <c r="Q1" s="2" t="s">
        <v>1</v>
      </c>
      <c r="R1" s="2" t="s">
        <v>1</v>
      </c>
      <c r="S1" s="1" t="s">
        <v>0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1" t="s">
        <v>0</v>
      </c>
      <c r="AE1" s="3" t="s">
        <v>2</v>
      </c>
      <c r="AF1" s="3" t="s">
        <v>2</v>
      </c>
      <c r="AG1" s="3" t="s">
        <v>2</v>
      </c>
      <c r="AH1" s="3" t="s">
        <v>2</v>
      </c>
      <c r="AI1" s="1"/>
      <c r="AJ1" s="1"/>
      <c r="AK1" s="3"/>
      <c r="AL1" s="3"/>
      <c r="AM1" s="4"/>
      <c r="AN1" s="2"/>
      <c r="AO1" s="3"/>
      <c r="AP1" s="1"/>
      <c r="AQ1" s="3"/>
      <c r="AR1" s="4"/>
      <c r="AS1" s="4"/>
      <c r="AT1" s="4"/>
      <c r="AU1" s="4"/>
      <c r="AV1" s="4"/>
      <c r="AW1" s="4"/>
      <c r="AX1" s="4"/>
      <c r="AY1" s="4"/>
    </row>
    <row r="2" spans="1:51" s="19" customFormat="1" ht="18.649999999999999" customHeight="1">
      <c r="A2" s="6" t="s">
        <v>3</v>
      </c>
      <c r="B2" s="7" t="s">
        <v>4</v>
      </c>
      <c r="C2" s="6" t="s">
        <v>5</v>
      </c>
      <c r="D2" s="6" t="s">
        <v>6</v>
      </c>
      <c r="E2" s="6" t="s">
        <v>7</v>
      </c>
      <c r="F2" s="8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9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  <c r="T2" s="10" t="s">
        <v>22</v>
      </c>
      <c r="U2" s="11" t="s">
        <v>23</v>
      </c>
      <c r="V2" s="12" t="s">
        <v>24</v>
      </c>
      <c r="W2" s="13" t="s">
        <v>25</v>
      </c>
      <c r="X2" s="14" t="s">
        <v>26</v>
      </c>
      <c r="Y2" s="15" t="s">
        <v>27</v>
      </c>
      <c r="Z2" s="15" t="s">
        <v>28</v>
      </c>
      <c r="AA2" s="14" t="s">
        <v>29</v>
      </c>
      <c r="AB2" s="14" t="s">
        <v>30</v>
      </c>
      <c r="AC2" s="14" t="s">
        <v>31</v>
      </c>
      <c r="AD2" s="6" t="s">
        <v>32</v>
      </c>
      <c r="AE2" s="14" t="s">
        <v>33</v>
      </c>
      <c r="AF2" s="14" t="s">
        <v>34</v>
      </c>
      <c r="AG2" s="14" t="s">
        <v>35</v>
      </c>
      <c r="AH2" s="16" t="s">
        <v>36</v>
      </c>
      <c r="AI2" s="6" t="s">
        <v>37</v>
      </c>
      <c r="AJ2" s="6" t="s">
        <v>38</v>
      </c>
      <c r="AK2" s="6" t="s">
        <v>39</v>
      </c>
      <c r="AL2" s="6" t="s">
        <v>40</v>
      </c>
      <c r="AM2" s="6" t="s">
        <v>41</v>
      </c>
      <c r="AN2" s="6" t="s">
        <v>42</v>
      </c>
      <c r="AO2" s="17" t="s">
        <v>43</v>
      </c>
      <c r="AP2" s="17" t="s">
        <v>44</v>
      </c>
      <c r="AQ2" s="16" t="s">
        <v>45</v>
      </c>
      <c r="AR2" s="18" t="s">
        <v>46</v>
      </c>
      <c r="AS2" s="18" t="s">
        <v>47</v>
      </c>
    </row>
    <row r="3" spans="1:51" ht="18.649999999999999" customHeight="1">
      <c r="D3" s="20" t="s">
        <v>48</v>
      </c>
      <c r="E3" s="22" t="s">
        <v>49</v>
      </c>
      <c r="F3" s="23">
        <v>1000032205</v>
      </c>
      <c r="G3" s="21" t="s">
        <v>50</v>
      </c>
      <c r="H3" s="5" t="s">
        <v>51</v>
      </c>
      <c r="I3" s="5" t="s">
        <v>52</v>
      </c>
      <c r="K3" s="5" t="s">
        <v>53</v>
      </c>
      <c r="M3" s="20" t="s">
        <v>54</v>
      </c>
      <c r="N3" s="5">
        <v>9000242305</v>
      </c>
      <c r="O3" s="5" t="s">
        <v>55</v>
      </c>
      <c r="Q3" s="20">
        <v>6429287200</v>
      </c>
      <c r="R3" s="20" t="s">
        <v>56</v>
      </c>
      <c r="S3" s="5" t="s">
        <v>57</v>
      </c>
      <c r="T3" s="24">
        <v>45962</v>
      </c>
      <c r="U3" s="5">
        <v>45939</v>
      </c>
      <c r="V3" s="5">
        <v>45963</v>
      </c>
      <c r="X3" s="5" t="s">
        <v>58</v>
      </c>
      <c r="Y3" s="5">
        <v>3</v>
      </c>
      <c r="AA3" s="25">
        <v>45988</v>
      </c>
      <c r="AB3" s="25">
        <v>46025</v>
      </c>
      <c r="AD3" s="5" t="s">
        <v>59</v>
      </c>
      <c r="AE3" s="21" t="s">
        <v>60</v>
      </c>
      <c r="AF3" s="24">
        <v>46006</v>
      </c>
      <c r="AG3" s="24">
        <v>46002</v>
      </c>
      <c r="AH3" s="26">
        <v>46029</v>
      </c>
      <c r="AI3" s="27">
        <v>46030</v>
      </c>
      <c r="AJ3" s="27"/>
      <c r="AK3" s="27">
        <v>46016</v>
      </c>
      <c r="AL3" s="21">
        <v>126004.38</v>
      </c>
      <c r="AO3" s="21">
        <v>126004.38</v>
      </c>
      <c r="AP3" s="21" t="s">
        <v>61</v>
      </c>
      <c r="AR3" s="5">
        <v>1</v>
      </c>
      <c r="AS3" s="21" t="s">
        <v>62</v>
      </c>
    </row>
    <row r="4" spans="1:51" ht="18.649999999999999" customHeight="1">
      <c r="D4" s="20" t="s">
        <v>48</v>
      </c>
      <c r="E4" s="22" t="s">
        <v>63</v>
      </c>
      <c r="F4" s="23">
        <v>1000038424</v>
      </c>
      <c r="G4" s="21" t="s">
        <v>64</v>
      </c>
      <c r="H4" s="5">
        <v>5628</v>
      </c>
      <c r="I4" s="5" t="s">
        <v>65</v>
      </c>
      <c r="M4" s="20" t="s">
        <v>66</v>
      </c>
      <c r="N4" s="5" t="s">
        <v>67</v>
      </c>
      <c r="O4" s="5" t="s">
        <v>68</v>
      </c>
      <c r="Q4" s="20" t="s">
        <v>69</v>
      </c>
      <c r="R4" s="20" t="s">
        <v>70</v>
      </c>
      <c r="S4" s="5" t="s">
        <v>71</v>
      </c>
      <c r="T4" s="24">
        <v>46012</v>
      </c>
      <c r="U4" s="5">
        <v>45999</v>
      </c>
      <c r="V4" s="5">
        <v>46017</v>
      </c>
      <c r="X4" s="5" t="s">
        <v>58</v>
      </c>
      <c r="Y4" s="5">
        <v>4</v>
      </c>
      <c r="AA4" s="25">
        <v>45999</v>
      </c>
      <c r="AB4" s="25">
        <v>46020</v>
      </c>
      <c r="AD4" s="5" t="s">
        <v>72</v>
      </c>
      <c r="AE4" s="21"/>
      <c r="AF4" s="24">
        <v>46006</v>
      </c>
      <c r="AG4" s="24">
        <v>46006</v>
      </c>
      <c r="AH4" s="26">
        <v>46028</v>
      </c>
      <c r="AI4" s="27">
        <v>46030</v>
      </c>
      <c r="AJ4" s="27"/>
      <c r="AK4" s="27">
        <v>46016</v>
      </c>
      <c r="AL4" s="21">
        <v>105525</v>
      </c>
      <c r="AO4" s="21">
        <v>105525</v>
      </c>
      <c r="AP4" s="21" t="s">
        <v>61</v>
      </c>
      <c r="AQ4" s="21" t="s">
        <v>53</v>
      </c>
      <c r="AR4" s="5">
        <v>1</v>
      </c>
      <c r="AS4" s="28" t="s">
        <v>73</v>
      </c>
    </row>
    <row r="5" spans="1:51" ht="18.649999999999999" customHeight="1">
      <c r="A5" s="29"/>
      <c r="B5" s="30"/>
      <c r="C5" s="30"/>
      <c r="D5" s="20" t="s">
        <v>48</v>
      </c>
      <c r="E5" s="31" t="s">
        <v>74</v>
      </c>
      <c r="F5" s="31">
        <v>1000037051</v>
      </c>
      <c r="G5" s="32" t="s">
        <v>75</v>
      </c>
      <c r="H5" s="20">
        <v>2000</v>
      </c>
      <c r="I5" s="20" t="s">
        <v>52</v>
      </c>
      <c r="J5" s="33"/>
      <c r="K5" s="30" t="s">
        <v>53</v>
      </c>
      <c r="L5" s="33"/>
      <c r="M5" s="34" t="s">
        <v>76</v>
      </c>
      <c r="N5" s="30" t="s">
        <v>77</v>
      </c>
      <c r="O5" s="20" t="s">
        <v>68</v>
      </c>
      <c r="P5" s="30"/>
      <c r="Q5" s="35" t="s">
        <v>78</v>
      </c>
      <c r="R5" s="30" t="s">
        <v>79</v>
      </c>
      <c r="S5" s="30" t="s">
        <v>80</v>
      </c>
      <c r="T5" s="36">
        <v>46023</v>
      </c>
      <c r="U5" s="37">
        <v>46010</v>
      </c>
      <c r="V5" s="38">
        <v>46024</v>
      </c>
      <c r="W5" s="39"/>
      <c r="X5" s="40" t="s">
        <v>58</v>
      </c>
      <c r="Y5" s="40">
        <v>1</v>
      </c>
      <c r="Z5" s="40"/>
      <c r="AA5" s="41">
        <v>46010</v>
      </c>
      <c r="AB5" s="41">
        <v>46026</v>
      </c>
      <c r="AC5" s="41"/>
      <c r="AD5" s="42" t="s">
        <v>59</v>
      </c>
      <c r="AE5" s="30"/>
      <c r="AF5" s="43">
        <v>46027</v>
      </c>
      <c r="AG5" s="43">
        <v>46017</v>
      </c>
      <c r="AH5" s="43">
        <v>46029</v>
      </c>
      <c r="AI5" s="43">
        <v>46030</v>
      </c>
      <c r="AJ5" s="43"/>
      <c r="AK5" s="44">
        <v>45672</v>
      </c>
      <c r="AL5" s="45">
        <v>40000</v>
      </c>
      <c r="AM5" s="46"/>
      <c r="AN5" s="46"/>
      <c r="AO5" s="47">
        <v>0</v>
      </c>
      <c r="AP5" s="47" t="s">
        <v>61</v>
      </c>
      <c r="AQ5" s="33"/>
      <c r="AR5" s="33"/>
      <c r="AS5" s="33"/>
    </row>
    <row r="6" spans="1:51" ht="18.649999999999999" customHeight="1">
      <c r="A6" s="48"/>
      <c r="B6" s="30"/>
      <c r="C6" s="30"/>
      <c r="D6" s="48" t="s">
        <v>81</v>
      </c>
      <c r="E6" s="49" t="s">
        <v>82</v>
      </c>
      <c r="F6" s="49" t="s">
        <v>83</v>
      </c>
      <c r="G6" s="50" t="s">
        <v>84</v>
      </c>
      <c r="H6" s="30">
        <v>8064</v>
      </c>
      <c r="I6" s="48" t="s">
        <v>85</v>
      </c>
      <c r="J6" s="33" t="s">
        <v>86</v>
      </c>
      <c r="K6" s="30" t="s">
        <v>53</v>
      </c>
      <c r="L6" s="33"/>
      <c r="M6" s="34" t="s">
        <v>87</v>
      </c>
      <c r="N6" s="30">
        <v>2245016446</v>
      </c>
      <c r="O6" s="48" t="s">
        <v>55</v>
      </c>
      <c r="P6" s="30"/>
      <c r="Q6" s="30">
        <v>721154656</v>
      </c>
      <c r="R6" s="36" t="s">
        <v>88</v>
      </c>
      <c r="S6" s="30" t="s">
        <v>89</v>
      </c>
      <c r="T6" s="36">
        <v>46015</v>
      </c>
      <c r="U6" s="37">
        <v>45985</v>
      </c>
      <c r="V6" s="51">
        <v>46015</v>
      </c>
      <c r="W6" s="52"/>
      <c r="X6" s="30" t="s">
        <v>58</v>
      </c>
      <c r="Y6" s="30">
        <v>4</v>
      </c>
      <c r="Z6" s="30"/>
      <c r="AA6" s="53">
        <v>45985</v>
      </c>
      <c r="AB6" s="54">
        <v>46024</v>
      </c>
      <c r="AC6" s="55"/>
      <c r="AD6" s="56" t="s">
        <v>72</v>
      </c>
      <c r="AE6" s="33"/>
      <c r="AF6" s="43">
        <v>45999</v>
      </c>
      <c r="AG6" s="43">
        <v>45989</v>
      </c>
      <c r="AH6" s="43">
        <v>46029</v>
      </c>
      <c r="AI6" s="43">
        <v>46031</v>
      </c>
      <c r="AJ6" s="43"/>
      <c r="AK6" s="57"/>
      <c r="AL6" s="46"/>
      <c r="AM6" s="58"/>
      <c r="AN6" s="59"/>
      <c r="AO6" s="47">
        <v>0</v>
      </c>
      <c r="AP6" s="47" t="s">
        <v>61</v>
      </c>
      <c r="AQ6" s="33"/>
      <c r="AR6" s="30"/>
      <c r="AS6" s="33"/>
    </row>
    <row r="7" spans="1:51" ht="18.649999999999999" customHeight="1">
      <c r="D7" s="20" t="s">
        <v>81</v>
      </c>
      <c r="E7" s="22" t="s">
        <v>82</v>
      </c>
      <c r="F7" s="23" t="s">
        <v>83</v>
      </c>
      <c r="G7" s="21" t="s">
        <v>84</v>
      </c>
      <c r="H7" s="5">
        <v>8064</v>
      </c>
      <c r="I7" s="5" t="s">
        <v>85</v>
      </c>
      <c r="J7" s="21" t="s">
        <v>90</v>
      </c>
      <c r="K7" s="5" t="s">
        <v>53</v>
      </c>
      <c r="M7" s="20" t="s">
        <v>91</v>
      </c>
      <c r="N7" s="5">
        <v>2245030202</v>
      </c>
      <c r="O7" s="5" t="s">
        <v>55</v>
      </c>
      <c r="Q7" s="20">
        <v>721154652</v>
      </c>
      <c r="R7" s="20" t="s">
        <v>88</v>
      </c>
      <c r="S7" s="5" t="s">
        <v>92</v>
      </c>
      <c r="T7" s="24">
        <v>46022</v>
      </c>
      <c r="U7" s="24">
        <v>45992</v>
      </c>
      <c r="V7" s="24">
        <v>46022</v>
      </c>
      <c r="X7" s="5" t="s">
        <v>58</v>
      </c>
      <c r="Y7" s="5">
        <v>4</v>
      </c>
      <c r="AA7" s="25">
        <v>45992</v>
      </c>
      <c r="AB7" s="25">
        <v>46023</v>
      </c>
      <c r="AD7" s="5" t="s">
        <v>72</v>
      </c>
      <c r="AE7" s="21"/>
      <c r="AF7" s="25">
        <v>46017</v>
      </c>
      <c r="AG7" s="25">
        <v>45994</v>
      </c>
      <c r="AH7" s="25">
        <v>46029</v>
      </c>
      <c r="AI7" s="25">
        <v>46031</v>
      </c>
      <c r="AJ7" s="25"/>
      <c r="AK7" s="24"/>
      <c r="AL7" s="5"/>
      <c r="AO7" s="21">
        <v>0</v>
      </c>
      <c r="AP7" s="21" t="s">
        <v>61</v>
      </c>
    </row>
    <row r="8" spans="1:51" ht="18.649999999999999" customHeight="1">
      <c r="A8" s="48"/>
      <c r="B8" s="60" t="s">
        <v>93</v>
      </c>
      <c r="C8" s="30"/>
      <c r="D8" s="48" t="s">
        <v>48</v>
      </c>
      <c r="E8" s="49" t="s">
        <v>63</v>
      </c>
      <c r="F8" s="49">
        <v>1000038424</v>
      </c>
      <c r="G8" s="61" t="s">
        <v>64</v>
      </c>
      <c r="H8" s="30">
        <v>5628</v>
      </c>
      <c r="I8" s="61" t="s">
        <v>65</v>
      </c>
      <c r="J8" s="33"/>
      <c r="K8" s="30" t="s">
        <v>53</v>
      </c>
      <c r="L8" s="33"/>
      <c r="M8" s="62" t="s">
        <v>94</v>
      </c>
      <c r="N8" s="30" t="s">
        <v>95</v>
      </c>
      <c r="O8" s="30" t="s">
        <v>68</v>
      </c>
      <c r="P8" s="30"/>
      <c r="Q8" s="30" t="s">
        <v>96</v>
      </c>
      <c r="R8" s="30" t="s">
        <v>70</v>
      </c>
      <c r="S8" s="63" t="s">
        <v>97</v>
      </c>
      <c r="T8" s="25">
        <v>46012</v>
      </c>
      <c r="U8" s="64">
        <v>46004</v>
      </c>
      <c r="V8" s="65">
        <v>46025</v>
      </c>
      <c r="X8" s="21"/>
      <c r="Y8" s="21"/>
      <c r="AA8" s="25">
        <v>46004</v>
      </c>
      <c r="AB8" s="25">
        <v>46025</v>
      </c>
      <c r="AD8" s="42" t="s">
        <v>72</v>
      </c>
      <c r="AE8" s="21"/>
      <c r="AF8" s="24">
        <v>46016</v>
      </c>
      <c r="AG8" s="24">
        <v>46013</v>
      </c>
      <c r="AH8" s="24">
        <v>46030</v>
      </c>
      <c r="AI8" s="24">
        <v>46031</v>
      </c>
      <c r="AJ8" s="24"/>
      <c r="AK8" s="66">
        <v>46016</v>
      </c>
      <c r="AL8" s="67">
        <v>105525</v>
      </c>
      <c r="AM8" s="68"/>
      <c r="AN8" s="68"/>
      <c r="AO8" s="69">
        <v>105525</v>
      </c>
      <c r="AP8" s="5" t="s">
        <v>61</v>
      </c>
      <c r="AQ8" s="70">
        <v>46004</v>
      </c>
      <c r="AR8" s="71">
        <v>46025</v>
      </c>
      <c r="AS8" s="71"/>
    </row>
    <row r="9" spans="1:51" ht="18.649999999999999" customHeight="1">
      <c r="A9" s="72" t="s">
        <v>98</v>
      </c>
      <c r="B9" s="73"/>
      <c r="C9" s="73"/>
      <c r="D9" s="20" t="s">
        <v>99</v>
      </c>
      <c r="E9" s="31" t="s">
        <v>63</v>
      </c>
      <c r="F9" s="31">
        <v>1000031684</v>
      </c>
      <c r="G9" s="32" t="s">
        <v>100</v>
      </c>
      <c r="H9" s="20" t="s">
        <v>101</v>
      </c>
      <c r="I9" s="48" t="s">
        <v>52</v>
      </c>
      <c r="J9" s="74" t="s">
        <v>102</v>
      </c>
      <c r="K9" s="20" t="s">
        <v>53</v>
      </c>
      <c r="L9" s="22"/>
      <c r="M9" s="75" t="s">
        <v>103</v>
      </c>
      <c r="N9" s="20" t="s">
        <v>104</v>
      </c>
      <c r="O9" s="20" t="s">
        <v>68</v>
      </c>
      <c r="P9" s="20"/>
      <c r="Q9" s="20" t="s">
        <v>105</v>
      </c>
      <c r="R9" s="20" t="s">
        <v>70</v>
      </c>
      <c r="S9" s="20" t="s">
        <v>106</v>
      </c>
      <c r="T9" s="25">
        <v>45992</v>
      </c>
      <c r="U9" s="76">
        <v>46005</v>
      </c>
      <c r="V9" s="76">
        <v>46032</v>
      </c>
      <c r="W9" s="77"/>
      <c r="X9" s="78" t="s">
        <v>58</v>
      </c>
      <c r="Y9" s="78">
        <v>2</v>
      </c>
      <c r="Z9" s="78"/>
      <c r="AA9" s="79">
        <v>46008</v>
      </c>
      <c r="AB9" s="80">
        <v>46029</v>
      </c>
      <c r="AC9" s="80"/>
      <c r="AD9" s="42" t="s">
        <v>72</v>
      </c>
      <c r="AE9" s="20"/>
      <c r="AF9" s="25">
        <v>46013</v>
      </c>
      <c r="AG9" s="25">
        <v>46013</v>
      </c>
      <c r="AH9" s="25">
        <v>46030</v>
      </c>
      <c r="AI9" s="25">
        <v>46031</v>
      </c>
      <c r="AJ9" s="25"/>
      <c r="AK9" s="81">
        <v>46037</v>
      </c>
      <c r="AL9" s="82">
        <v>411505.91999999998</v>
      </c>
      <c r="AM9" s="83"/>
      <c r="AN9" s="83"/>
      <c r="AO9" s="47">
        <v>0</v>
      </c>
      <c r="AP9" s="83" t="s">
        <v>107</v>
      </c>
      <c r="AQ9" s="22" t="s">
        <v>53</v>
      </c>
      <c r="AR9" s="20">
        <v>3</v>
      </c>
      <c r="AS9" s="84" t="s">
        <v>108</v>
      </c>
    </row>
    <row r="10" spans="1:51" ht="18.649999999999999" customHeight="1">
      <c r="A10" s="48"/>
      <c r="B10" s="30"/>
      <c r="C10" s="30"/>
      <c r="D10" s="48" t="s">
        <v>48</v>
      </c>
      <c r="E10" s="49" t="s">
        <v>82</v>
      </c>
      <c r="F10" s="49">
        <v>1000015487</v>
      </c>
      <c r="G10" s="61" t="s">
        <v>109</v>
      </c>
      <c r="H10" s="48">
        <v>1170</v>
      </c>
      <c r="I10" s="48" t="s">
        <v>110</v>
      </c>
      <c r="J10" s="33"/>
      <c r="K10" s="30" t="s">
        <v>53</v>
      </c>
      <c r="L10" s="33"/>
      <c r="M10" s="34" t="s">
        <v>111</v>
      </c>
      <c r="N10" s="30">
        <v>2245051126</v>
      </c>
      <c r="O10" s="48" t="s">
        <v>68</v>
      </c>
      <c r="P10" s="30"/>
      <c r="Q10" s="30" t="s">
        <v>112</v>
      </c>
      <c r="R10" s="48" t="s">
        <v>88</v>
      </c>
      <c r="S10" s="30" t="s">
        <v>113</v>
      </c>
      <c r="T10" s="36">
        <v>46027</v>
      </c>
      <c r="U10" s="37">
        <v>45992</v>
      </c>
      <c r="V10" s="51">
        <v>46022</v>
      </c>
      <c r="W10" s="52"/>
      <c r="X10" s="78" t="s">
        <v>58</v>
      </c>
      <c r="Y10" s="78">
        <v>0.5</v>
      </c>
      <c r="Z10" s="78"/>
      <c r="AA10" s="79">
        <v>45992</v>
      </c>
      <c r="AB10" s="80">
        <v>46023</v>
      </c>
      <c r="AC10" s="85"/>
      <c r="AD10" s="56" t="s">
        <v>72</v>
      </c>
      <c r="AE10" s="33"/>
      <c r="AF10" s="43">
        <v>46000</v>
      </c>
      <c r="AG10" s="43">
        <v>45994</v>
      </c>
      <c r="AH10" s="43">
        <v>46031</v>
      </c>
      <c r="AI10" s="43">
        <v>46036</v>
      </c>
      <c r="AJ10" s="43"/>
      <c r="AK10" s="44">
        <v>46006</v>
      </c>
      <c r="AL10" s="45">
        <v>85562.08</v>
      </c>
      <c r="AM10" s="59"/>
      <c r="AN10" s="59"/>
      <c r="AO10" s="47">
        <v>85562.08</v>
      </c>
      <c r="AP10" s="47" t="s">
        <v>61</v>
      </c>
      <c r="AQ10" s="33"/>
      <c r="AR10" s="30" t="s">
        <v>53</v>
      </c>
      <c r="AS10" s="33" t="s">
        <v>53</v>
      </c>
    </row>
    <row r="11" spans="1:51" ht="18.649999999999999" customHeight="1">
      <c r="A11" s="48"/>
      <c r="B11" s="30"/>
      <c r="C11" s="30"/>
      <c r="D11" s="48" t="s">
        <v>48</v>
      </c>
      <c r="E11" s="49" t="s">
        <v>82</v>
      </c>
      <c r="F11" s="49">
        <v>1000001464</v>
      </c>
      <c r="G11" s="61" t="s">
        <v>114</v>
      </c>
      <c r="H11" s="48">
        <v>225</v>
      </c>
      <c r="I11" s="48" t="s">
        <v>110</v>
      </c>
      <c r="J11" s="33"/>
      <c r="K11" s="30" t="s">
        <v>53</v>
      </c>
      <c r="L11" s="33"/>
      <c r="M11" s="34" t="s">
        <v>115</v>
      </c>
      <c r="N11" s="30">
        <v>2245051126</v>
      </c>
      <c r="O11" s="48" t="s">
        <v>68</v>
      </c>
      <c r="P11" s="30"/>
      <c r="Q11" s="30" t="s">
        <v>112</v>
      </c>
      <c r="R11" s="48" t="s">
        <v>88</v>
      </c>
      <c r="S11" s="30" t="s">
        <v>113</v>
      </c>
      <c r="T11" s="36">
        <v>46027</v>
      </c>
      <c r="U11" s="37">
        <v>45992</v>
      </c>
      <c r="V11" s="51">
        <v>46022</v>
      </c>
      <c r="W11" s="52"/>
      <c r="X11" s="78" t="s">
        <v>58</v>
      </c>
      <c r="Y11" s="78">
        <v>0.5</v>
      </c>
      <c r="Z11" s="78"/>
      <c r="AA11" s="79">
        <v>45992</v>
      </c>
      <c r="AB11" s="80">
        <v>46023</v>
      </c>
      <c r="AC11" s="85"/>
      <c r="AD11" s="56" t="s">
        <v>72</v>
      </c>
      <c r="AE11" s="33"/>
      <c r="AF11" s="43">
        <v>46000</v>
      </c>
      <c r="AG11" s="43">
        <v>45994</v>
      </c>
      <c r="AH11" s="43">
        <v>46031</v>
      </c>
      <c r="AI11" s="43">
        <v>46036</v>
      </c>
      <c r="AJ11" s="43"/>
      <c r="AK11" s="44">
        <v>46006</v>
      </c>
      <c r="AL11" s="45">
        <v>20169.22</v>
      </c>
      <c r="AM11" s="59"/>
      <c r="AN11" s="59"/>
      <c r="AO11" s="47">
        <v>20169.22</v>
      </c>
      <c r="AP11" s="47" t="s">
        <v>61</v>
      </c>
      <c r="AQ11" s="33"/>
      <c r="AR11" s="30"/>
      <c r="AS11" s="33"/>
    </row>
    <row r="12" spans="1:51" ht="18.649999999999999" customHeight="1">
      <c r="A12" s="48"/>
      <c r="B12" s="30"/>
      <c r="C12" s="30"/>
      <c r="D12" s="48" t="s">
        <v>48</v>
      </c>
      <c r="E12" s="49" t="s">
        <v>116</v>
      </c>
      <c r="F12" s="49">
        <v>2000011048</v>
      </c>
      <c r="G12" s="32" t="s">
        <v>117</v>
      </c>
      <c r="H12" s="86">
        <v>90</v>
      </c>
      <c r="I12" s="61" t="s">
        <v>85</v>
      </c>
      <c r="J12" s="33"/>
      <c r="K12" s="30" t="s">
        <v>53</v>
      </c>
      <c r="L12" s="33"/>
      <c r="M12" s="87" t="s">
        <v>118</v>
      </c>
      <c r="N12" s="30" t="s">
        <v>119</v>
      </c>
      <c r="O12" s="30" t="s">
        <v>120</v>
      </c>
      <c r="P12" s="30"/>
      <c r="Q12" s="30" t="s">
        <v>121</v>
      </c>
      <c r="R12" s="30" t="s">
        <v>122</v>
      </c>
      <c r="S12" s="30" t="s">
        <v>122</v>
      </c>
      <c r="T12" s="36">
        <v>46025</v>
      </c>
      <c r="U12" s="88">
        <v>46017</v>
      </c>
      <c r="V12" s="89">
        <v>46021</v>
      </c>
      <c r="W12" s="52"/>
      <c r="X12" s="30" t="s">
        <v>123</v>
      </c>
      <c r="Y12" s="30">
        <v>0.5</v>
      </c>
      <c r="Z12" s="30"/>
      <c r="AA12" s="36">
        <v>46027</v>
      </c>
      <c r="AB12" s="43">
        <v>46031</v>
      </c>
      <c r="AC12" s="43"/>
      <c r="AD12" s="90" t="s">
        <v>122</v>
      </c>
      <c r="AE12" s="33"/>
      <c r="AF12" s="43">
        <v>46030</v>
      </c>
      <c r="AG12" s="43">
        <v>46030</v>
      </c>
      <c r="AH12" s="43">
        <v>46031</v>
      </c>
      <c r="AI12" s="43">
        <v>46034</v>
      </c>
      <c r="AJ12" s="43"/>
      <c r="AK12" s="81">
        <v>46037</v>
      </c>
      <c r="AL12" s="91">
        <v>2308.5</v>
      </c>
      <c r="AM12" s="59"/>
      <c r="AN12" s="59"/>
      <c r="AO12" s="47">
        <v>0</v>
      </c>
      <c r="AP12" s="47" t="s">
        <v>61</v>
      </c>
      <c r="AQ12" s="33"/>
      <c r="AR12" s="30"/>
      <c r="AS12" s="33"/>
    </row>
    <row r="13" spans="1:51" ht="18.649999999999999" customHeight="1">
      <c r="A13" s="48"/>
      <c r="B13" s="30"/>
      <c r="C13" s="30"/>
      <c r="D13" s="48" t="s">
        <v>48</v>
      </c>
      <c r="E13" s="49" t="s">
        <v>116</v>
      </c>
      <c r="F13" s="49">
        <v>2000020375</v>
      </c>
      <c r="G13" s="32" t="s">
        <v>124</v>
      </c>
      <c r="H13" s="86">
        <v>180</v>
      </c>
      <c r="I13" s="61" t="s">
        <v>85</v>
      </c>
      <c r="J13" s="33"/>
      <c r="K13" s="30"/>
      <c r="L13" s="33"/>
      <c r="M13" s="87" t="s">
        <v>125</v>
      </c>
      <c r="N13" s="30" t="s">
        <v>119</v>
      </c>
      <c r="O13" s="30" t="s">
        <v>120</v>
      </c>
      <c r="P13" s="30"/>
      <c r="Q13" s="30" t="s">
        <v>121</v>
      </c>
      <c r="R13" s="30" t="s">
        <v>122</v>
      </c>
      <c r="S13" s="30" t="s">
        <v>122</v>
      </c>
      <c r="T13" s="36">
        <v>46025</v>
      </c>
      <c r="U13" s="88">
        <v>46018</v>
      </c>
      <c r="V13" s="89">
        <v>46021</v>
      </c>
      <c r="W13" s="52"/>
      <c r="X13" s="30" t="s">
        <v>123</v>
      </c>
      <c r="Y13" s="30">
        <v>0.5</v>
      </c>
      <c r="Z13" s="30"/>
      <c r="AA13" s="36">
        <v>46027</v>
      </c>
      <c r="AB13" s="43">
        <v>46031</v>
      </c>
      <c r="AC13" s="43"/>
      <c r="AD13" s="90" t="s">
        <v>122</v>
      </c>
      <c r="AE13" s="33"/>
      <c r="AF13" s="43">
        <v>46030</v>
      </c>
      <c r="AG13" s="43">
        <v>46030</v>
      </c>
      <c r="AH13" s="43">
        <v>46031</v>
      </c>
      <c r="AI13" s="43">
        <v>46034</v>
      </c>
      <c r="AJ13" s="43"/>
      <c r="AK13" s="81">
        <v>46037</v>
      </c>
      <c r="AL13" s="91">
        <v>5985</v>
      </c>
      <c r="AM13" s="59"/>
      <c r="AN13" s="59"/>
      <c r="AO13" s="47">
        <v>0</v>
      </c>
      <c r="AP13" s="47" t="s">
        <v>61</v>
      </c>
      <c r="AQ13" s="33"/>
      <c r="AR13" s="30"/>
      <c r="AS13" s="33"/>
    </row>
    <row r="14" spans="1:51" ht="18.649999999999999" customHeight="1">
      <c r="A14" s="48"/>
      <c r="B14" s="30"/>
      <c r="C14" s="30"/>
      <c r="D14" s="48" t="s">
        <v>48</v>
      </c>
      <c r="E14" s="49" t="s">
        <v>116</v>
      </c>
      <c r="F14" s="49">
        <v>2000006598</v>
      </c>
      <c r="G14" s="32" t="s">
        <v>126</v>
      </c>
      <c r="H14" s="86">
        <v>48</v>
      </c>
      <c r="I14" s="61" t="s">
        <v>85</v>
      </c>
      <c r="J14" s="33"/>
      <c r="K14" s="30"/>
      <c r="L14" s="33"/>
      <c r="M14" s="87" t="s">
        <v>125</v>
      </c>
      <c r="N14" s="30" t="s">
        <v>119</v>
      </c>
      <c r="O14" s="30" t="s">
        <v>120</v>
      </c>
      <c r="P14" s="30"/>
      <c r="Q14" s="30" t="s">
        <v>121</v>
      </c>
      <c r="R14" s="30" t="s">
        <v>122</v>
      </c>
      <c r="S14" s="30" t="s">
        <v>122</v>
      </c>
      <c r="T14" s="36">
        <v>46025</v>
      </c>
      <c r="U14" s="88">
        <v>46018</v>
      </c>
      <c r="V14" s="89">
        <v>46021</v>
      </c>
      <c r="W14" s="52"/>
      <c r="X14" s="30" t="s">
        <v>123</v>
      </c>
      <c r="Y14" s="30">
        <v>0.5</v>
      </c>
      <c r="Z14" s="30"/>
      <c r="AA14" s="36">
        <v>46027</v>
      </c>
      <c r="AB14" s="43">
        <v>46031</v>
      </c>
      <c r="AC14" s="43"/>
      <c r="AD14" s="90" t="s">
        <v>122</v>
      </c>
      <c r="AE14" s="33"/>
      <c r="AF14" s="43">
        <v>46030</v>
      </c>
      <c r="AG14" s="43">
        <v>46030</v>
      </c>
      <c r="AH14" s="43">
        <v>46031</v>
      </c>
      <c r="AI14" s="43">
        <v>46034</v>
      </c>
      <c r="AJ14" s="43"/>
      <c r="AK14" s="81">
        <v>46037</v>
      </c>
      <c r="AL14" s="91">
        <v>1514.4</v>
      </c>
      <c r="AM14" s="59"/>
      <c r="AN14" s="59"/>
      <c r="AO14" s="47">
        <v>0</v>
      </c>
      <c r="AP14" s="47" t="s">
        <v>61</v>
      </c>
      <c r="AQ14" s="33"/>
      <c r="AR14" s="30"/>
      <c r="AS14" s="33"/>
    </row>
    <row r="15" spans="1:51" ht="18.649999999999999" customHeight="1">
      <c r="A15" s="48"/>
      <c r="B15" s="30"/>
      <c r="C15" s="30"/>
      <c r="D15" s="48" t="s">
        <v>48</v>
      </c>
      <c r="E15" s="49" t="s">
        <v>116</v>
      </c>
      <c r="F15" s="49">
        <v>2000011850</v>
      </c>
      <c r="G15" s="32" t="s">
        <v>127</v>
      </c>
      <c r="H15" s="86">
        <v>255</v>
      </c>
      <c r="I15" s="61" t="s">
        <v>85</v>
      </c>
      <c r="J15" s="33"/>
      <c r="K15" s="30"/>
      <c r="L15" s="33"/>
      <c r="M15" s="87" t="s">
        <v>125</v>
      </c>
      <c r="N15" s="30" t="s">
        <v>119</v>
      </c>
      <c r="O15" s="30" t="s">
        <v>120</v>
      </c>
      <c r="P15" s="30"/>
      <c r="Q15" s="30" t="s">
        <v>121</v>
      </c>
      <c r="R15" s="30" t="s">
        <v>122</v>
      </c>
      <c r="S15" s="30" t="s">
        <v>122</v>
      </c>
      <c r="T15" s="36">
        <v>46025</v>
      </c>
      <c r="U15" s="88">
        <v>46018</v>
      </c>
      <c r="V15" s="89">
        <v>46021</v>
      </c>
      <c r="W15" s="52"/>
      <c r="X15" s="30" t="s">
        <v>123</v>
      </c>
      <c r="Y15" s="30">
        <v>0.5</v>
      </c>
      <c r="Z15" s="30"/>
      <c r="AA15" s="36">
        <v>46027</v>
      </c>
      <c r="AB15" s="43">
        <v>46031</v>
      </c>
      <c r="AC15" s="43"/>
      <c r="AD15" s="90" t="s">
        <v>122</v>
      </c>
      <c r="AE15" s="33"/>
      <c r="AF15" s="43">
        <v>46030</v>
      </c>
      <c r="AG15" s="43">
        <v>46030</v>
      </c>
      <c r="AH15" s="43">
        <v>46031</v>
      </c>
      <c r="AI15" s="43">
        <v>46034</v>
      </c>
      <c r="AJ15" s="43"/>
      <c r="AK15" s="81">
        <v>46037</v>
      </c>
      <c r="AL15" s="91">
        <v>5916</v>
      </c>
      <c r="AM15" s="59"/>
      <c r="AN15" s="59"/>
      <c r="AO15" s="47">
        <v>0</v>
      </c>
      <c r="AP15" s="47" t="s">
        <v>61</v>
      </c>
      <c r="AQ15" s="33"/>
      <c r="AR15" s="30"/>
      <c r="AS15" s="33"/>
    </row>
    <row r="16" spans="1:51" ht="18.649999999999999" customHeight="1">
      <c r="A16" s="48"/>
      <c r="B16" s="30"/>
      <c r="C16" s="30"/>
      <c r="D16" s="48" t="s">
        <v>48</v>
      </c>
      <c r="E16" s="49" t="s">
        <v>116</v>
      </c>
      <c r="F16" s="49">
        <v>2000019417</v>
      </c>
      <c r="G16" s="32" t="s">
        <v>128</v>
      </c>
      <c r="H16" s="86">
        <v>275</v>
      </c>
      <c r="I16" s="61" t="s">
        <v>129</v>
      </c>
      <c r="J16" s="33"/>
      <c r="K16" s="30"/>
      <c r="L16" s="33"/>
      <c r="M16" s="87" t="s">
        <v>125</v>
      </c>
      <c r="N16" s="30" t="s">
        <v>119</v>
      </c>
      <c r="O16" s="30" t="s">
        <v>120</v>
      </c>
      <c r="P16" s="30"/>
      <c r="Q16" s="30" t="s">
        <v>121</v>
      </c>
      <c r="R16" s="30" t="s">
        <v>122</v>
      </c>
      <c r="S16" s="30" t="s">
        <v>122</v>
      </c>
      <c r="T16" s="36">
        <v>46025</v>
      </c>
      <c r="U16" s="88">
        <v>46018</v>
      </c>
      <c r="V16" s="89">
        <v>46021</v>
      </c>
      <c r="W16" s="52"/>
      <c r="X16" s="30" t="s">
        <v>123</v>
      </c>
      <c r="Y16" s="30">
        <v>0.5</v>
      </c>
      <c r="Z16" s="30"/>
      <c r="AA16" s="36">
        <v>46027</v>
      </c>
      <c r="AB16" s="43">
        <v>46031</v>
      </c>
      <c r="AC16" s="43"/>
      <c r="AD16" s="90" t="s">
        <v>122</v>
      </c>
      <c r="AE16" s="33"/>
      <c r="AF16" s="43">
        <v>46030</v>
      </c>
      <c r="AG16" s="43">
        <v>46030</v>
      </c>
      <c r="AH16" s="43">
        <v>46031</v>
      </c>
      <c r="AI16" s="43">
        <v>46034</v>
      </c>
      <c r="AJ16" s="43"/>
      <c r="AK16" s="81">
        <v>46037</v>
      </c>
      <c r="AL16" s="91">
        <v>2417.25</v>
      </c>
      <c r="AM16" s="59"/>
      <c r="AN16" s="59"/>
      <c r="AO16" s="47">
        <v>0</v>
      </c>
      <c r="AP16" s="47" t="s">
        <v>61</v>
      </c>
      <c r="AQ16" s="33"/>
      <c r="AR16" s="30"/>
      <c r="AS16" s="33"/>
    </row>
    <row r="17" spans="1:45" ht="18.649999999999999" customHeight="1">
      <c r="A17" s="48"/>
      <c r="B17" s="30"/>
      <c r="C17" s="30"/>
      <c r="D17" s="48" t="s">
        <v>48</v>
      </c>
      <c r="E17" s="49" t="s">
        <v>116</v>
      </c>
      <c r="F17" s="49">
        <v>2000000418</v>
      </c>
      <c r="G17" s="32" t="s">
        <v>130</v>
      </c>
      <c r="H17" s="86">
        <v>225</v>
      </c>
      <c r="I17" s="61" t="s">
        <v>129</v>
      </c>
      <c r="J17" s="33"/>
      <c r="K17" s="30"/>
      <c r="L17" s="33"/>
      <c r="M17" s="87" t="s">
        <v>125</v>
      </c>
      <c r="N17" s="30" t="s">
        <v>119</v>
      </c>
      <c r="O17" s="30" t="s">
        <v>120</v>
      </c>
      <c r="P17" s="30"/>
      <c r="Q17" s="30" t="s">
        <v>121</v>
      </c>
      <c r="R17" s="30" t="s">
        <v>122</v>
      </c>
      <c r="S17" s="30" t="s">
        <v>122</v>
      </c>
      <c r="T17" s="36">
        <v>46025</v>
      </c>
      <c r="U17" s="88">
        <v>46018</v>
      </c>
      <c r="V17" s="89">
        <v>46021</v>
      </c>
      <c r="W17" s="52"/>
      <c r="X17" s="30" t="s">
        <v>123</v>
      </c>
      <c r="Y17" s="30">
        <v>0.5</v>
      </c>
      <c r="Z17" s="30"/>
      <c r="AA17" s="36">
        <v>46027</v>
      </c>
      <c r="AB17" s="43">
        <v>46031</v>
      </c>
      <c r="AC17" s="43"/>
      <c r="AD17" s="90" t="s">
        <v>122</v>
      </c>
      <c r="AE17" s="33"/>
      <c r="AF17" s="43">
        <v>46030</v>
      </c>
      <c r="AG17" s="43">
        <v>46030</v>
      </c>
      <c r="AH17" s="43">
        <v>46031</v>
      </c>
      <c r="AI17" s="43">
        <v>46034</v>
      </c>
      <c r="AJ17" s="43"/>
      <c r="AK17" s="81">
        <v>46037</v>
      </c>
      <c r="AL17" s="91">
        <v>2344.5</v>
      </c>
      <c r="AM17" s="59"/>
      <c r="AN17" s="59"/>
      <c r="AO17" s="47">
        <v>0</v>
      </c>
      <c r="AP17" s="47" t="s">
        <v>61</v>
      </c>
      <c r="AQ17" s="33"/>
      <c r="AR17" s="30"/>
      <c r="AS17" s="33"/>
    </row>
    <row r="18" spans="1:45" ht="18.649999999999999" customHeight="1">
      <c r="A18" s="48"/>
      <c r="B18" s="30"/>
      <c r="C18" s="30"/>
      <c r="D18" s="48" t="s">
        <v>48</v>
      </c>
      <c r="E18" s="49" t="s">
        <v>116</v>
      </c>
      <c r="F18" s="49">
        <v>2000003583</v>
      </c>
      <c r="G18" s="32" t="s">
        <v>131</v>
      </c>
      <c r="H18" s="86">
        <v>24</v>
      </c>
      <c r="I18" s="61" t="s">
        <v>85</v>
      </c>
      <c r="J18" s="33"/>
      <c r="K18" s="30"/>
      <c r="L18" s="33"/>
      <c r="M18" s="87" t="s">
        <v>125</v>
      </c>
      <c r="N18" s="30" t="s">
        <v>119</v>
      </c>
      <c r="O18" s="30" t="s">
        <v>120</v>
      </c>
      <c r="P18" s="30"/>
      <c r="Q18" s="30" t="s">
        <v>121</v>
      </c>
      <c r="R18" s="30" t="s">
        <v>122</v>
      </c>
      <c r="S18" s="30" t="s">
        <v>122</v>
      </c>
      <c r="T18" s="36">
        <v>46025</v>
      </c>
      <c r="U18" s="88">
        <v>46018</v>
      </c>
      <c r="V18" s="89">
        <v>46021</v>
      </c>
      <c r="W18" s="52"/>
      <c r="X18" s="30" t="s">
        <v>123</v>
      </c>
      <c r="Y18" s="30">
        <v>0.5</v>
      </c>
      <c r="Z18" s="30"/>
      <c r="AA18" s="36">
        <v>46027</v>
      </c>
      <c r="AB18" s="43">
        <v>46031</v>
      </c>
      <c r="AC18" s="43"/>
      <c r="AD18" s="90" t="s">
        <v>122</v>
      </c>
      <c r="AE18" s="33"/>
      <c r="AF18" s="43">
        <v>46030</v>
      </c>
      <c r="AG18" s="43">
        <v>46030</v>
      </c>
      <c r="AH18" s="43">
        <v>46031</v>
      </c>
      <c r="AI18" s="43">
        <v>46034</v>
      </c>
      <c r="AJ18" s="43"/>
      <c r="AK18" s="81">
        <v>46037</v>
      </c>
      <c r="AL18" s="91">
        <v>1804.8</v>
      </c>
      <c r="AM18" s="59"/>
      <c r="AN18" s="59"/>
      <c r="AO18" s="47">
        <v>0</v>
      </c>
      <c r="AP18" s="47" t="s">
        <v>61</v>
      </c>
      <c r="AQ18" s="33"/>
      <c r="AR18" s="30"/>
      <c r="AS18" s="33"/>
    </row>
    <row r="19" spans="1:45" ht="18.649999999999999" customHeight="1">
      <c r="A19" s="48"/>
      <c r="B19" s="30"/>
      <c r="C19" s="30"/>
      <c r="D19" s="48" t="s">
        <v>48</v>
      </c>
      <c r="E19" s="49" t="s">
        <v>116</v>
      </c>
      <c r="F19" s="49">
        <v>2000021031</v>
      </c>
      <c r="G19" s="32" t="s">
        <v>132</v>
      </c>
      <c r="H19" s="86">
        <v>60</v>
      </c>
      <c r="I19" s="61" t="s">
        <v>85</v>
      </c>
      <c r="J19" s="33"/>
      <c r="K19" s="30"/>
      <c r="L19" s="33"/>
      <c r="M19" s="87" t="s">
        <v>125</v>
      </c>
      <c r="N19" s="30" t="s">
        <v>119</v>
      </c>
      <c r="O19" s="30" t="s">
        <v>120</v>
      </c>
      <c r="P19" s="30"/>
      <c r="Q19" s="30" t="s">
        <v>121</v>
      </c>
      <c r="R19" s="30" t="s">
        <v>122</v>
      </c>
      <c r="S19" s="30" t="s">
        <v>122</v>
      </c>
      <c r="T19" s="36">
        <v>46025</v>
      </c>
      <c r="U19" s="88">
        <v>46018</v>
      </c>
      <c r="V19" s="89">
        <v>46021</v>
      </c>
      <c r="W19" s="52"/>
      <c r="X19" s="30" t="s">
        <v>123</v>
      </c>
      <c r="Y19" s="30">
        <v>0.5</v>
      </c>
      <c r="Z19" s="30"/>
      <c r="AA19" s="36">
        <v>46027</v>
      </c>
      <c r="AB19" s="43">
        <v>46031</v>
      </c>
      <c r="AC19" s="43"/>
      <c r="AD19" s="90" t="s">
        <v>122</v>
      </c>
      <c r="AE19" s="33"/>
      <c r="AF19" s="43">
        <v>46030</v>
      </c>
      <c r="AG19" s="43">
        <v>46030</v>
      </c>
      <c r="AH19" s="43">
        <v>46031</v>
      </c>
      <c r="AI19" s="43">
        <v>46034</v>
      </c>
      <c r="AJ19" s="43"/>
      <c r="AK19" s="81">
        <v>46037</v>
      </c>
      <c r="AL19" s="91">
        <v>2691</v>
      </c>
      <c r="AM19" s="59"/>
      <c r="AN19" s="59"/>
      <c r="AO19" s="47">
        <v>0</v>
      </c>
      <c r="AP19" s="47" t="s">
        <v>61</v>
      </c>
      <c r="AQ19" s="33"/>
      <c r="AR19" s="30"/>
      <c r="AS19" s="33"/>
    </row>
    <row r="20" spans="1:45" ht="18.649999999999999" customHeight="1">
      <c r="A20" s="48"/>
      <c r="B20" s="30"/>
      <c r="C20" s="30"/>
      <c r="D20" s="48" t="s">
        <v>48</v>
      </c>
      <c r="E20" s="49" t="s">
        <v>116</v>
      </c>
      <c r="F20" s="49">
        <v>2000008060</v>
      </c>
      <c r="G20" s="32" t="s">
        <v>133</v>
      </c>
      <c r="H20" s="86">
        <v>55</v>
      </c>
      <c r="I20" s="61" t="s">
        <v>85</v>
      </c>
      <c r="J20" s="33"/>
      <c r="K20" s="30"/>
      <c r="L20" s="33"/>
      <c r="M20" s="87" t="s">
        <v>125</v>
      </c>
      <c r="N20" s="30" t="s">
        <v>119</v>
      </c>
      <c r="O20" s="30" t="s">
        <v>120</v>
      </c>
      <c r="P20" s="30"/>
      <c r="Q20" s="30" t="s">
        <v>121</v>
      </c>
      <c r="R20" s="30" t="s">
        <v>122</v>
      </c>
      <c r="S20" s="30" t="s">
        <v>122</v>
      </c>
      <c r="T20" s="36">
        <v>46025</v>
      </c>
      <c r="U20" s="88">
        <v>46018</v>
      </c>
      <c r="V20" s="89">
        <v>46021</v>
      </c>
      <c r="W20" s="52"/>
      <c r="X20" s="30" t="s">
        <v>123</v>
      </c>
      <c r="Y20" s="30">
        <v>0.5</v>
      </c>
      <c r="Z20" s="30"/>
      <c r="AA20" s="36">
        <v>46027</v>
      </c>
      <c r="AB20" s="43">
        <v>46031</v>
      </c>
      <c r="AC20" s="43"/>
      <c r="AD20" s="90" t="s">
        <v>122</v>
      </c>
      <c r="AE20" s="33"/>
      <c r="AF20" s="43">
        <v>46030</v>
      </c>
      <c r="AG20" s="43">
        <v>46030</v>
      </c>
      <c r="AH20" s="43">
        <v>46031</v>
      </c>
      <c r="AI20" s="43">
        <v>46034</v>
      </c>
      <c r="AJ20" s="43"/>
      <c r="AK20" s="81">
        <v>46037</v>
      </c>
      <c r="AL20" s="91">
        <v>2890.25</v>
      </c>
      <c r="AM20" s="59"/>
      <c r="AN20" s="59"/>
      <c r="AO20" s="47">
        <v>0</v>
      </c>
      <c r="AP20" s="47" t="s">
        <v>61</v>
      </c>
      <c r="AQ20" s="33"/>
      <c r="AR20" s="30"/>
      <c r="AS20" s="33"/>
    </row>
    <row r="21" spans="1:45" ht="18.649999999999999" customHeight="1">
      <c r="A21" s="48"/>
      <c r="B21" s="30"/>
      <c r="C21" s="30"/>
      <c r="D21" s="48" t="s">
        <v>48</v>
      </c>
      <c r="E21" s="49" t="s">
        <v>116</v>
      </c>
      <c r="F21" s="49">
        <v>2000005877</v>
      </c>
      <c r="G21" s="32" t="s">
        <v>134</v>
      </c>
      <c r="H21" s="86">
        <v>250</v>
      </c>
      <c r="I21" s="61" t="s">
        <v>129</v>
      </c>
      <c r="J21" s="33"/>
      <c r="K21" s="30"/>
      <c r="L21" s="33"/>
      <c r="M21" s="87" t="s">
        <v>125</v>
      </c>
      <c r="N21" s="30" t="s">
        <v>119</v>
      </c>
      <c r="O21" s="30" t="s">
        <v>120</v>
      </c>
      <c r="P21" s="30"/>
      <c r="Q21" s="30" t="s">
        <v>121</v>
      </c>
      <c r="R21" s="30" t="s">
        <v>122</v>
      </c>
      <c r="S21" s="30" t="s">
        <v>122</v>
      </c>
      <c r="T21" s="36">
        <v>46025</v>
      </c>
      <c r="U21" s="88">
        <v>46018</v>
      </c>
      <c r="V21" s="89">
        <v>46021</v>
      </c>
      <c r="W21" s="52"/>
      <c r="X21" s="30" t="s">
        <v>123</v>
      </c>
      <c r="Y21" s="30">
        <v>0.5</v>
      </c>
      <c r="Z21" s="30"/>
      <c r="AA21" s="36">
        <v>46027</v>
      </c>
      <c r="AB21" s="43">
        <v>46031</v>
      </c>
      <c r="AC21" s="43"/>
      <c r="AD21" s="90" t="s">
        <v>122</v>
      </c>
      <c r="AE21" s="33"/>
      <c r="AF21" s="43">
        <v>46030</v>
      </c>
      <c r="AG21" s="43">
        <v>46030</v>
      </c>
      <c r="AH21" s="43">
        <v>46031</v>
      </c>
      <c r="AI21" s="43">
        <v>46034</v>
      </c>
      <c r="AJ21" s="43"/>
      <c r="AK21" s="81">
        <v>46037</v>
      </c>
      <c r="AL21" s="91">
        <v>2597.5</v>
      </c>
      <c r="AM21" s="59"/>
      <c r="AN21" s="59"/>
      <c r="AO21" s="47">
        <v>0</v>
      </c>
      <c r="AP21" s="47" t="s">
        <v>61</v>
      </c>
      <c r="AQ21" s="33"/>
      <c r="AR21" s="30"/>
      <c r="AS21" s="33"/>
    </row>
    <row r="22" spans="1:45" ht="18.649999999999999" customHeight="1">
      <c r="A22" s="48"/>
      <c r="B22" s="30"/>
      <c r="C22" s="30"/>
      <c r="D22" s="48" t="s">
        <v>48</v>
      </c>
      <c r="E22" s="49" t="s">
        <v>63</v>
      </c>
      <c r="F22" s="49">
        <v>1000038424</v>
      </c>
      <c r="G22" s="61" t="s">
        <v>64</v>
      </c>
      <c r="H22" s="30">
        <v>7035</v>
      </c>
      <c r="I22" s="61" t="s">
        <v>65</v>
      </c>
      <c r="J22" s="33"/>
      <c r="K22" s="30" t="s">
        <v>53</v>
      </c>
      <c r="L22" s="33"/>
      <c r="M22" s="34" t="s">
        <v>135</v>
      </c>
      <c r="N22" s="30" t="s">
        <v>136</v>
      </c>
      <c r="O22" s="30" t="s">
        <v>68</v>
      </c>
      <c r="P22" s="30"/>
      <c r="Q22" s="30" t="s">
        <v>137</v>
      </c>
      <c r="R22" s="30" t="s">
        <v>70</v>
      </c>
      <c r="S22" s="92" t="s">
        <v>138</v>
      </c>
      <c r="T22" s="36">
        <v>46027</v>
      </c>
      <c r="U22" s="93">
        <v>46004</v>
      </c>
      <c r="V22" s="88">
        <v>46018</v>
      </c>
      <c r="W22" s="52"/>
      <c r="X22" s="20" t="s">
        <v>58</v>
      </c>
      <c r="Y22" s="20">
        <v>5</v>
      </c>
      <c r="Z22" s="20"/>
      <c r="AA22" s="79">
        <v>46004</v>
      </c>
      <c r="AB22" s="94">
        <v>46028</v>
      </c>
      <c r="AC22" s="95"/>
      <c r="AD22" s="42" t="s">
        <v>72</v>
      </c>
      <c r="AE22" s="33"/>
      <c r="AF22" s="43">
        <v>46014</v>
      </c>
      <c r="AG22" s="43">
        <v>46008</v>
      </c>
      <c r="AH22" s="43">
        <v>46031</v>
      </c>
      <c r="AI22" s="43">
        <v>46035</v>
      </c>
      <c r="AJ22" s="43"/>
      <c r="AK22" s="96">
        <v>46016</v>
      </c>
      <c r="AL22" s="67">
        <v>131906.25</v>
      </c>
      <c r="AM22" s="59"/>
      <c r="AN22" s="59"/>
      <c r="AO22" s="47">
        <v>131906.25</v>
      </c>
      <c r="AP22" s="97" t="s">
        <v>61</v>
      </c>
      <c r="AQ22" s="33"/>
      <c r="AR22" s="30"/>
      <c r="AS22" s="33"/>
    </row>
    <row r="23" spans="1:45" ht="18.649999999999999" customHeight="1">
      <c r="A23" s="48"/>
      <c r="B23" s="30"/>
      <c r="C23" s="30"/>
      <c r="D23" s="48" t="s">
        <v>48</v>
      </c>
      <c r="E23" s="49" t="s">
        <v>63</v>
      </c>
      <c r="F23" s="49">
        <v>1000038424</v>
      </c>
      <c r="G23" s="61" t="s">
        <v>64</v>
      </c>
      <c r="H23" s="30">
        <v>5628</v>
      </c>
      <c r="I23" s="61" t="s">
        <v>65</v>
      </c>
      <c r="J23" s="33"/>
      <c r="K23" s="30" t="s">
        <v>53</v>
      </c>
      <c r="L23" s="33"/>
      <c r="M23" s="34" t="s">
        <v>139</v>
      </c>
      <c r="N23" s="30" t="s">
        <v>140</v>
      </c>
      <c r="O23" s="30" t="s">
        <v>68</v>
      </c>
      <c r="P23" s="30"/>
      <c r="Q23" s="30" t="s">
        <v>141</v>
      </c>
      <c r="R23" s="30" t="s">
        <v>70</v>
      </c>
      <c r="S23" s="92" t="s">
        <v>142</v>
      </c>
      <c r="T23" s="36">
        <v>46037</v>
      </c>
      <c r="U23" s="93">
        <v>46007</v>
      </c>
      <c r="V23" s="98">
        <v>46023</v>
      </c>
      <c r="W23" s="52"/>
      <c r="X23" s="20" t="s">
        <v>58</v>
      </c>
      <c r="Y23" s="20">
        <v>4</v>
      </c>
      <c r="Z23" s="20"/>
      <c r="AA23" s="79">
        <v>46008</v>
      </c>
      <c r="AB23" s="36">
        <v>46028</v>
      </c>
      <c r="AC23" s="98"/>
      <c r="AD23" s="42" t="s">
        <v>72</v>
      </c>
      <c r="AE23" s="33"/>
      <c r="AF23" s="43">
        <v>46014</v>
      </c>
      <c r="AG23" s="43">
        <v>46013</v>
      </c>
      <c r="AH23" s="43">
        <v>46031</v>
      </c>
      <c r="AI23" s="43">
        <v>46035</v>
      </c>
      <c r="AJ23" s="43"/>
      <c r="AK23" s="96">
        <v>46016</v>
      </c>
      <c r="AL23" s="67">
        <v>105525</v>
      </c>
      <c r="AM23" s="59"/>
      <c r="AN23" s="59"/>
      <c r="AO23" s="47">
        <v>105525</v>
      </c>
      <c r="AP23" s="97" t="s">
        <v>61</v>
      </c>
      <c r="AQ23" s="33"/>
      <c r="AR23" s="73" t="s">
        <v>143</v>
      </c>
      <c r="AS23" s="99" t="s">
        <v>73</v>
      </c>
    </row>
    <row r="24" spans="1:45" ht="18.649999999999999" customHeight="1">
      <c r="A24" s="48"/>
      <c r="B24" s="30"/>
      <c r="C24" s="30"/>
      <c r="D24" s="48" t="s">
        <v>81</v>
      </c>
      <c r="E24" s="49" t="s">
        <v>144</v>
      </c>
      <c r="F24" s="49">
        <v>1000037926</v>
      </c>
      <c r="G24" s="49" t="s">
        <v>145</v>
      </c>
      <c r="H24" s="30">
        <v>11200</v>
      </c>
      <c r="I24" s="30" t="s">
        <v>146</v>
      </c>
      <c r="J24" s="33" t="s">
        <v>147</v>
      </c>
      <c r="K24" s="30" t="s">
        <v>53</v>
      </c>
      <c r="L24" s="33"/>
      <c r="M24" s="34" t="s">
        <v>148</v>
      </c>
      <c r="N24" s="30" t="s">
        <v>149</v>
      </c>
      <c r="O24" s="30" t="s">
        <v>150</v>
      </c>
      <c r="P24" s="30"/>
      <c r="Q24" s="30" t="s">
        <v>151</v>
      </c>
      <c r="R24" s="30" t="s">
        <v>152</v>
      </c>
      <c r="S24" s="30" t="s">
        <v>153</v>
      </c>
      <c r="T24" s="36">
        <v>45992</v>
      </c>
      <c r="U24" s="37">
        <v>46011</v>
      </c>
      <c r="V24" s="38">
        <v>46023</v>
      </c>
      <c r="W24" s="52"/>
      <c r="X24" s="5" t="s">
        <v>58</v>
      </c>
      <c r="Y24" s="30">
        <v>2</v>
      </c>
      <c r="Z24" s="30"/>
      <c r="AA24" s="41">
        <v>46011</v>
      </c>
      <c r="AB24" s="41">
        <v>46024</v>
      </c>
      <c r="AC24" s="38"/>
      <c r="AD24" s="56" t="s">
        <v>72</v>
      </c>
      <c r="AE24" s="33"/>
      <c r="AF24" s="43">
        <v>46027</v>
      </c>
      <c r="AG24" s="43">
        <v>46015</v>
      </c>
      <c r="AH24" s="43">
        <v>46031</v>
      </c>
      <c r="AI24" s="43">
        <v>46035</v>
      </c>
      <c r="AJ24" s="43"/>
      <c r="AK24" s="44">
        <v>45967</v>
      </c>
      <c r="AL24" s="45">
        <v>19936</v>
      </c>
      <c r="AM24" s="100">
        <v>46006</v>
      </c>
      <c r="AN24" s="101">
        <v>82770</v>
      </c>
      <c r="AO24" s="47">
        <v>102706</v>
      </c>
      <c r="AP24" s="47" t="s">
        <v>61</v>
      </c>
      <c r="AQ24" s="33"/>
      <c r="AR24" s="30"/>
      <c r="AS24" s="33"/>
    </row>
    <row r="25" spans="1:45" ht="18.649999999999999" customHeight="1">
      <c r="A25" s="48"/>
      <c r="B25" s="30"/>
      <c r="C25" s="30"/>
      <c r="D25" s="48" t="s">
        <v>81</v>
      </c>
      <c r="E25" s="49" t="s">
        <v>82</v>
      </c>
      <c r="F25" s="49" t="s">
        <v>154</v>
      </c>
      <c r="G25" s="50" t="s">
        <v>155</v>
      </c>
      <c r="H25" s="30">
        <v>4032</v>
      </c>
      <c r="I25" s="61" t="s">
        <v>85</v>
      </c>
      <c r="J25" s="102" t="s">
        <v>156</v>
      </c>
      <c r="K25" s="30" t="s">
        <v>53</v>
      </c>
      <c r="L25" s="33"/>
      <c r="M25" s="34" t="s">
        <v>157</v>
      </c>
      <c r="N25" s="30">
        <v>2245066292</v>
      </c>
      <c r="O25" s="48" t="s">
        <v>55</v>
      </c>
      <c r="P25" s="30"/>
      <c r="Q25" s="30">
        <v>721179359</v>
      </c>
      <c r="R25" s="36" t="s">
        <v>88</v>
      </c>
      <c r="S25" s="30" t="s">
        <v>158</v>
      </c>
      <c r="T25" s="36">
        <v>46029</v>
      </c>
      <c r="U25" s="93">
        <v>45999</v>
      </c>
      <c r="V25" s="98">
        <v>46029</v>
      </c>
      <c r="W25" s="52"/>
      <c r="X25" s="78" t="s">
        <v>58</v>
      </c>
      <c r="Y25" s="78">
        <v>2</v>
      </c>
      <c r="Z25" s="78"/>
      <c r="AA25" s="25">
        <v>45999</v>
      </c>
      <c r="AB25" s="25">
        <v>46030</v>
      </c>
      <c r="AC25" s="71"/>
      <c r="AD25" s="56" t="s">
        <v>72</v>
      </c>
      <c r="AE25" s="33"/>
      <c r="AF25" s="43">
        <v>46017</v>
      </c>
      <c r="AG25" s="43">
        <v>46000</v>
      </c>
      <c r="AH25" s="43">
        <v>46031</v>
      </c>
      <c r="AI25" s="43">
        <v>46035</v>
      </c>
      <c r="AJ25" s="43"/>
      <c r="AK25" s="57"/>
      <c r="AL25" s="46"/>
      <c r="AM25" s="59"/>
      <c r="AN25" s="59"/>
      <c r="AO25" s="59"/>
      <c r="AP25" s="59"/>
      <c r="AQ25" s="33"/>
      <c r="AR25" s="30">
        <v>2</v>
      </c>
      <c r="AS25" s="103" t="s">
        <v>159</v>
      </c>
    </row>
    <row r="26" spans="1:45" ht="18.649999999999999" customHeight="1">
      <c r="A26" s="48"/>
      <c r="B26" s="30"/>
      <c r="C26" s="30"/>
      <c r="D26" s="20" t="s">
        <v>160</v>
      </c>
      <c r="E26" s="31" t="s">
        <v>161</v>
      </c>
      <c r="F26" s="49">
        <v>1000033517</v>
      </c>
      <c r="G26" s="61" t="s">
        <v>162</v>
      </c>
      <c r="H26" s="20">
        <v>1008</v>
      </c>
      <c r="I26" s="48" t="s">
        <v>163</v>
      </c>
      <c r="J26" s="33"/>
      <c r="K26" s="30"/>
      <c r="L26" s="33"/>
      <c r="M26" s="34" t="s">
        <v>164</v>
      </c>
      <c r="N26" s="30" t="s">
        <v>165</v>
      </c>
      <c r="O26" s="20" t="s">
        <v>150</v>
      </c>
      <c r="P26" s="30" t="s">
        <v>166</v>
      </c>
      <c r="Q26" s="30" t="s">
        <v>167</v>
      </c>
      <c r="R26" s="30" t="s">
        <v>168</v>
      </c>
      <c r="S26" s="30" t="s">
        <v>169</v>
      </c>
      <c r="T26" s="36">
        <v>46027</v>
      </c>
      <c r="U26" s="37">
        <v>46010</v>
      </c>
      <c r="V26" s="51">
        <v>46016</v>
      </c>
      <c r="W26" s="52"/>
      <c r="X26" s="20" t="s">
        <v>170</v>
      </c>
      <c r="Y26" s="20">
        <v>1</v>
      </c>
      <c r="Z26" s="20"/>
      <c r="AA26" s="104">
        <v>46017</v>
      </c>
      <c r="AB26" s="104">
        <v>46024</v>
      </c>
      <c r="AC26" s="104"/>
      <c r="AD26" s="42" t="s">
        <v>59</v>
      </c>
      <c r="AE26" s="33" t="s">
        <v>60</v>
      </c>
      <c r="AF26" s="43">
        <v>46027</v>
      </c>
      <c r="AG26" s="43">
        <v>46020</v>
      </c>
      <c r="AH26" s="43">
        <v>46032</v>
      </c>
      <c r="AI26" s="43">
        <v>46034</v>
      </c>
      <c r="AJ26" s="43"/>
      <c r="AK26" s="44">
        <v>46006</v>
      </c>
      <c r="AL26" s="45">
        <v>19756.8</v>
      </c>
      <c r="AM26" s="59"/>
      <c r="AN26" s="59"/>
      <c r="AO26" s="47">
        <v>19756.8</v>
      </c>
      <c r="AP26" s="47" t="s">
        <v>61</v>
      </c>
      <c r="AQ26" s="33"/>
      <c r="AR26" s="33"/>
      <c r="AS26" s="33"/>
    </row>
    <row r="27" spans="1:45" ht="18.649999999999999" customHeight="1">
      <c r="A27" s="48"/>
      <c r="B27" s="30"/>
      <c r="C27" s="30"/>
      <c r="D27" s="48" t="s">
        <v>48</v>
      </c>
      <c r="E27" s="49" t="s">
        <v>171</v>
      </c>
      <c r="F27" s="49">
        <v>1000011836</v>
      </c>
      <c r="G27" s="33" t="s">
        <v>172</v>
      </c>
      <c r="H27" s="30">
        <v>300</v>
      </c>
      <c r="I27" s="20" t="s">
        <v>52</v>
      </c>
      <c r="J27" s="33" t="s">
        <v>173</v>
      </c>
      <c r="K27" s="30"/>
      <c r="L27" s="33"/>
      <c r="M27" s="34" t="s">
        <v>174</v>
      </c>
      <c r="N27" s="30" t="s">
        <v>175</v>
      </c>
      <c r="O27" s="20" t="s">
        <v>176</v>
      </c>
      <c r="P27" s="30"/>
      <c r="Q27" s="102" t="s">
        <v>177</v>
      </c>
      <c r="R27" s="52" t="s">
        <v>178</v>
      </c>
      <c r="S27" s="30" t="s">
        <v>179</v>
      </c>
      <c r="T27" s="36">
        <v>46034</v>
      </c>
      <c r="U27" s="37">
        <v>46019</v>
      </c>
      <c r="V27" s="38">
        <v>46034</v>
      </c>
      <c r="W27" s="52"/>
      <c r="X27" s="30" t="s">
        <v>58</v>
      </c>
      <c r="Y27" s="30">
        <v>0.5</v>
      </c>
      <c r="Z27" s="33"/>
      <c r="AA27" s="105">
        <v>46019</v>
      </c>
      <c r="AB27" s="41">
        <v>46034</v>
      </c>
      <c r="AC27" s="106">
        <f>AB27-V27</f>
        <v>0</v>
      </c>
      <c r="AD27" s="42" t="s">
        <v>72</v>
      </c>
      <c r="AE27" s="33"/>
      <c r="AF27" s="43">
        <v>46027</v>
      </c>
      <c r="AG27" s="43">
        <v>46024</v>
      </c>
      <c r="AH27" s="43">
        <v>46036</v>
      </c>
      <c r="AI27" s="43">
        <v>46038</v>
      </c>
      <c r="AJ27" s="43"/>
      <c r="AK27" s="81">
        <v>46037</v>
      </c>
      <c r="AL27" s="91">
        <v>44032.800000000003</v>
      </c>
      <c r="AM27" s="46"/>
      <c r="AN27" s="46"/>
      <c r="AO27" s="47">
        <v>0</v>
      </c>
      <c r="AP27" s="59" t="s">
        <v>180</v>
      </c>
      <c r="AQ27" s="33"/>
      <c r="AR27" s="30"/>
      <c r="AS27" s="33"/>
    </row>
    <row r="28" spans="1:45" ht="18.649999999999999" customHeight="1">
      <c r="A28" s="48"/>
      <c r="B28" s="30"/>
      <c r="C28" s="30"/>
      <c r="D28" s="48" t="s">
        <v>48</v>
      </c>
      <c r="E28" s="49" t="s">
        <v>171</v>
      </c>
      <c r="F28" s="49">
        <v>1000022205</v>
      </c>
      <c r="G28" s="33" t="s">
        <v>181</v>
      </c>
      <c r="H28" s="30">
        <v>600</v>
      </c>
      <c r="I28" s="20" t="s">
        <v>52</v>
      </c>
      <c r="J28" s="33" t="s">
        <v>173</v>
      </c>
      <c r="K28" s="30"/>
      <c r="L28" s="33"/>
      <c r="M28" s="34" t="s">
        <v>174</v>
      </c>
      <c r="N28" s="30" t="s">
        <v>175</v>
      </c>
      <c r="O28" s="20" t="s">
        <v>176</v>
      </c>
      <c r="P28" s="30"/>
      <c r="Q28" s="102" t="s">
        <v>177</v>
      </c>
      <c r="R28" s="52" t="s">
        <v>178</v>
      </c>
      <c r="S28" s="30" t="s">
        <v>179</v>
      </c>
      <c r="T28" s="36">
        <v>46034</v>
      </c>
      <c r="U28" s="37">
        <v>46019</v>
      </c>
      <c r="V28" s="38">
        <v>46034</v>
      </c>
      <c r="W28" s="52"/>
      <c r="X28" s="30" t="s">
        <v>58</v>
      </c>
      <c r="Y28" s="30">
        <v>0.5</v>
      </c>
      <c r="Z28" s="33"/>
      <c r="AA28" s="105">
        <v>46019</v>
      </c>
      <c r="AB28" s="41">
        <v>46034</v>
      </c>
      <c r="AC28" s="106">
        <f>AB28-V28</f>
        <v>0</v>
      </c>
      <c r="AD28" s="42" t="s">
        <v>72</v>
      </c>
      <c r="AE28" s="33"/>
      <c r="AF28" s="43">
        <v>46027</v>
      </c>
      <c r="AG28" s="43">
        <v>46024</v>
      </c>
      <c r="AH28" s="43">
        <v>46036</v>
      </c>
      <c r="AI28" s="43">
        <v>46038</v>
      </c>
      <c r="AJ28" s="43"/>
      <c r="AK28" s="81">
        <v>46037</v>
      </c>
      <c r="AL28" s="91">
        <v>92723.4</v>
      </c>
      <c r="AM28" s="46"/>
      <c r="AN28" s="46"/>
      <c r="AO28" s="47">
        <v>0</v>
      </c>
      <c r="AP28" s="59" t="s">
        <v>180</v>
      </c>
      <c r="AQ28" s="33"/>
      <c r="AR28" s="30"/>
      <c r="AS28" s="33"/>
    </row>
    <row r="29" spans="1:45" ht="18.649999999999999" customHeight="1">
      <c r="A29" s="48"/>
      <c r="B29" s="30"/>
      <c r="C29" s="30"/>
      <c r="D29" s="48" t="s">
        <v>48</v>
      </c>
      <c r="E29" s="49" t="s">
        <v>171</v>
      </c>
      <c r="F29" s="49">
        <v>1000036622</v>
      </c>
      <c r="G29" s="33" t="s">
        <v>182</v>
      </c>
      <c r="H29" s="30">
        <v>530</v>
      </c>
      <c r="I29" s="20" t="s">
        <v>52</v>
      </c>
      <c r="J29" s="33" t="s">
        <v>173</v>
      </c>
      <c r="K29" s="30"/>
      <c r="L29" s="33"/>
      <c r="M29" s="34" t="s">
        <v>174</v>
      </c>
      <c r="N29" s="30" t="s">
        <v>175</v>
      </c>
      <c r="O29" s="20" t="s">
        <v>176</v>
      </c>
      <c r="P29" s="30"/>
      <c r="Q29" s="102" t="s">
        <v>177</v>
      </c>
      <c r="R29" s="52" t="s">
        <v>178</v>
      </c>
      <c r="S29" s="30" t="s">
        <v>179</v>
      </c>
      <c r="T29" s="36">
        <v>46034</v>
      </c>
      <c r="U29" s="37">
        <v>46019</v>
      </c>
      <c r="V29" s="38">
        <v>46034</v>
      </c>
      <c r="W29" s="52"/>
      <c r="X29" s="30" t="s">
        <v>58</v>
      </c>
      <c r="Y29" s="30">
        <v>0.5</v>
      </c>
      <c r="Z29" s="33"/>
      <c r="AA29" s="105">
        <v>46019</v>
      </c>
      <c r="AB29" s="41">
        <v>46034</v>
      </c>
      <c r="AC29" s="106">
        <f>AB29-V29</f>
        <v>0</v>
      </c>
      <c r="AD29" s="42" t="s">
        <v>72</v>
      </c>
      <c r="AE29" s="33"/>
      <c r="AF29" s="43">
        <v>46027</v>
      </c>
      <c r="AG29" s="43">
        <v>46024</v>
      </c>
      <c r="AH29" s="43">
        <v>46036</v>
      </c>
      <c r="AI29" s="43">
        <v>46038</v>
      </c>
      <c r="AJ29" s="43"/>
      <c r="AK29" s="81">
        <v>46037</v>
      </c>
      <c r="AL29" s="91">
        <v>80912.98</v>
      </c>
      <c r="AM29" s="46"/>
      <c r="AN29" s="46"/>
      <c r="AO29" s="47">
        <v>0</v>
      </c>
      <c r="AP29" s="59" t="s">
        <v>180</v>
      </c>
      <c r="AQ29" s="33"/>
      <c r="AR29" s="30"/>
      <c r="AS29" s="33"/>
    </row>
    <row r="30" spans="1:45" ht="18.649999999999999" customHeight="1">
      <c r="A30" s="48"/>
      <c r="B30" s="30"/>
      <c r="C30" s="30"/>
      <c r="D30" s="48" t="s">
        <v>183</v>
      </c>
      <c r="E30" s="49" t="s">
        <v>184</v>
      </c>
      <c r="F30" s="49">
        <v>1000010127</v>
      </c>
      <c r="G30" s="107" t="s">
        <v>185</v>
      </c>
      <c r="H30" s="108">
        <v>888</v>
      </c>
      <c r="I30" s="108" t="s">
        <v>52</v>
      </c>
      <c r="J30" s="33" t="s">
        <v>186</v>
      </c>
      <c r="K30" s="30"/>
      <c r="L30" s="33"/>
      <c r="M30" s="34" t="s">
        <v>187</v>
      </c>
      <c r="N30" s="30" t="s">
        <v>188</v>
      </c>
      <c r="O30" s="30" t="s">
        <v>189</v>
      </c>
      <c r="P30" s="30"/>
      <c r="Q30" s="109" t="s">
        <v>190</v>
      </c>
      <c r="R30" s="48" t="s">
        <v>178</v>
      </c>
      <c r="S30" s="30" t="s">
        <v>191</v>
      </c>
      <c r="T30" s="36">
        <v>46034</v>
      </c>
      <c r="U30" s="93">
        <v>46030</v>
      </c>
      <c r="V30" s="98">
        <v>46034</v>
      </c>
      <c r="W30" s="52"/>
      <c r="X30" s="30" t="s">
        <v>58</v>
      </c>
      <c r="Y30" s="30">
        <v>0.5</v>
      </c>
      <c r="Z30" s="30"/>
      <c r="AA30" s="36">
        <v>46030</v>
      </c>
      <c r="AB30" s="36">
        <v>46034</v>
      </c>
      <c r="AC30" s="98"/>
      <c r="AD30" s="56" t="s">
        <v>72</v>
      </c>
      <c r="AE30" s="33"/>
      <c r="AF30" s="43">
        <v>46030</v>
      </c>
      <c r="AG30" s="43">
        <v>46029</v>
      </c>
      <c r="AH30" s="43">
        <v>46037</v>
      </c>
      <c r="AI30" s="43">
        <v>46038</v>
      </c>
      <c r="AJ30" s="43"/>
      <c r="AK30" s="110"/>
      <c r="AL30" s="46"/>
      <c r="AM30" s="59"/>
      <c r="AN30" s="59"/>
      <c r="AO30" s="59"/>
      <c r="AP30" s="59"/>
      <c r="AQ30" s="33"/>
      <c r="AR30" s="30"/>
      <c r="AS30" s="33"/>
    </row>
    <row r="31" spans="1:45" ht="18.649999999999999" customHeight="1">
      <c r="A31" s="48"/>
      <c r="B31" s="30"/>
      <c r="C31" s="30"/>
      <c r="D31" s="48" t="s">
        <v>183</v>
      </c>
      <c r="E31" s="49" t="s">
        <v>184</v>
      </c>
      <c r="F31" s="49">
        <v>1000013084</v>
      </c>
      <c r="G31" s="107" t="s">
        <v>192</v>
      </c>
      <c r="H31" s="108">
        <v>40</v>
      </c>
      <c r="I31" s="108" t="s">
        <v>52</v>
      </c>
      <c r="J31" s="33"/>
      <c r="K31" s="30"/>
      <c r="L31" s="33"/>
      <c r="M31" s="34" t="s">
        <v>187</v>
      </c>
      <c r="N31" s="30" t="s">
        <v>188</v>
      </c>
      <c r="O31" s="30" t="s">
        <v>189</v>
      </c>
      <c r="P31" s="30"/>
      <c r="Q31" s="109" t="s">
        <v>190</v>
      </c>
      <c r="R31" s="48" t="s">
        <v>178</v>
      </c>
      <c r="S31" s="30" t="s">
        <v>191</v>
      </c>
      <c r="T31" s="36">
        <v>46034</v>
      </c>
      <c r="U31" s="93">
        <v>46030</v>
      </c>
      <c r="V31" s="98">
        <v>46034</v>
      </c>
      <c r="W31" s="30" t="s">
        <v>58</v>
      </c>
      <c r="X31" s="30" t="s">
        <v>58</v>
      </c>
      <c r="Y31" s="30">
        <v>0.5</v>
      </c>
      <c r="Z31" s="30"/>
      <c r="AA31" s="36">
        <v>46030</v>
      </c>
      <c r="AB31" s="36">
        <v>46034</v>
      </c>
      <c r="AC31" s="98"/>
      <c r="AD31" s="56" t="s">
        <v>72</v>
      </c>
      <c r="AE31" s="33"/>
      <c r="AF31" s="43">
        <v>46030</v>
      </c>
      <c r="AG31" s="43">
        <v>46029</v>
      </c>
      <c r="AH31" s="43">
        <v>46037</v>
      </c>
      <c r="AI31" s="43">
        <v>46038</v>
      </c>
      <c r="AJ31" s="43"/>
      <c r="AK31" s="110"/>
      <c r="AL31" s="46"/>
      <c r="AM31" s="59"/>
      <c r="AN31" s="59"/>
      <c r="AO31" s="59"/>
      <c r="AP31" s="59"/>
      <c r="AQ31" s="33"/>
      <c r="AR31" s="30"/>
      <c r="AS31" s="33"/>
    </row>
    <row r="32" spans="1:45" ht="18.649999999999999" customHeight="1">
      <c r="A32" s="48"/>
      <c r="B32" s="30"/>
      <c r="C32" s="30"/>
      <c r="D32" s="48" t="s">
        <v>183</v>
      </c>
      <c r="E32" s="49" t="s">
        <v>184</v>
      </c>
      <c r="F32" s="49">
        <v>1000017944</v>
      </c>
      <c r="G32" s="107" t="s">
        <v>193</v>
      </c>
      <c r="H32" s="108">
        <v>80</v>
      </c>
      <c r="I32" s="108" t="s">
        <v>52</v>
      </c>
      <c r="J32" s="33"/>
      <c r="K32" s="30"/>
      <c r="L32" s="33"/>
      <c r="M32" s="34" t="s">
        <v>187</v>
      </c>
      <c r="N32" s="30" t="s">
        <v>188</v>
      </c>
      <c r="O32" s="30" t="s">
        <v>189</v>
      </c>
      <c r="P32" s="30"/>
      <c r="Q32" s="109" t="s">
        <v>190</v>
      </c>
      <c r="R32" s="48" t="s">
        <v>178</v>
      </c>
      <c r="S32" s="30" t="s">
        <v>191</v>
      </c>
      <c r="T32" s="36">
        <v>46034</v>
      </c>
      <c r="U32" s="93">
        <v>46030</v>
      </c>
      <c r="V32" s="98">
        <v>46034</v>
      </c>
      <c r="W32" s="52"/>
      <c r="X32" s="30" t="s">
        <v>58</v>
      </c>
      <c r="Y32" s="30">
        <v>0.5</v>
      </c>
      <c r="Z32" s="30"/>
      <c r="AA32" s="36">
        <v>46030</v>
      </c>
      <c r="AB32" s="36">
        <v>46034</v>
      </c>
      <c r="AC32" s="98"/>
      <c r="AD32" s="56" t="s">
        <v>72</v>
      </c>
      <c r="AE32" s="33"/>
      <c r="AF32" s="43">
        <v>46030</v>
      </c>
      <c r="AG32" s="43">
        <v>46029</v>
      </c>
      <c r="AH32" s="43">
        <v>46037</v>
      </c>
      <c r="AI32" s="43">
        <v>46038</v>
      </c>
      <c r="AJ32" s="43"/>
      <c r="AK32" s="110"/>
      <c r="AL32" s="46"/>
      <c r="AM32" s="59"/>
      <c r="AN32" s="59"/>
      <c r="AO32" s="59"/>
      <c r="AP32" s="59"/>
      <c r="AQ32" s="33"/>
      <c r="AR32" s="30"/>
      <c r="AS32" s="33"/>
    </row>
    <row r="33" spans="1:45" ht="18.649999999999999" customHeight="1">
      <c r="A33" s="48"/>
      <c r="B33" s="30"/>
      <c r="C33" s="30"/>
      <c r="D33" s="48" t="s">
        <v>194</v>
      </c>
      <c r="E33" s="49" t="s">
        <v>195</v>
      </c>
      <c r="F33" s="49">
        <v>1000019495</v>
      </c>
      <c r="G33" s="107" t="s">
        <v>196</v>
      </c>
      <c r="H33" s="108">
        <v>1500</v>
      </c>
      <c r="I33" s="108" t="s">
        <v>85</v>
      </c>
      <c r="J33" s="33" t="s">
        <v>197</v>
      </c>
      <c r="K33" s="30" t="s">
        <v>53</v>
      </c>
      <c r="L33" s="33"/>
      <c r="M33" s="34" t="s">
        <v>198</v>
      </c>
      <c r="N33" s="30" t="s">
        <v>199</v>
      </c>
      <c r="O33" s="48" t="s">
        <v>68</v>
      </c>
      <c r="P33" s="30"/>
      <c r="Q33" s="30" t="s">
        <v>200</v>
      </c>
      <c r="R33" s="30" t="s">
        <v>201</v>
      </c>
      <c r="S33" s="30" t="s">
        <v>202</v>
      </c>
      <c r="T33" s="111">
        <v>46034</v>
      </c>
      <c r="U33" s="93">
        <v>46025</v>
      </c>
      <c r="V33" s="88">
        <v>46033</v>
      </c>
      <c r="W33" s="52"/>
      <c r="X33" s="30" t="s">
        <v>123</v>
      </c>
      <c r="Y33" s="30">
        <v>1</v>
      </c>
      <c r="Z33" s="30"/>
      <c r="AA33" s="36">
        <v>46025</v>
      </c>
      <c r="AB33" s="36">
        <v>46033</v>
      </c>
      <c r="AC33" s="88"/>
      <c r="AD33" s="56" t="s">
        <v>72</v>
      </c>
      <c r="AE33" s="33"/>
      <c r="AF33" s="43">
        <v>46029</v>
      </c>
      <c r="AG33" s="43">
        <v>46027</v>
      </c>
      <c r="AH33" s="43">
        <v>46037</v>
      </c>
      <c r="AI33" s="43">
        <v>46038</v>
      </c>
      <c r="AJ33" s="43"/>
      <c r="AK33" s="44">
        <v>46037</v>
      </c>
      <c r="AL33" s="45">
        <v>46560</v>
      </c>
      <c r="AM33" s="59"/>
      <c r="AN33" s="59"/>
      <c r="AO33" s="97"/>
      <c r="AP33" s="97" t="s">
        <v>53</v>
      </c>
      <c r="AQ33" s="33" t="s">
        <v>53</v>
      </c>
      <c r="AR33" s="30"/>
      <c r="AS33" s="33"/>
    </row>
    <row r="34" spans="1:45" ht="18.649999999999999" customHeight="1">
      <c r="A34" s="48"/>
      <c r="B34" s="30"/>
      <c r="C34" s="30"/>
      <c r="D34" s="48" t="s">
        <v>99</v>
      </c>
      <c r="E34" s="49" t="s">
        <v>203</v>
      </c>
      <c r="F34" s="49">
        <v>1000038821</v>
      </c>
      <c r="G34" s="33" t="s">
        <v>204</v>
      </c>
      <c r="H34" s="30">
        <v>4</v>
      </c>
      <c r="I34" s="30" t="s">
        <v>205</v>
      </c>
      <c r="J34" s="33"/>
      <c r="K34" s="30" t="s">
        <v>53</v>
      </c>
      <c r="L34" s="33"/>
      <c r="M34" s="97" t="s">
        <v>206</v>
      </c>
      <c r="N34" s="30">
        <v>6293</v>
      </c>
      <c r="O34" s="30" t="s">
        <v>55</v>
      </c>
      <c r="P34" s="30"/>
      <c r="Q34" s="35" t="s">
        <v>207</v>
      </c>
      <c r="R34" s="30" t="s">
        <v>79</v>
      </c>
      <c r="S34" s="30" t="s">
        <v>208</v>
      </c>
      <c r="T34" s="36">
        <v>45981</v>
      </c>
      <c r="U34" s="37">
        <v>45958</v>
      </c>
      <c r="V34" s="51">
        <v>46011</v>
      </c>
      <c r="W34" s="52"/>
      <c r="X34" s="30" t="s">
        <v>209</v>
      </c>
      <c r="Y34" s="30">
        <v>1</v>
      </c>
      <c r="Z34" s="30"/>
      <c r="AA34" s="112">
        <v>45958</v>
      </c>
      <c r="AB34" s="80">
        <v>46028</v>
      </c>
      <c r="AC34" s="85"/>
      <c r="AD34" s="56" t="s">
        <v>72</v>
      </c>
      <c r="AE34" s="33"/>
      <c r="AF34" s="43">
        <v>45989</v>
      </c>
      <c r="AG34" s="43">
        <v>45989</v>
      </c>
      <c r="AH34" s="43">
        <v>46037</v>
      </c>
      <c r="AI34" s="43">
        <v>46038</v>
      </c>
      <c r="AJ34" s="43"/>
      <c r="AK34" s="44">
        <v>45986</v>
      </c>
      <c r="AL34" s="113">
        <v>1427.84</v>
      </c>
      <c r="AM34" s="59"/>
      <c r="AN34" s="59"/>
      <c r="AO34" s="47">
        <v>1427.84</v>
      </c>
      <c r="AP34" s="47" t="s">
        <v>61</v>
      </c>
      <c r="AQ34" s="33"/>
      <c r="AR34" s="30"/>
      <c r="AS34" s="33"/>
    </row>
    <row r="35" spans="1:45" ht="18.649999999999999" customHeight="1">
      <c r="A35" s="114"/>
      <c r="B35" s="30"/>
      <c r="C35" s="30"/>
      <c r="D35" s="48" t="s">
        <v>48</v>
      </c>
      <c r="E35" s="49" t="s">
        <v>210</v>
      </c>
      <c r="F35" s="49">
        <v>2000007982</v>
      </c>
      <c r="G35" s="33" t="s">
        <v>211</v>
      </c>
      <c r="H35" s="30">
        <v>50</v>
      </c>
      <c r="I35" s="33" t="s">
        <v>212</v>
      </c>
      <c r="J35" s="33" t="s">
        <v>213</v>
      </c>
      <c r="K35" s="30"/>
      <c r="L35" s="33"/>
      <c r="M35" s="34" t="s">
        <v>214</v>
      </c>
      <c r="N35" s="30">
        <v>28026148</v>
      </c>
      <c r="O35" s="20" t="s">
        <v>189</v>
      </c>
      <c r="P35" s="30"/>
      <c r="Q35" s="30">
        <v>4635111</v>
      </c>
      <c r="R35" s="30" t="s">
        <v>215</v>
      </c>
      <c r="S35" s="30" t="s">
        <v>216</v>
      </c>
      <c r="T35" s="25">
        <v>45992</v>
      </c>
      <c r="U35" s="37">
        <v>46028</v>
      </c>
      <c r="V35" s="51">
        <v>46030</v>
      </c>
      <c r="W35" s="39"/>
      <c r="X35" s="40" t="s">
        <v>217</v>
      </c>
      <c r="Y35" s="40">
        <v>0.5</v>
      </c>
      <c r="Z35" s="40"/>
      <c r="AA35" s="41">
        <v>46028</v>
      </c>
      <c r="AB35" s="41">
        <v>46030</v>
      </c>
      <c r="AC35" s="40"/>
      <c r="AD35" s="42" t="s">
        <v>72</v>
      </c>
      <c r="AE35" s="30"/>
      <c r="AF35" s="43">
        <v>46031</v>
      </c>
      <c r="AG35" s="43">
        <v>46031</v>
      </c>
      <c r="AH35" s="43">
        <v>46038</v>
      </c>
      <c r="AI35" s="43">
        <v>46041</v>
      </c>
      <c r="AJ35" s="43"/>
      <c r="AK35" s="44">
        <v>45976</v>
      </c>
      <c r="AL35" s="115">
        <v>133.75</v>
      </c>
      <c r="AM35" s="100">
        <v>46047</v>
      </c>
      <c r="AN35" s="115">
        <v>133.75</v>
      </c>
      <c r="AO35" s="47">
        <v>133.75</v>
      </c>
      <c r="AP35" s="47" t="s">
        <v>61</v>
      </c>
      <c r="AQ35" s="33"/>
      <c r="AR35" s="33"/>
      <c r="AS35" s="33"/>
    </row>
    <row r="36" spans="1:45" ht="18.649999999999999" customHeight="1">
      <c r="A36" s="114"/>
      <c r="B36" s="30"/>
      <c r="C36" s="30"/>
      <c r="D36" s="48" t="s">
        <v>48</v>
      </c>
      <c r="E36" s="49" t="s">
        <v>210</v>
      </c>
      <c r="F36" s="49">
        <v>2000015102</v>
      </c>
      <c r="G36" s="33" t="s">
        <v>218</v>
      </c>
      <c r="H36" s="30">
        <v>9</v>
      </c>
      <c r="I36" s="33" t="s">
        <v>219</v>
      </c>
      <c r="J36" s="33"/>
      <c r="K36" s="30"/>
      <c r="L36" s="33"/>
      <c r="M36" s="34" t="s">
        <v>220</v>
      </c>
      <c r="N36" s="30">
        <v>28026148</v>
      </c>
      <c r="O36" s="20" t="s">
        <v>189</v>
      </c>
      <c r="P36" s="30"/>
      <c r="Q36" s="30">
        <v>4635111</v>
      </c>
      <c r="R36" s="30" t="s">
        <v>215</v>
      </c>
      <c r="S36" s="30" t="s">
        <v>216</v>
      </c>
      <c r="T36" s="25">
        <v>45992</v>
      </c>
      <c r="U36" s="37">
        <v>46028</v>
      </c>
      <c r="V36" s="51">
        <v>46030</v>
      </c>
      <c r="W36" s="39"/>
      <c r="X36" s="40" t="s">
        <v>217</v>
      </c>
      <c r="Y36" s="40">
        <v>0.5</v>
      </c>
      <c r="Z36" s="40"/>
      <c r="AA36" s="41">
        <v>46028</v>
      </c>
      <c r="AB36" s="41">
        <v>46030</v>
      </c>
      <c r="AC36" s="40"/>
      <c r="AD36" s="42" t="s">
        <v>72</v>
      </c>
      <c r="AE36" s="30"/>
      <c r="AF36" s="43">
        <v>46031</v>
      </c>
      <c r="AG36" s="43">
        <v>46031</v>
      </c>
      <c r="AH36" s="43">
        <v>46038</v>
      </c>
      <c r="AI36" s="43">
        <v>46041</v>
      </c>
      <c r="AJ36" s="43"/>
      <c r="AK36" s="44">
        <v>45976</v>
      </c>
      <c r="AL36" s="115">
        <v>298.39499999999998</v>
      </c>
      <c r="AM36" s="100">
        <v>46047</v>
      </c>
      <c r="AN36" s="115">
        <v>298.39499999999998</v>
      </c>
      <c r="AO36" s="47">
        <v>298.39499999999998</v>
      </c>
      <c r="AP36" s="47" t="s">
        <v>61</v>
      </c>
      <c r="AQ36" s="33"/>
      <c r="AR36" s="33"/>
      <c r="AS36" s="33"/>
    </row>
    <row r="37" spans="1:45" ht="18.649999999999999" customHeight="1">
      <c r="A37" s="114"/>
      <c r="B37" s="30"/>
      <c r="C37" s="30"/>
      <c r="D37" s="48" t="s">
        <v>48</v>
      </c>
      <c r="E37" s="49" t="s">
        <v>210</v>
      </c>
      <c r="F37" s="49">
        <v>2000020029</v>
      </c>
      <c r="G37" s="33" t="s">
        <v>221</v>
      </c>
      <c r="H37" s="30">
        <v>60</v>
      </c>
      <c r="I37" s="33" t="s">
        <v>212</v>
      </c>
      <c r="J37" s="33"/>
      <c r="K37" s="30"/>
      <c r="L37" s="33"/>
      <c r="M37" s="34" t="s">
        <v>220</v>
      </c>
      <c r="N37" s="30">
        <v>28026148</v>
      </c>
      <c r="O37" s="20" t="s">
        <v>189</v>
      </c>
      <c r="P37" s="30"/>
      <c r="Q37" s="30">
        <v>4635111</v>
      </c>
      <c r="R37" s="30" t="s">
        <v>215</v>
      </c>
      <c r="S37" s="30" t="s">
        <v>216</v>
      </c>
      <c r="T37" s="25">
        <v>45992</v>
      </c>
      <c r="U37" s="37">
        <v>46028</v>
      </c>
      <c r="V37" s="51">
        <v>46030</v>
      </c>
      <c r="W37" s="39"/>
      <c r="X37" s="40" t="s">
        <v>217</v>
      </c>
      <c r="Y37" s="40">
        <v>0.5</v>
      </c>
      <c r="Z37" s="40"/>
      <c r="AA37" s="41">
        <v>46028</v>
      </c>
      <c r="AB37" s="41">
        <v>46030</v>
      </c>
      <c r="AC37" s="40"/>
      <c r="AD37" s="42" t="s">
        <v>72</v>
      </c>
      <c r="AE37" s="30"/>
      <c r="AF37" s="43">
        <v>46031</v>
      </c>
      <c r="AG37" s="43">
        <v>46031</v>
      </c>
      <c r="AH37" s="43">
        <v>46038</v>
      </c>
      <c r="AI37" s="43">
        <v>46041</v>
      </c>
      <c r="AJ37" s="43"/>
      <c r="AK37" s="44">
        <v>45976</v>
      </c>
      <c r="AL37" s="115">
        <v>291.3</v>
      </c>
      <c r="AM37" s="100">
        <v>46047</v>
      </c>
      <c r="AN37" s="115">
        <v>291.3</v>
      </c>
      <c r="AO37" s="47">
        <v>291.3</v>
      </c>
      <c r="AP37" s="47" t="s">
        <v>61</v>
      </c>
      <c r="AQ37" s="33"/>
      <c r="AR37" s="33"/>
      <c r="AS37" s="33"/>
    </row>
    <row r="38" spans="1:45" ht="18.649999999999999" customHeight="1">
      <c r="A38" s="114"/>
      <c r="B38" s="30"/>
      <c r="C38" s="30"/>
      <c r="D38" s="48" t="s">
        <v>48</v>
      </c>
      <c r="E38" s="49" t="s">
        <v>210</v>
      </c>
      <c r="F38" s="49">
        <v>2000005878</v>
      </c>
      <c r="G38" s="33" t="s">
        <v>222</v>
      </c>
      <c r="H38" s="30">
        <v>20</v>
      </c>
      <c r="I38" s="33" t="s">
        <v>212</v>
      </c>
      <c r="J38" s="33"/>
      <c r="K38" s="30"/>
      <c r="L38" s="33"/>
      <c r="M38" s="34" t="s">
        <v>214</v>
      </c>
      <c r="N38" s="30">
        <v>28026148</v>
      </c>
      <c r="O38" s="20" t="s">
        <v>189</v>
      </c>
      <c r="P38" s="30"/>
      <c r="Q38" s="30">
        <v>4635111</v>
      </c>
      <c r="R38" s="30" t="s">
        <v>215</v>
      </c>
      <c r="S38" s="30" t="s">
        <v>216</v>
      </c>
      <c r="T38" s="25">
        <v>45992</v>
      </c>
      <c r="U38" s="37">
        <v>46028</v>
      </c>
      <c r="V38" s="51">
        <v>46030</v>
      </c>
      <c r="W38" s="39"/>
      <c r="X38" s="40" t="s">
        <v>217</v>
      </c>
      <c r="Y38" s="40">
        <v>0.5</v>
      </c>
      <c r="Z38" s="40"/>
      <c r="AA38" s="41">
        <v>46028</v>
      </c>
      <c r="AB38" s="41">
        <v>46030</v>
      </c>
      <c r="AC38" s="40"/>
      <c r="AD38" s="42" t="s">
        <v>72</v>
      </c>
      <c r="AE38" s="30"/>
      <c r="AF38" s="43">
        <v>46031</v>
      </c>
      <c r="AG38" s="43">
        <v>46031</v>
      </c>
      <c r="AH38" s="43">
        <v>46038</v>
      </c>
      <c r="AI38" s="43">
        <v>46041</v>
      </c>
      <c r="AJ38" s="43"/>
      <c r="AK38" s="44">
        <v>45976</v>
      </c>
      <c r="AL38" s="116">
        <v>32.1</v>
      </c>
      <c r="AM38" s="100">
        <v>46047</v>
      </c>
      <c r="AN38" s="116">
        <v>32.1</v>
      </c>
      <c r="AO38" s="47">
        <v>32.1</v>
      </c>
      <c r="AP38" s="47" t="s">
        <v>61</v>
      </c>
      <c r="AQ38" s="33"/>
      <c r="AR38" s="33"/>
      <c r="AS38" s="33"/>
    </row>
    <row r="39" spans="1:45" ht="18.649999999999999" customHeight="1">
      <c r="A39" s="114"/>
      <c r="B39" s="30"/>
      <c r="C39" s="30"/>
      <c r="D39" s="48" t="s">
        <v>48</v>
      </c>
      <c r="E39" s="49" t="s">
        <v>210</v>
      </c>
      <c r="F39" s="49">
        <v>2000015314</v>
      </c>
      <c r="G39" s="33" t="s">
        <v>223</v>
      </c>
      <c r="H39" s="30">
        <v>6</v>
      </c>
      <c r="I39" s="33" t="s">
        <v>212</v>
      </c>
      <c r="J39" s="33"/>
      <c r="K39" s="30"/>
      <c r="L39" s="33"/>
      <c r="M39" s="34" t="s">
        <v>220</v>
      </c>
      <c r="N39" s="30">
        <v>28026148</v>
      </c>
      <c r="O39" s="20" t="s">
        <v>189</v>
      </c>
      <c r="P39" s="30"/>
      <c r="Q39" s="30">
        <v>4635111</v>
      </c>
      <c r="R39" s="30" t="s">
        <v>215</v>
      </c>
      <c r="S39" s="30" t="s">
        <v>216</v>
      </c>
      <c r="T39" s="25">
        <v>45992</v>
      </c>
      <c r="U39" s="37">
        <v>46028</v>
      </c>
      <c r="V39" s="51">
        <v>46030</v>
      </c>
      <c r="W39" s="39"/>
      <c r="X39" s="40" t="s">
        <v>217</v>
      </c>
      <c r="Y39" s="40">
        <v>0.5</v>
      </c>
      <c r="Z39" s="40"/>
      <c r="AA39" s="41">
        <v>46028</v>
      </c>
      <c r="AB39" s="41">
        <v>46030</v>
      </c>
      <c r="AC39" s="40"/>
      <c r="AD39" s="42" t="s">
        <v>72</v>
      </c>
      <c r="AE39" s="30"/>
      <c r="AF39" s="43">
        <v>46031</v>
      </c>
      <c r="AG39" s="43">
        <v>46031</v>
      </c>
      <c r="AH39" s="43">
        <v>46038</v>
      </c>
      <c r="AI39" s="43">
        <v>46041</v>
      </c>
      <c r="AJ39" s="43"/>
      <c r="AK39" s="44">
        <v>45976</v>
      </c>
      <c r="AL39" s="115">
        <v>9.4499999999999993</v>
      </c>
      <c r="AM39" s="100">
        <v>46047</v>
      </c>
      <c r="AN39" s="115">
        <v>9.4499999999999993</v>
      </c>
      <c r="AO39" s="47">
        <v>9.4499999999999993</v>
      </c>
      <c r="AP39" s="47" t="s">
        <v>61</v>
      </c>
      <c r="AQ39" s="33"/>
      <c r="AR39" s="33"/>
      <c r="AS39" s="33"/>
    </row>
    <row r="40" spans="1:45" ht="18.649999999999999" customHeight="1">
      <c r="A40" s="114"/>
      <c r="B40" s="30"/>
      <c r="C40" s="30"/>
      <c r="D40" s="48" t="s">
        <v>48</v>
      </c>
      <c r="E40" s="49" t="s">
        <v>210</v>
      </c>
      <c r="F40" s="49">
        <v>2000004007</v>
      </c>
      <c r="G40" s="33" t="s">
        <v>224</v>
      </c>
      <c r="H40" s="30">
        <v>10</v>
      </c>
      <c r="I40" s="33" t="s">
        <v>212</v>
      </c>
      <c r="J40" s="33"/>
      <c r="K40" s="30"/>
      <c r="L40" s="33"/>
      <c r="M40" s="34" t="s">
        <v>214</v>
      </c>
      <c r="N40" s="30">
        <v>28026148</v>
      </c>
      <c r="O40" s="20" t="s">
        <v>189</v>
      </c>
      <c r="P40" s="30"/>
      <c r="Q40" s="30">
        <v>4635111</v>
      </c>
      <c r="R40" s="30" t="s">
        <v>215</v>
      </c>
      <c r="S40" s="30" t="s">
        <v>216</v>
      </c>
      <c r="T40" s="25">
        <v>45992</v>
      </c>
      <c r="U40" s="37">
        <v>46028</v>
      </c>
      <c r="V40" s="51">
        <v>46030</v>
      </c>
      <c r="W40" s="39"/>
      <c r="X40" s="40" t="s">
        <v>217</v>
      </c>
      <c r="Y40" s="40">
        <v>0.5</v>
      </c>
      <c r="Z40" s="40"/>
      <c r="AA40" s="41">
        <v>46028</v>
      </c>
      <c r="AB40" s="41">
        <v>46030</v>
      </c>
      <c r="AC40" s="40"/>
      <c r="AD40" s="42" t="s">
        <v>72</v>
      </c>
      <c r="AE40" s="30"/>
      <c r="AF40" s="43">
        <v>46031</v>
      </c>
      <c r="AG40" s="43">
        <v>46031</v>
      </c>
      <c r="AH40" s="43">
        <v>46038</v>
      </c>
      <c r="AI40" s="43">
        <v>46041</v>
      </c>
      <c r="AJ40" s="43"/>
      <c r="AK40" s="44">
        <v>45976</v>
      </c>
      <c r="AL40" s="115">
        <v>8.15</v>
      </c>
      <c r="AM40" s="100">
        <v>46047</v>
      </c>
      <c r="AN40" s="115">
        <v>8.15</v>
      </c>
      <c r="AO40" s="47">
        <v>8.15</v>
      </c>
      <c r="AP40" s="47" t="s">
        <v>61</v>
      </c>
      <c r="AQ40" s="33"/>
      <c r="AR40" s="33"/>
      <c r="AS40" s="33"/>
    </row>
    <row r="41" spans="1:45" ht="18.649999999999999" customHeight="1">
      <c r="A41" s="114"/>
      <c r="B41" s="30"/>
      <c r="C41" s="30"/>
      <c r="D41" s="48" t="s">
        <v>48</v>
      </c>
      <c r="E41" s="49" t="s">
        <v>210</v>
      </c>
      <c r="F41" s="49">
        <v>2000020397</v>
      </c>
      <c r="G41" s="33" t="s">
        <v>225</v>
      </c>
      <c r="H41" s="30">
        <v>30</v>
      </c>
      <c r="I41" s="33" t="s">
        <v>212</v>
      </c>
      <c r="J41" s="33"/>
      <c r="K41" s="30"/>
      <c r="L41" s="33"/>
      <c r="M41" s="34" t="s">
        <v>220</v>
      </c>
      <c r="N41" s="30">
        <v>28026148</v>
      </c>
      <c r="O41" s="20" t="s">
        <v>189</v>
      </c>
      <c r="P41" s="30"/>
      <c r="Q41" s="30">
        <v>4635111</v>
      </c>
      <c r="R41" s="30" t="s">
        <v>215</v>
      </c>
      <c r="S41" s="30" t="s">
        <v>216</v>
      </c>
      <c r="T41" s="25">
        <v>45992</v>
      </c>
      <c r="U41" s="37">
        <v>46028</v>
      </c>
      <c r="V41" s="51">
        <v>46030</v>
      </c>
      <c r="W41" s="39"/>
      <c r="X41" s="40" t="s">
        <v>217</v>
      </c>
      <c r="Y41" s="40">
        <v>0.5</v>
      </c>
      <c r="Z41" s="40"/>
      <c r="AA41" s="41">
        <v>46028</v>
      </c>
      <c r="AB41" s="41">
        <v>46030</v>
      </c>
      <c r="AC41" s="40"/>
      <c r="AD41" s="42" t="s">
        <v>72</v>
      </c>
      <c r="AE41" s="30"/>
      <c r="AF41" s="43">
        <v>46031</v>
      </c>
      <c r="AG41" s="43">
        <v>46031</v>
      </c>
      <c r="AH41" s="43">
        <v>46038</v>
      </c>
      <c r="AI41" s="43">
        <v>46041</v>
      </c>
      <c r="AJ41" s="43"/>
      <c r="AK41" s="44">
        <v>45976</v>
      </c>
      <c r="AL41" s="115">
        <v>277.8</v>
      </c>
      <c r="AM41" s="100">
        <v>46047</v>
      </c>
      <c r="AN41" s="115">
        <v>277.8</v>
      </c>
      <c r="AO41" s="47">
        <v>277.8</v>
      </c>
      <c r="AP41" s="47" t="s">
        <v>61</v>
      </c>
      <c r="AQ41" s="33"/>
      <c r="AR41" s="33"/>
      <c r="AS41" s="33"/>
    </row>
    <row r="42" spans="1:45" ht="18.649999999999999" customHeight="1">
      <c r="A42" s="114"/>
      <c r="B42" s="30"/>
      <c r="C42" s="30"/>
      <c r="D42" s="48" t="s">
        <v>48</v>
      </c>
      <c r="E42" s="49" t="s">
        <v>210</v>
      </c>
      <c r="F42" s="49">
        <v>2000003674</v>
      </c>
      <c r="G42" s="33" t="s">
        <v>226</v>
      </c>
      <c r="H42" s="30" t="s">
        <v>227</v>
      </c>
      <c r="I42" s="33" t="s">
        <v>212</v>
      </c>
      <c r="J42" s="33"/>
      <c r="K42" s="30"/>
      <c r="L42" s="33"/>
      <c r="M42" s="34" t="s">
        <v>220</v>
      </c>
      <c r="N42" s="30">
        <v>28026148</v>
      </c>
      <c r="O42" s="20" t="s">
        <v>189</v>
      </c>
      <c r="P42" s="30"/>
      <c r="Q42" s="30">
        <v>4635111</v>
      </c>
      <c r="R42" s="30" t="s">
        <v>215</v>
      </c>
      <c r="S42" s="30" t="s">
        <v>216</v>
      </c>
      <c r="T42" s="25">
        <v>45992</v>
      </c>
      <c r="U42" s="37">
        <v>46028</v>
      </c>
      <c r="V42" s="51">
        <v>46030</v>
      </c>
      <c r="W42" s="39"/>
      <c r="X42" s="40" t="s">
        <v>217</v>
      </c>
      <c r="Y42" s="40">
        <v>0.5</v>
      </c>
      <c r="Z42" s="40"/>
      <c r="AA42" s="41">
        <v>46028</v>
      </c>
      <c r="AB42" s="41">
        <v>46030</v>
      </c>
      <c r="AC42" s="40"/>
      <c r="AD42" s="42" t="s">
        <v>72</v>
      </c>
      <c r="AE42" s="30"/>
      <c r="AF42" s="43">
        <v>46031</v>
      </c>
      <c r="AG42" s="43">
        <v>46031</v>
      </c>
      <c r="AH42" s="43">
        <v>46038</v>
      </c>
      <c r="AI42" s="43">
        <v>46041</v>
      </c>
      <c r="AJ42" s="43"/>
      <c r="AK42" s="44">
        <v>45976</v>
      </c>
      <c r="AL42" s="115">
        <v>158.19999999999999</v>
      </c>
      <c r="AM42" s="100">
        <v>46047</v>
      </c>
      <c r="AN42" s="115">
        <v>158.19999999999999</v>
      </c>
      <c r="AO42" s="47">
        <v>158.19999999999999</v>
      </c>
      <c r="AP42" s="47" t="s">
        <v>61</v>
      </c>
      <c r="AQ42" s="33"/>
      <c r="AR42" s="33"/>
      <c r="AS42" s="33"/>
    </row>
    <row r="43" spans="1:45" ht="18.649999999999999" customHeight="1">
      <c r="A43" s="114"/>
      <c r="B43" s="30"/>
      <c r="C43" s="30"/>
      <c r="D43" s="48" t="s">
        <v>48</v>
      </c>
      <c r="E43" s="49" t="s">
        <v>210</v>
      </c>
      <c r="F43" s="49">
        <v>2000007554</v>
      </c>
      <c r="G43" s="33" t="s">
        <v>228</v>
      </c>
      <c r="H43" s="30">
        <v>100</v>
      </c>
      <c r="I43" s="33" t="s">
        <v>212</v>
      </c>
      <c r="J43" s="33"/>
      <c r="K43" s="30"/>
      <c r="L43" s="33"/>
      <c r="M43" s="34" t="s">
        <v>220</v>
      </c>
      <c r="N43" s="30">
        <v>28026148</v>
      </c>
      <c r="O43" s="20" t="s">
        <v>189</v>
      </c>
      <c r="P43" s="30"/>
      <c r="Q43" s="30">
        <v>4635111</v>
      </c>
      <c r="R43" s="30" t="s">
        <v>215</v>
      </c>
      <c r="S43" s="30" t="s">
        <v>216</v>
      </c>
      <c r="T43" s="25">
        <v>45992</v>
      </c>
      <c r="U43" s="37">
        <v>46028</v>
      </c>
      <c r="V43" s="51">
        <v>46030</v>
      </c>
      <c r="W43" s="39"/>
      <c r="X43" s="40" t="s">
        <v>217</v>
      </c>
      <c r="Y43" s="40">
        <v>0.5</v>
      </c>
      <c r="Z43" s="40"/>
      <c r="AA43" s="41">
        <v>46028</v>
      </c>
      <c r="AB43" s="41">
        <v>46030</v>
      </c>
      <c r="AC43" s="40"/>
      <c r="AD43" s="42" t="s">
        <v>72</v>
      </c>
      <c r="AE43" s="30"/>
      <c r="AF43" s="43">
        <v>46031</v>
      </c>
      <c r="AG43" s="43">
        <v>46031</v>
      </c>
      <c r="AH43" s="43">
        <v>46038</v>
      </c>
      <c r="AI43" s="43">
        <v>46041</v>
      </c>
      <c r="AJ43" s="43"/>
      <c r="AK43" s="44">
        <v>45976</v>
      </c>
      <c r="AL43" s="115">
        <v>151</v>
      </c>
      <c r="AM43" s="100">
        <v>46047</v>
      </c>
      <c r="AN43" s="115">
        <v>151</v>
      </c>
      <c r="AO43" s="47">
        <v>151</v>
      </c>
      <c r="AP43" s="47" t="s">
        <v>61</v>
      </c>
      <c r="AQ43" s="33"/>
      <c r="AR43" s="33"/>
      <c r="AS43" s="33"/>
    </row>
    <row r="44" spans="1:45" ht="18.649999999999999" customHeight="1">
      <c r="A44" s="114"/>
      <c r="B44" s="30"/>
      <c r="C44" s="30"/>
      <c r="D44" s="48" t="s">
        <v>48</v>
      </c>
      <c r="E44" s="49" t="s">
        <v>210</v>
      </c>
      <c r="F44" s="49">
        <v>2000014070</v>
      </c>
      <c r="G44" s="33" t="s">
        <v>229</v>
      </c>
      <c r="H44" s="30">
        <v>60</v>
      </c>
      <c r="I44" s="33" t="s">
        <v>212</v>
      </c>
      <c r="J44" s="33"/>
      <c r="K44" s="30"/>
      <c r="L44" s="33"/>
      <c r="M44" s="34" t="s">
        <v>214</v>
      </c>
      <c r="N44" s="30">
        <v>28026148</v>
      </c>
      <c r="O44" s="20" t="s">
        <v>189</v>
      </c>
      <c r="P44" s="30"/>
      <c r="Q44" s="30">
        <v>4635111</v>
      </c>
      <c r="R44" s="30" t="s">
        <v>215</v>
      </c>
      <c r="S44" s="30" t="s">
        <v>216</v>
      </c>
      <c r="T44" s="25">
        <v>45992</v>
      </c>
      <c r="U44" s="37">
        <v>46028</v>
      </c>
      <c r="V44" s="51">
        <v>46030</v>
      </c>
      <c r="W44" s="39"/>
      <c r="X44" s="40" t="s">
        <v>217</v>
      </c>
      <c r="Y44" s="40">
        <v>0.5</v>
      </c>
      <c r="Z44" s="40"/>
      <c r="AA44" s="41">
        <v>46028</v>
      </c>
      <c r="AB44" s="41">
        <v>46030</v>
      </c>
      <c r="AC44" s="40"/>
      <c r="AD44" s="42" t="s">
        <v>72</v>
      </c>
      <c r="AE44" s="30"/>
      <c r="AF44" s="43">
        <v>46031</v>
      </c>
      <c r="AG44" s="43">
        <v>46031</v>
      </c>
      <c r="AH44" s="43">
        <v>46038</v>
      </c>
      <c r="AI44" s="43">
        <v>46041</v>
      </c>
      <c r="AJ44" s="43"/>
      <c r="AK44" s="44">
        <v>45976</v>
      </c>
      <c r="AL44" s="115">
        <v>609.29999999999995</v>
      </c>
      <c r="AM44" s="100">
        <v>46047</v>
      </c>
      <c r="AN44" s="115">
        <v>609.29999999999995</v>
      </c>
      <c r="AO44" s="47">
        <v>609.29999999999995</v>
      </c>
      <c r="AP44" s="47" t="s">
        <v>61</v>
      </c>
      <c r="AQ44" s="33"/>
      <c r="AR44" s="33"/>
      <c r="AS44" s="33"/>
    </row>
    <row r="45" spans="1:45" ht="18.649999999999999" customHeight="1">
      <c r="A45" s="114"/>
      <c r="B45" s="30"/>
      <c r="C45" s="30"/>
      <c r="D45" s="48" t="s">
        <v>48</v>
      </c>
      <c r="E45" s="49" t="s">
        <v>210</v>
      </c>
      <c r="F45" s="49">
        <v>2000002343</v>
      </c>
      <c r="G45" s="33" t="s">
        <v>230</v>
      </c>
      <c r="H45" s="30">
        <v>4</v>
      </c>
      <c r="I45" s="33" t="s">
        <v>212</v>
      </c>
      <c r="J45" s="33"/>
      <c r="K45" s="30"/>
      <c r="L45" s="33"/>
      <c r="M45" s="34" t="s">
        <v>220</v>
      </c>
      <c r="N45" s="30">
        <v>28026148</v>
      </c>
      <c r="O45" s="20" t="s">
        <v>189</v>
      </c>
      <c r="P45" s="30"/>
      <c r="Q45" s="30">
        <v>4635111</v>
      </c>
      <c r="R45" s="30" t="s">
        <v>215</v>
      </c>
      <c r="S45" s="30" t="s">
        <v>216</v>
      </c>
      <c r="T45" s="25">
        <v>45992</v>
      </c>
      <c r="U45" s="37">
        <v>46028</v>
      </c>
      <c r="V45" s="51">
        <v>46030</v>
      </c>
      <c r="W45" s="39"/>
      <c r="X45" s="40" t="s">
        <v>217</v>
      </c>
      <c r="Y45" s="40">
        <v>0.5</v>
      </c>
      <c r="Z45" s="40"/>
      <c r="AA45" s="41">
        <v>46028</v>
      </c>
      <c r="AB45" s="41">
        <v>46030</v>
      </c>
      <c r="AC45" s="40"/>
      <c r="AD45" s="42" t="s">
        <v>72</v>
      </c>
      <c r="AE45" s="30"/>
      <c r="AF45" s="43">
        <v>46031</v>
      </c>
      <c r="AG45" s="43">
        <v>46031</v>
      </c>
      <c r="AH45" s="43">
        <v>46038</v>
      </c>
      <c r="AI45" s="43">
        <v>46041</v>
      </c>
      <c r="AJ45" s="43"/>
      <c r="AK45" s="44">
        <v>45976</v>
      </c>
      <c r="AL45" s="115">
        <v>6.7</v>
      </c>
      <c r="AM45" s="100">
        <v>46047</v>
      </c>
      <c r="AN45" s="115">
        <v>6.7</v>
      </c>
      <c r="AO45" s="47">
        <v>6.7</v>
      </c>
      <c r="AP45" s="47" t="s">
        <v>61</v>
      </c>
      <c r="AQ45" s="33"/>
      <c r="AR45" s="33"/>
      <c r="AS45" s="33"/>
    </row>
    <row r="46" spans="1:45" ht="18.649999999999999" customHeight="1">
      <c r="A46" s="114"/>
      <c r="B46" s="30"/>
      <c r="C46" s="30"/>
      <c r="D46" s="48" t="s">
        <v>48</v>
      </c>
      <c r="E46" s="49" t="s">
        <v>210</v>
      </c>
      <c r="F46" s="49">
        <v>2000008853</v>
      </c>
      <c r="G46" s="33" t="s">
        <v>231</v>
      </c>
      <c r="H46" s="30">
        <v>5</v>
      </c>
      <c r="I46" s="33" t="s">
        <v>212</v>
      </c>
      <c r="J46" s="33"/>
      <c r="K46" s="30"/>
      <c r="L46" s="33"/>
      <c r="M46" s="34" t="s">
        <v>220</v>
      </c>
      <c r="N46" s="30">
        <v>28026148</v>
      </c>
      <c r="O46" s="20" t="s">
        <v>189</v>
      </c>
      <c r="P46" s="30"/>
      <c r="Q46" s="30">
        <v>4635111</v>
      </c>
      <c r="R46" s="30" t="s">
        <v>215</v>
      </c>
      <c r="S46" s="30" t="s">
        <v>216</v>
      </c>
      <c r="T46" s="25">
        <v>45992</v>
      </c>
      <c r="U46" s="37">
        <v>46028</v>
      </c>
      <c r="V46" s="51">
        <v>46030</v>
      </c>
      <c r="W46" s="39"/>
      <c r="X46" s="40" t="s">
        <v>217</v>
      </c>
      <c r="Y46" s="40">
        <v>0.5</v>
      </c>
      <c r="Z46" s="40"/>
      <c r="AA46" s="41">
        <v>46028</v>
      </c>
      <c r="AB46" s="41">
        <v>46030</v>
      </c>
      <c r="AC46" s="40"/>
      <c r="AD46" s="42" t="s">
        <v>72</v>
      </c>
      <c r="AE46" s="30"/>
      <c r="AF46" s="43">
        <v>46031</v>
      </c>
      <c r="AG46" s="43">
        <v>46031</v>
      </c>
      <c r="AH46" s="43">
        <v>46038</v>
      </c>
      <c r="AI46" s="43">
        <v>46041</v>
      </c>
      <c r="AJ46" s="43"/>
      <c r="AK46" s="44">
        <v>45976</v>
      </c>
      <c r="AL46" s="115">
        <v>8.1</v>
      </c>
      <c r="AM46" s="100">
        <v>46047</v>
      </c>
      <c r="AN46" s="115">
        <v>8.1</v>
      </c>
      <c r="AO46" s="47">
        <v>8.1</v>
      </c>
      <c r="AP46" s="47" t="s">
        <v>61</v>
      </c>
      <c r="AQ46" s="33"/>
      <c r="AR46" s="33"/>
      <c r="AS46" s="33"/>
    </row>
    <row r="47" spans="1:45" ht="18.649999999999999" customHeight="1">
      <c r="A47" s="114"/>
      <c r="B47" s="30"/>
      <c r="C47" s="30"/>
      <c r="D47" s="48" t="s">
        <v>48</v>
      </c>
      <c r="E47" s="49" t="s">
        <v>210</v>
      </c>
      <c r="F47" s="49">
        <v>2000021351</v>
      </c>
      <c r="G47" s="33" t="s">
        <v>232</v>
      </c>
      <c r="H47" s="30">
        <v>10</v>
      </c>
      <c r="I47" s="33" t="s">
        <v>212</v>
      </c>
      <c r="J47" s="33"/>
      <c r="K47" s="30"/>
      <c r="L47" s="33"/>
      <c r="M47" s="34" t="s">
        <v>220</v>
      </c>
      <c r="N47" s="30">
        <v>28026148</v>
      </c>
      <c r="O47" s="20" t="s">
        <v>189</v>
      </c>
      <c r="P47" s="30"/>
      <c r="Q47" s="30">
        <v>4635111</v>
      </c>
      <c r="R47" s="30" t="s">
        <v>215</v>
      </c>
      <c r="S47" s="30" t="s">
        <v>216</v>
      </c>
      <c r="T47" s="25">
        <v>45992</v>
      </c>
      <c r="U47" s="37">
        <v>46028</v>
      </c>
      <c r="V47" s="51">
        <v>46030</v>
      </c>
      <c r="W47" s="39"/>
      <c r="X47" s="40" t="s">
        <v>217</v>
      </c>
      <c r="Y47" s="40">
        <v>0.5</v>
      </c>
      <c r="Z47" s="40"/>
      <c r="AA47" s="41">
        <v>46028</v>
      </c>
      <c r="AB47" s="41">
        <v>46030</v>
      </c>
      <c r="AC47" s="40"/>
      <c r="AD47" s="42" t="s">
        <v>72</v>
      </c>
      <c r="AE47" s="30"/>
      <c r="AF47" s="43">
        <v>46031</v>
      </c>
      <c r="AG47" s="43">
        <v>46031</v>
      </c>
      <c r="AH47" s="43">
        <v>46038</v>
      </c>
      <c r="AI47" s="43">
        <v>46041</v>
      </c>
      <c r="AJ47" s="43"/>
      <c r="AK47" s="44">
        <v>45976</v>
      </c>
      <c r="AL47" s="115">
        <v>84.55</v>
      </c>
      <c r="AM47" s="100">
        <v>46047</v>
      </c>
      <c r="AN47" s="115">
        <v>84.55</v>
      </c>
      <c r="AO47" s="47">
        <v>84.55</v>
      </c>
      <c r="AP47" s="47" t="s">
        <v>61</v>
      </c>
      <c r="AQ47" s="33"/>
      <c r="AR47" s="33"/>
      <c r="AS47" s="33"/>
    </row>
    <row r="48" spans="1:45" ht="18.649999999999999" customHeight="1">
      <c r="A48" s="114"/>
      <c r="B48" s="30"/>
      <c r="C48" s="30"/>
      <c r="D48" s="48" t="s">
        <v>48</v>
      </c>
      <c r="E48" s="49" t="s">
        <v>210</v>
      </c>
      <c r="F48" s="49">
        <v>2000017797</v>
      </c>
      <c r="G48" s="33" t="s">
        <v>233</v>
      </c>
      <c r="H48" s="30">
        <v>60</v>
      </c>
      <c r="I48" s="33" t="s">
        <v>212</v>
      </c>
      <c r="J48" s="33"/>
      <c r="K48" s="30"/>
      <c r="L48" s="33"/>
      <c r="M48" s="34" t="s">
        <v>220</v>
      </c>
      <c r="N48" s="30">
        <v>28026148</v>
      </c>
      <c r="O48" s="20" t="s">
        <v>189</v>
      </c>
      <c r="P48" s="30"/>
      <c r="Q48" s="30">
        <v>4635111</v>
      </c>
      <c r="R48" s="30" t="s">
        <v>215</v>
      </c>
      <c r="S48" s="30" t="s">
        <v>216</v>
      </c>
      <c r="T48" s="25">
        <v>45992</v>
      </c>
      <c r="U48" s="37">
        <v>46028</v>
      </c>
      <c r="V48" s="51">
        <v>46030</v>
      </c>
      <c r="W48" s="39"/>
      <c r="X48" s="40" t="s">
        <v>217</v>
      </c>
      <c r="Y48" s="40">
        <v>0.5</v>
      </c>
      <c r="Z48" s="40"/>
      <c r="AA48" s="41">
        <v>46028</v>
      </c>
      <c r="AB48" s="41">
        <v>46030</v>
      </c>
      <c r="AC48" s="40"/>
      <c r="AD48" s="42" t="s">
        <v>72</v>
      </c>
      <c r="AE48" s="30"/>
      <c r="AF48" s="43">
        <v>46031</v>
      </c>
      <c r="AG48" s="43">
        <v>46031</v>
      </c>
      <c r="AH48" s="43">
        <v>46038</v>
      </c>
      <c r="AI48" s="43">
        <v>46041</v>
      </c>
      <c r="AJ48" s="43"/>
      <c r="AK48" s="44">
        <v>45976</v>
      </c>
      <c r="AL48" s="115">
        <v>1708.5</v>
      </c>
      <c r="AM48" s="100">
        <v>46047</v>
      </c>
      <c r="AN48" s="115">
        <v>178.5</v>
      </c>
      <c r="AO48" s="47">
        <v>1708.5</v>
      </c>
      <c r="AP48" s="47" t="s">
        <v>61</v>
      </c>
      <c r="AQ48" s="33"/>
      <c r="AR48" s="33"/>
      <c r="AS48" s="33"/>
    </row>
    <row r="49" spans="1:45" ht="18.649999999999999" customHeight="1">
      <c r="A49" s="114"/>
      <c r="B49" s="30"/>
      <c r="C49" s="30"/>
      <c r="D49" s="48" t="s">
        <v>48</v>
      </c>
      <c r="E49" s="49" t="s">
        <v>210</v>
      </c>
      <c r="F49" s="49">
        <v>2000009028</v>
      </c>
      <c r="G49" s="33" t="s">
        <v>234</v>
      </c>
      <c r="H49" s="30">
        <v>5</v>
      </c>
      <c r="I49" s="33" t="s">
        <v>212</v>
      </c>
      <c r="J49" s="33"/>
      <c r="K49" s="30"/>
      <c r="L49" s="33"/>
      <c r="M49" s="34" t="s">
        <v>220</v>
      </c>
      <c r="N49" s="30">
        <v>28026148</v>
      </c>
      <c r="O49" s="20" t="s">
        <v>189</v>
      </c>
      <c r="P49" s="30"/>
      <c r="Q49" s="30">
        <v>4635111</v>
      </c>
      <c r="R49" s="48" t="s">
        <v>215</v>
      </c>
      <c r="S49" s="30" t="s">
        <v>216</v>
      </c>
      <c r="T49" s="25">
        <v>45992</v>
      </c>
      <c r="U49" s="37">
        <v>46028</v>
      </c>
      <c r="V49" s="51">
        <v>46030</v>
      </c>
      <c r="W49" s="39"/>
      <c r="X49" s="40" t="s">
        <v>217</v>
      </c>
      <c r="Y49" s="40">
        <v>0.5</v>
      </c>
      <c r="Z49" s="40"/>
      <c r="AA49" s="41">
        <v>46028</v>
      </c>
      <c r="AB49" s="41">
        <v>46030</v>
      </c>
      <c r="AC49" s="40"/>
      <c r="AD49" s="42" t="s">
        <v>72</v>
      </c>
      <c r="AE49" s="30"/>
      <c r="AF49" s="43">
        <v>46031</v>
      </c>
      <c r="AG49" s="43">
        <v>46031</v>
      </c>
      <c r="AH49" s="43">
        <v>46038</v>
      </c>
      <c r="AI49" s="43">
        <v>46041</v>
      </c>
      <c r="AJ49" s="43"/>
      <c r="AK49" s="44">
        <v>45976</v>
      </c>
      <c r="AL49" s="115">
        <v>1.675</v>
      </c>
      <c r="AM49" s="100">
        <v>46047</v>
      </c>
      <c r="AN49" s="115">
        <v>1.675</v>
      </c>
      <c r="AO49" s="47">
        <v>1.675</v>
      </c>
      <c r="AP49" s="47" t="s">
        <v>61</v>
      </c>
      <c r="AQ49" s="33"/>
      <c r="AR49" s="33"/>
      <c r="AS49" s="33"/>
    </row>
    <row r="50" spans="1:45" ht="18.649999999999999" customHeight="1">
      <c r="A50" s="48"/>
      <c r="B50" s="30"/>
      <c r="C50" s="30"/>
      <c r="D50" s="48" t="s">
        <v>235</v>
      </c>
      <c r="E50" s="49" t="s">
        <v>236</v>
      </c>
      <c r="F50" s="49">
        <v>2000017284</v>
      </c>
      <c r="G50" s="61" t="s">
        <v>237</v>
      </c>
      <c r="H50" s="48" t="s">
        <v>238</v>
      </c>
      <c r="I50" s="48" t="s">
        <v>239</v>
      </c>
      <c r="J50" s="33" t="s">
        <v>240</v>
      </c>
      <c r="K50" s="30" t="s">
        <v>53</v>
      </c>
      <c r="L50" s="33"/>
      <c r="M50" s="117" t="s">
        <v>241</v>
      </c>
      <c r="N50" s="30" t="s">
        <v>242</v>
      </c>
      <c r="O50" s="48" t="s">
        <v>55</v>
      </c>
      <c r="P50" s="30"/>
      <c r="Q50" s="30" t="s">
        <v>243</v>
      </c>
      <c r="R50" s="20" t="s">
        <v>244</v>
      </c>
      <c r="S50" s="48" t="s">
        <v>245</v>
      </c>
      <c r="T50" s="36">
        <v>45992</v>
      </c>
      <c r="U50" s="93">
        <v>46386</v>
      </c>
      <c r="V50" s="88">
        <v>46029</v>
      </c>
      <c r="W50" s="52"/>
      <c r="X50" s="30" t="s">
        <v>209</v>
      </c>
      <c r="Y50" s="30">
        <v>1</v>
      </c>
      <c r="Z50" s="30"/>
      <c r="AA50" s="94">
        <v>46386</v>
      </c>
      <c r="AB50" s="94">
        <v>46029</v>
      </c>
      <c r="AC50" s="88"/>
      <c r="AD50" s="56" t="s">
        <v>72</v>
      </c>
      <c r="AE50" s="33"/>
      <c r="AF50" s="43">
        <v>46035</v>
      </c>
      <c r="AG50" s="43">
        <v>46030</v>
      </c>
      <c r="AH50" s="43">
        <v>46038</v>
      </c>
      <c r="AI50" s="43">
        <v>46041</v>
      </c>
      <c r="AJ50" s="43"/>
      <c r="AK50" s="44">
        <v>46037</v>
      </c>
      <c r="AL50" s="45">
        <v>44508</v>
      </c>
      <c r="AM50" s="59"/>
      <c r="AN50" s="59"/>
      <c r="AO50" s="47">
        <v>0</v>
      </c>
      <c r="AP50" s="47" t="s">
        <v>61</v>
      </c>
      <c r="AQ50" s="33"/>
      <c r="AR50" s="30"/>
      <c r="AS50" s="33"/>
    </row>
    <row r="51" spans="1:45" ht="18.649999999999999" customHeight="1">
      <c r="A51" s="118" t="s">
        <v>246</v>
      </c>
      <c r="B51" s="73"/>
      <c r="C51" s="73"/>
      <c r="D51" s="20" t="s">
        <v>81</v>
      </c>
      <c r="E51" s="31" t="s">
        <v>247</v>
      </c>
      <c r="F51" s="31" t="s">
        <v>248</v>
      </c>
      <c r="G51" s="32" t="s">
        <v>249</v>
      </c>
      <c r="H51" s="20" t="s">
        <v>250</v>
      </c>
      <c r="I51" s="20" t="s">
        <v>85</v>
      </c>
      <c r="J51" s="74" t="s">
        <v>251</v>
      </c>
      <c r="K51" s="20"/>
      <c r="L51" s="22"/>
      <c r="M51" s="119" t="s">
        <v>252</v>
      </c>
      <c r="N51" s="20" t="s">
        <v>253</v>
      </c>
      <c r="O51" s="20" t="s">
        <v>150</v>
      </c>
      <c r="P51" s="20" t="s">
        <v>254</v>
      </c>
      <c r="Q51" s="20" t="s">
        <v>255</v>
      </c>
      <c r="R51" s="48" t="s">
        <v>178</v>
      </c>
      <c r="S51" s="73" t="s">
        <v>256</v>
      </c>
      <c r="T51" s="25">
        <v>45962</v>
      </c>
      <c r="U51" s="80">
        <v>46007</v>
      </c>
      <c r="V51" s="76">
        <v>46027</v>
      </c>
      <c r="W51" s="77"/>
      <c r="X51" s="120" t="s">
        <v>170</v>
      </c>
      <c r="Y51" s="120">
        <v>1</v>
      </c>
      <c r="Z51" s="120"/>
      <c r="AA51" s="80">
        <v>46011</v>
      </c>
      <c r="AB51" s="80">
        <v>46034</v>
      </c>
      <c r="AC51" s="80"/>
      <c r="AD51" s="42" t="s">
        <v>72</v>
      </c>
      <c r="AE51" s="20"/>
      <c r="AF51" s="25">
        <v>46027</v>
      </c>
      <c r="AG51" s="25">
        <v>46027</v>
      </c>
      <c r="AH51" s="25">
        <v>46042</v>
      </c>
      <c r="AI51" s="25">
        <v>46044</v>
      </c>
      <c r="AJ51" s="25"/>
      <c r="AK51" s="81">
        <v>46037</v>
      </c>
      <c r="AL51" s="121">
        <v>27303.21</v>
      </c>
      <c r="AM51" s="122"/>
      <c r="AN51" s="123"/>
      <c r="AO51" s="47">
        <v>0</v>
      </c>
      <c r="AP51" s="123" t="s">
        <v>180</v>
      </c>
      <c r="AQ51" s="22"/>
      <c r="AR51" s="20">
        <f>2+7</f>
        <v>9</v>
      </c>
      <c r="AS51" s="99" t="s">
        <v>257</v>
      </c>
    </row>
    <row r="52" spans="1:45" ht="18.649999999999999" customHeight="1">
      <c r="A52" s="118" t="s">
        <v>258</v>
      </c>
      <c r="B52" s="73"/>
      <c r="C52" s="73"/>
      <c r="D52" s="20" t="s">
        <v>81</v>
      </c>
      <c r="E52" s="31" t="s">
        <v>247</v>
      </c>
      <c r="F52" s="31" t="s">
        <v>248</v>
      </c>
      <c r="G52" s="32" t="s">
        <v>249</v>
      </c>
      <c r="H52" s="20">
        <v>1920</v>
      </c>
      <c r="I52" s="20" t="s">
        <v>85</v>
      </c>
      <c r="J52" s="74" t="s">
        <v>251</v>
      </c>
      <c r="K52" s="20"/>
      <c r="L52" s="22"/>
      <c r="M52" s="119" t="s">
        <v>259</v>
      </c>
      <c r="N52" s="73" t="s">
        <v>260</v>
      </c>
      <c r="O52" s="20" t="s">
        <v>150</v>
      </c>
      <c r="P52" s="20"/>
      <c r="Q52" s="20" t="s">
        <v>261</v>
      </c>
      <c r="R52" s="48" t="s">
        <v>178</v>
      </c>
      <c r="S52" s="73" t="s">
        <v>256</v>
      </c>
      <c r="T52" s="25">
        <v>45992</v>
      </c>
      <c r="U52" s="80">
        <v>46007</v>
      </c>
      <c r="V52" s="76">
        <v>46027</v>
      </c>
      <c r="W52" s="77"/>
      <c r="X52" s="78" t="s">
        <v>170</v>
      </c>
      <c r="Y52" s="78">
        <v>2</v>
      </c>
      <c r="Z52" s="78"/>
      <c r="AA52" s="80">
        <v>46011</v>
      </c>
      <c r="AB52" s="80">
        <v>46034</v>
      </c>
      <c r="AC52" s="80"/>
      <c r="AD52" s="42" t="s">
        <v>72</v>
      </c>
      <c r="AE52" s="20"/>
      <c r="AF52" s="25">
        <v>46027</v>
      </c>
      <c r="AG52" s="25">
        <v>46027</v>
      </c>
      <c r="AH52" s="25">
        <v>46042</v>
      </c>
      <c r="AI52" s="25">
        <v>46044</v>
      </c>
      <c r="AJ52" s="25"/>
      <c r="AK52" s="81">
        <v>46037</v>
      </c>
      <c r="AL52" s="124">
        <v>55123.199999999997</v>
      </c>
      <c r="AM52" s="122"/>
      <c r="AN52" s="123"/>
      <c r="AO52" s="47">
        <v>0</v>
      </c>
      <c r="AP52" s="123" t="s">
        <v>180</v>
      </c>
      <c r="AQ52" s="22"/>
      <c r="AR52" s="20">
        <v>75</v>
      </c>
      <c r="AS52" s="99" t="s">
        <v>73</v>
      </c>
    </row>
    <row r="53" spans="1:45" ht="18.649999999999999" customHeight="1">
      <c r="A53" s="48"/>
      <c r="B53" s="30"/>
      <c r="C53" s="30"/>
      <c r="D53" s="20" t="s">
        <v>48</v>
      </c>
      <c r="E53" s="31" t="s">
        <v>262</v>
      </c>
      <c r="F53" s="31">
        <v>1000013590</v>
      </c>
      <c r="G53" s="32" t="s">
        <v>263</v>
      </c>
      <c r="H53" s="30">
        <v>2014</v>
      </c>
      <c r="I53" s="61" t="s">
        <v>52</v>
      </c>
      <c r="J53" s="33"/>
      <c r="K53" s="30" t="s">
        <v>53</v>
      </c>
      <c r="L53" s="33"/>
      <c r="M53" s="34" t="s">
        <v>264</v>
      </c>
      <c r="N53" s="30">
        <v>90472054</v>
      </c>
      <c r="O53" s="20" t="s">
        <v>68</v>
      </c>
      <c r="P53" s="30"/>
      <c r="Q53" s="30" t="s">
        <v>265</v>
      </c>
      <c r="R53" s="30" t="s">
        <v>266</v>
      </c>
      <c r="S53" s="30" t="s">
        <v>267</v>
      </c>
      <c r="T53" s="36">
        <v>46025</v>
      </c>
      <c r="U53" s="93">
        <v>46022</v>
      </c>
      <c r="V53" s="98">
        <v>46032</v>
      </c>
      <c r="W53" s="52"/>
      <c r="X53" s="48" t="s">
        <v>170</v>
      </c>
      <c r="Y53" s="48">
        <v>2</v>
      </c>
      <c r="Z53" s="48"/>
      <c r="AA53" s="36">
        <v>46028</v>
      </c>
      <c r="AB53" s="43">
        <v>46039</v>
      </c>
      <c r="AC53" s="89"/>
      <c r="AD53" s="125" t="s">
        <v>59</v>
      </c>
      <c r="AE53" s="33"/>
      <c r="AF53" s="43">
        <v>46037</v>
      </c>
      <c r="AG53" s="43">
        <v>46034</v>
      </c>
      <c r="AH53" s="43">
        <v>46043</v>
      </c>
      <c r="AI53" s="43">
        <v>46045</v>
      </c>
      <c r="AJ53" s="43"/>
      <c r="AK53" s="44">
        <v>46047</v>
      </c>
      <c r="AL53" s="45">
        <v>41488.400000000001</v>
      </c>
      <c r="AM53" s="59"/>
      <c r="AN53" s="59"/>
      <c r="AO53" s="59"/>
      <c r="AP53" s="47" t="s">
        <v>61</v>
      </c>
      <c r="AQ53" s="33"/>
      <c r="AR53" s="30"/>
      <c r="AS53" s="33"/>
    </row>
    <row r="54" spans="1:45" ht="18.649999999999999" customHeight="1">
      <c r="A54" s="48"/>
      <c r="B54" s="30"/>
      <c r="C54" s="30"/>
      <c r="D54" s="20" t="s">
        <v>48</v>
      </c>
      <c r="E54" s="31" t="s">
        <v>262</v>
      </c>
      <c r="F54" s="31">
        <v>1000013590</v>
      </c>
      <c r="G54" s="32" t="s">
        <v>263</v>
      </c>
      <c r="H54" s="30">
        <v>2014</v>
      </c>
      <c r="I54" s="61" t="s">
        <v>52</v>
      </c>
      <c r="J54" s="33"/>
      <c r="K54" s="30" t="s">
        <v>53</v>
      </c>
      <c r="L54" s="33"/>
      <c r="M54" s="34" t="s">
        <v>268</v>
      </c>
      <c r="N54" s="30">
        <v>90472057</v>
      </c>
      <c r="O54" s="20" t="s">
        <v>68</v>
      </c>
      <c r="P54" s="30"/>
      <c r="Q54" s="30" t="s">
        <v>269</v>
      </c>
      <c r="R54" s="30" t="s">
        <v>266</v>
      </c>
      <c r="S54" s="30" t="s">
        <v>267</v>
      </c>
      <c r="T54" s="36">
        <v>46032</v>
      </c>
      <c r="U54" s="93">
        <v>46022</v>
      </c>
      <c r="V54" s="98">
        <v>46032</v>
      </c>
      <c r="W54" s="52"/>
      <c r="X54" s="48" t="s">
        <v>170</v>
      </c>
      <c r="Y54" s="48">
        <v>2</v>
      </c>
      <c r="Z54" s="48"/>
      <c r="AA54" s="36">
        <v>46028</v>
      </c>
      <c r="AB54" s="43">
        <v>46039</v>
      </c>
      <c r="AC54" s="89"/>
      <c r="AD54" s="125" t="s">
        <v>59</v>
      </c>
      <c r="AE54" s="33"/>
      <c r="AF54" s="43">
        <v>46037</v>
      </c>
      <c r="AG54" s="43">
        <v>46034</v>
      </c>
      <c r="AH54" s="43">
        <v>46043</v>
      </c>
      <c r="AI54" s="43">
        <v>46045</v>
      </c>
      <c r="AJ54" s="43"/>
      <c r="AK54" s="44">
        <v>46047</v>
      </c>
      <c r="AL54" s="45">
        <v>41488.400000000001</v>
      </c>
      <c r="AM54" s="59"/>
      <c r="AN54" s="59"/>
      <c r="AO54" s="59"/>
      <c r="AP54" s="47" t="s">
        <v>61</v>
      </c>
      <c r="AQ54" s="33"/>
      <c r="AR54" s="30"/>
      <c r="AS54" s="33"/>
    </row>
    <row r="55" spans="1:45" ht="18.649999999999999" customHeight="1">
      <c r="A55" s="118" t="s">
        <v>258</v>
      </c>
      <c r="B55" s="73"/>
      <c r="C55" s="73"/>
      <c r="D55" s="20" t="s">
        <v>99</v>
      </c>
      <c r="E55" s="31" t="s">
        <v>247</v>
      </c>
      <c r="F55" s="49">
        <v>1000032969</v>
      </c>
      <c r="G55" s="61" t="s">
        <v>270</v>
      </c>
      <c r="H55" s="20">
        <v>2880</v>
      </c>
      <c r="I55" s="48" t="s">
        <v>85</v>
      </c>
      <c r="J55" s="74" t="s">
        <v>271</v>
      </c>
      <c r="K55" s="20"/>
      <c r="L55" s="22"/>
      <c r="M55" s="119" t="s">
        <v>272</v>
      </c>
      <c r="N55" s="73" t="s">
        <v>273</v>
      </c>
      <c r="O55" s="20" t="s">
        <v>150</v>
      </c>
      <c r="P55" s="20"/>
      <c r="Q55" s="20" t="s">
        <v>274</v>
      </c>
      <c r="R55" s="48" t="s">
        <v>178</v>
      </c>
      <c r="S55" s="73" t="s">
        <v>256</v>
      </c>
      <c r="T55" s="25">
        <v>45992</v>
      </c>
      <c r="U55" s="80">
        <v>46007</v>
      </c>
      <c r="V55" s="76">
        <v>46027</v>
      </c>
      <c r="W55" s="77"/>
      <c r="X55" s="78" t="s">
        <v>170</v>
      </c>
      <c r="Y55" s="78">
        <v>3</v>
      </c>
      <c r="Z55" s="78"/>
      <c r="AA55" s="80">
        <v>46011</v>
      </c>
      <c r="AB55" s="80">
        <v>46034</v>
      </c>
      <c r="AC55" s="80"/>
      <c r="AD55" s="42" t="s">
        <v>72</v>
      </c>
      <c r="AE55" s="20"/>
      <c r="AF55" s="25">
        <v>46027</v>
      </c>
      <c r="AG55" s="25">
        <v>46027</v>
      </c>
      <c r="AH55" s="25">
        <v>46043</v>
      </c>
      <c r="AI55" s="25">
        <v>46044</v>
      </c>
      <c r="AJ55" s="25"/>
      <c r="AK55" s="81">
        <v>46037</v>
      </c>
      <c r="AL55" s="126">
        <v>219836.49</v>
      </c>
      <c r="AM55" s="83"/>
      <c r="AN55" s="83"/>
      <c r="AO55" s="47">
        <v>0</v>
      </c>
      <c r="AP55" s="123" t="s">
        <v>180</v>
      </c>
      <c r="AQ55" s="22"/>
      <c r="AR55" s="22" t="s">
        <v>53</v>
      </c>
      <c r="AS55" s="22" t="s">
        <v>53</v>
      </c>
    </row>
    <row r="56" spans="1:45" ht="18.649999999999999" customHeight="1">
      <c r="A56" s="48"/>
      <c r="B56" s="30"/>
      <c r="C56" s="30"/>
      <c r="D56" s="20" t="s">
        <v>275</v>
      </c>
      <c r="E56" s="31" t="s">
        <v>63</v>
      </c>
      <c r="F56" s="31">
        <v>1000031684</v>
      </c>
      <c r="G56" s="107" t="s">
        <v>100</v>
      </c>
      <c r="H56" s="108">
        <v>1760</v>
      </c>
      <c r="I56" s="108" t="s">
        <v>52</v>
      </c>
      <c r="J56" s="33" t="s">
        <v>53</v>
      </c>
      <c r="K56" s="30" t="s">
        <v>53</v>
      </c>
      <c r="L56" s="33"/>
      <c r="M56" s="34" t="s">
        <v>276</v>
      </c>
      <c r="N56" s="30" t="s">
        <v>277</v>
      </c>
      <c r="O56" s="20" t="s">
        <v>68</v>
      </c>
      <c r="P56" s="30"/>
      <c r="Q56" s="30" t="s">
        <v>278</v>
      </c>
      <c r="R56" s="30" t="s">
        <v>70</v>
      </c>
      <c r="S56" s="92" t="s">
        <v>279</v>
      </c>
      <c r="T56" s="36">
        <v>46031</v>
      </c>
      <c r="U56" s="93">
        <v>46013</v>
      </c>
      <c r="V56" s="98">
        <v>46032</v>
      </c>
      <c r="W56" s="52"/>
      <c r="X56" s="20" t="s">
        <v>58</v>
      </c>
      <c r="Y56" s="20">
        <v>1</v>
      </c>
      <c r="Z56" s="20"/>
      <c r="AA56" s="127">
        <v>46013</v>
      </c>
      <c r="AB56" s="128">
        <v>46039</v>
      </c>
      <c r="AC56" s="129"/>
      <c r="AD56" s="42" t="s">
        <v>72</v>
      </c>
      <c r="AE56" s="33"/>
      <c r="AF56" s="43">
        <v>46020</v>
      </c>
      <c r="AG56" s="43">
        <v>46015</v>
      </c>
      <c r="AH56" s="43">
        <v>46044</v>
      </c>
      <c r="AI56" s="43">
        <v>46045</v>
      </c>
      <c r="AJ56" s="43"/>
      <c r="AK56" s="44">
        <v>45672</v>
      </c>
      <c r="AL56" s="45">
        <v>26400</v>
      </c>
      <c r="AM56" s="59"/>
      <c r="AN56" s="59"/>
      <c r="AO56" s="97"/>
      <c r="AP56" s="97"/>
      <c r="AQ56" s="33"/>
      <c r="AR56" s="30"/>
      <c r="AS56" s="33"/>
    </row>
    <row r="57" spans="1:45" ht="18.649999999999999" customHeight="1">
      <c r="A57" s="130" t="s">
        <v>280</v>
      </c>
      <c r="B57" s="73"/>
      <c r="C57" s="73"/>
      <c r="D57" s="20" t="s">
        <v>160</v>
      </c>
      <c r="E57" s="31" t="s">
        <v>281</v>
      </c>
      <c r="F57" s="31">
        <v>1000013182</v>
      </c>
      <c r="G57" s="32" t="s">
        <v>282</v>
      </c>
      <c r="H57" s="20" t="s">
        <v>283</v>
      </c>
      <c r="I57" s="20" t="s">
        <v>52</v>
      </c>
      <c r="J57" s="131" t="s">
        <v>284</v>
      </c>
      <c r="K57" s="20" t="s">
        <v>53</v>
      </c>
      <c r="L57" s="22"/>
      <c r="M57" s="119" t="s">
        <v>285</v>
      </c>
      <c r="N57" s="20">
        <v>3710090670</v>
      </c>
      <c r="O57" s="20" t="s">
        <v>150</v>
      </c>
      <c r="P57" s="20"/>
      <c r="Q57" s="20" t="s">
        <v>286</v>
      </c>
      <c r="R57" s="48" t="s">
        <v>287</v>
      </c>
      <c r="S57" s="20" t="s">
        <v>288</v>
      </c>
      <c r="T57" s="25">
        <v>45962</v>
      </c>
      <c r="U57" s="132">
        <v>46025</v>
      </c>
      <c r="V57" s="80">
        <v>46030</v>
      </c>
      <c r="W57" s="77"/>
      <c r="X57" s="78" t="s">
        <v>58</v>
      </c>
      <c r="Y57" s="78">
        <v>2</v>
      </c>
      <c r="Z57" s="78"/>
      <c r="AA57" s="80">
        <v>46034</v>
      </c>
      <c r="AB57" s="80">
        <v>46038</v>
      </c>
      <c r="AC57" s="80"/>
      <c r="AD57" s="42" t="s">
        <v>72</v>
      </c>
      <c r="AE57" s="20"/>
      <c r="AF57" s="25">
        <v>46035</v>
      </c>
      <c r="AG57" s="25">
        <v>46035</v>
      </c>
      <c r="AH57" s="25">
        <v>46044</v>
      </c>
      <c r="AI57" s="25">
        <v>46045</v>
      </c>
      <c r="AJ57" s="25"/>
      <c r="AK57" s="133">
        <v>45925</v>
      </c>
      <c r="AL57" s="121">
        <v>414492.04</v>
      </c>
      <c r="AM57" s="122"/>
      <c r="AN57" s="123"/>
      <c r="AO57" s="47">
        <v>414492.04</v>
      </c>
      <c r="AP57" s="123" t="s">
        <v>289</v>
      </c>
      <c r="AQ57" s="22"/>
      <c r="AR57" s="20" t="s">
        <v>290</v>
      </c>
      <c r="AS57" s="99" t="s">
        <v>291</v>
      </c>
    </row>
    <row r="58" spans="1:45" ht="18.649999999999999" customHeight="1">
      <c r="A58" s="130" t="s">
        <v>292</v>
      </c>
      <c r="B58" s="73"/>
      <c r="C58" s="73"/>
      <c r="D58" s="20" t="s">
        <v>160</v>
      </c>
      <c r="E58" s="31" t="s">
        <v>281</v>
      </c>
      <c r="F58" s="31">
        <v>1000019446</v>
      </c>
      <c r="G58" s="32" t="s">
        <v>293</v>
      </c>
      <c r="H58" s="20" t="s">
        <v>294</v>
      </c>
      <c r="I58" s="20" t="s">
        <v>52</v>
      </c>
      <c r="J58" s="131" t="s">
        <v>284</v>
      </c>
      <c r="K58" s="20" t="s">
        <v>53</v>
      </c>
      <c r="L58" s="22"/>
      <c r="M58" s="119" t="s">
        <v>295</v>
      </c>
      <c r="N58" s="20">
        <v>3710090671</v>
      </c>
      <c r="O58" s="20" t="s">
        <v>150</v>
      </c>
      <c r="P58" s="20"/>
      <c r="Q58" s="20" t="s">
        <v>296</v>
      </c>
      <c r="R58" s="48" t="s">
        <v>287</v>
      </c>
      <c r="S58" s="20" t="s">
        <v>288</v>
      </c>
      <c r="T58" s="25">
        <v>45962</v>
      </c>
      <c r="U58" s="132">
        <v>46025</v>
      </c>
      <c r="V58" s="80">
        <v>46030</v>
      </c>
      <c r="W58" s="77"/>
      <c r="X58" s="78" t="s">
        <v>58</v>
      </c>
      <c r="Y58" s="78">
        <v>1</v>
      </c>
      <c r="Z58" s="78"/>
      <c r="AA58" s="80">
        <v>46034</v>
      </c>
      <c r="AB58" s="80">
        <v>46038</v>
      </c>
      <c r="AC58" s="80"/>
      <c r="AD58" s="42" t="s">
        <v>72</v>
      </c>
      <c r="AE58" s="20"/>
      <c r="AF58" s="25">
        <v>46035</v>
      </c>
      <c r="AG58" s="25">
        <v>46035</v>
      </c>
      <c r="AH58" s="25">
        <v>46044</v>
      </c>
      <c r="AI58" s="25">
        <v>46045</v>
      </c>
      <c r="AJ58" s="25"/>
      <c r="AK58" s="133">
        <v>45925</v>
      </c>
      <c r="AL58" s="121">
        <v>221696</v>
      </c>
      <c r="AM58" s="122"/>
      <c r="AN58" s="123"/>
      <c r="AO58" s="47">
        <v>221696</v>
      </c>
      <c r="AP58" s="123" t="s">
        <v>289</v>
      </c>
      <c r="AQ58" s="22"/>
      <c r="AR58" s="20" t="s">
        <v>297</v>
      </c>
      <c r="AS58" s="99" t="s">
        <v>298</v>
      </c>
    </row>
    <row r="59" spans="1:45" ht="18.649999999999999" customHeight="1">
      <c r="A59" s="48"/>
      <c r="B59" s="30"/>
      <c r="C59" s="30"/>
      <c r="D59" s="48" t="s">
        <v>81</v>
      </c>
      <c r="E59" s="49" t="s">
        <v>262</v>
      </c>
      <c r="F59" s="49" t="s">
        <v>299</v>
      </c>
      <c r="G59" s="107" t="s">
        <v>300</v>
      </c>
      <c r="H59" s="108">
        <v>4476</v>
      </c>
      <c r="I59" s="108" t="s">
        <v>85</v>
      </c>
      <c r="J59" s="33" t="s">
        <v>301</v>
      </c>
      <c r="K59" s="30" t="s">
        <v>53</v>
      </c>
      <c r="L59" s="33"/>
      <c r="M59" s="34" t="s">
        <v>302</v>
      </c>
      <c r="N59" s="30">
        <v>90472053</v>
      </c>
      <c r="O59" s="30" t="s">
        <v>68</v>
      </c>
      <c r="P59" s="30"/>
      <c r="Q59" s="30" t="s">
        <v>303</v>
      </c>
      <c r="R59" s="30" t="s">
        <v>266</v>
      </c>
      <c r="S59" s="30" t="s">
        <v>267</v>
      </c>
      <c r="T59" s="36">
        <v>46031</v>
      </c>
      <c r="U59" s="93">
        <v>46022</v>
      </c>
      <c r="V59" s="98">
        <v>46032</v>
      </c>
      <c r="W59" s="52"/>
      <c r="X59" s="48" t="s">
        <v>170</v>
      </c>
      <c r="Y59" s="48">
        <v>4</v>
      </c>
      <c r="Z59" s="48"/>
      <c r="AA59" s="36">
        <v>46028</v>
      </c>
      <c r="AB59" s="43">
        <v>46039</v>
      </c>
      <c r="AC59" s="89"/>
      <c r="AD59" s="42" t="s">
        <v>59</v>
      </c>
      <c r="AE59" s="33"/>
      <c r="AF59" s="43">
        <v>46037</v>
      </c>
      <c r="AG59" s="43">
        <v>46035</v>
      </c>
      <c r="AH59" s="43">
        <v>46044</v>
      </c>
      <c r="AI59" s="43">
        <v>46045</v>
      </c>
      <c r="AJ59" s="43"/>
      <c r="AK59" s="44">
        <v>46047</v>
      </c>
      <c r="AL59" s="45">
        <v>93080</v>
      </c>
      <c r="AM59" s="59"/>
      <c r="AN59" s="59"/>
      <c r="AO59" s="59"/>
      <c r="AP59" s="59"/>
      <c r="AQ59" s="33"/>
      <c r="AR59" s="30"/>
      <c r="AS59" s="33"/>
    </row>
    <row r="60" spans="1:45" ht="18.649999999999999" customHeight="1">
      <c r="A60" s="48"/>
      <c r="B60" s="30"/>
      <c r="C60" s="30"/>
      <c r="D60" s="48" t="s">
        <v>48</v>
      </c>
      <c r="E60" s="49" t="s">
        <v>171</v>
      </c>
      <c r="F60" s="49">
        <v>1000011836</v>
      </c>
      <c r="G60" s="33" t="s">
        <v>172</v>
      </c>
      <c r="H60" s="30">
        <v>200</v>
      </c>
      <c r="I60" s="20" t="s">
        <v>52</v>
      </c>
      <c r="J60" s="33" t="s">
        <v>304</v>
      </c>
      <c r="K60" s="30" t="s">
        <v>53</v>
      </c>
      <c r="L60" s="33"/>
      <c r="M60" s="34" t="s">
        <v>305</v>
      </c>
      <c r="N60" s="30" t="s">
        <v>306</v>
      </c>
      <c r="O60" s="20" t="s">
        <v>176</v>
      </c>
      <c r="P60" s="30"/>
      <c r="Q60" s="33" t="s">
        <v>307</v>
      </c>
      <c r="R60" s="52" t="s">
        <v>178</v>
      </c>
      <c r="S60" s="30" t="s">
        <v>308</v>
      </c>
      <c r="T60" s="36">
        <v>46041</v>
      </c>
      <c r="U60" s="37">
        <v>46026</v>
      </c>
      <c r="V60" s="51">
        <v>46041</v>
      </c>
      <c r="W60" s="52"/>
      <c r="X60" s="30" t="s">
        <v>309</v>
      </c>
      <c r="Y60" s="30">
        <v>0.5</v>
      </c>
      <c r="Z60" s="33"/>
      <c r="AA60" s="80">
        <v>46033</v>
      </c>
      <c r="AB60" s="111">
        <v>46045</v>
      </c>
      <c r="AC60" s="106">
        <f>AB60-V60</f>
        <v>4</v>
      </c>
      <c r="AD60" s="42" t="s">
        <v>72</v>
      </c>
      <c r="AE60" s="33"/>
      <c r="AF60" s="43">
        <v>46038</v>
      </c>
      <c r="AG60" s="43">
        <v>46031</v>
      </c>
      <c r="AH60" s="43">
        <v>46049</v>
      </c>
      <c r="AI60" s="43">
        <v>46052</v>
      </c>
      <c r="AJ60" s="43"/>
      <c r="AK60" s="44">
        <v>46047</v>
      </c>
      <c r="AL60" s="91">
        <v>73329.3</v>
      </c>
      <c r="AM60" s="46"/>
      <c r="AN60" s="46"/>
      <c r="AO60" s="47">
        <v>0</v>
      </c>
      <c r="AP60" s="59" t="s">
        <v>180</v>
      </c>
      <c r="AQ60" s="33"/>
      <c r="AR60" s="30"/>
      <c r="AS60" s="33"/>
    </row>
    <row r="61" spans="1:45" ht="18.649999999999999" customHeight="1">
      <c r="A61" s="48"/>
      <c r="B61" s="30"/>
      <c r="C61" s="30"/>
      <c r="D61" s="48" t="s">
        <v>48</v>
      </c>
      <c r="E61" s="49" t="s">
        <v>171</v>
      </c>
      <c r="F61" s="49">
        <v>1000022205</v>
      </c>
      <c r="G61" s="33" t="s">
        <v>181</v>
      </c>
      <c r="H61" s="30">
        <v>450</v>
      </c>
      <c r="I61" s="20" t="s">
        <v>52</v>
      </c>
      <c r="J61" s="33" t="s">
        <v>310</v>
      </c>
      <c r="K61" s="30"/>
      <c r="L61" s="33"/>
      <c r="M61" s="34" t="s">
        <v>305</v>
      </c>
      <c r="N61" s="30" t="s">
        <v>306</v>
      </c>
      <c r="O61" s="20" t="s">
        <v>176</v>
      </c>
      <c r="P61" s="30"/>
      <c r="Q61" s="33" t="s">
        <v>307</v>
      </c>
      <c r="R61" s="52" t="s">
        <v>178</v>
      </c>
      <c r="S61" s="30" t="s">
        <v>308</v>
      </c>
      <c r="T61" s="36">
        <v>46041</v>
      </c>
      <c r="U61" s="37">
        <v>46026</v>
      </c>
      <c r="V61" s="51">
        <v>46041</v>
      </c>
      <c r="W61" s="52"/>
      <c r="X61" s="30" t="s">
        <v>309</v>
      </c>
      <c r="Y61" s="30">
        <v>0.5</v>
      </c>
      <c r="Z61" s="33"/>
      <c r="AA61" s="80">
        <v>46033</v>
      </c>
      <c r="AB61" s="111">
        <v>46045</v>
      </c>
      <c r="AC61" s="106">
        <f>AB61-V61</f>
        <v>4</v>
      </c>
      <c r="AD61" s="42" t="s">
        <v>72</v>
      </c>
      <c r="AE61" s="33"/>
      <c r="AF61" s="43">
        <v>46038</v>
      </c>
      <c r="AG61" s="43">
        <v>46031</v>
      </c>
      <c r="AH61" s="43">
        <v>46049</v>
      </c>
      <c r="AI61" s="43">
        <v>46052</v>
      </c>
      <c r="AJ61" s="43"/>
      <c r="AK61" s="44">
        <v>46047</v>
      </c>
      <c r="AL61" s="91">
        <v>30789.599999999999</v>
      </c>
      <c r="AM61" s="46"/>
      <c r="AN61" s="46"/>
      <c r="AO61" s="47">
        <v>0</v>
      </c>
      <c r="AP61" s="59" t="s">
        <v>180</v>
      </c>
      <c r="AQ61" s="33"/>
      <c r="AR61" s="30">
        <v>2</v>
      </c>
      <c r="AS61" s="134" t="s">
        <v>311</v>
      </c>
    </row>
    <row r="62" spans="1:45" ht="18.649999999999999" customHeight="1">
      <c r="A62" s="48"/>
      <c r="B62" s="30"/>
      <c r="C62" s="30"/>
      <c r="D62" s="48" t="s">
        <v>312</v>
      </c>
      <c r="E62" s="49" t="s">
        <v>313</v>
      </c>
      <c r="F62" s="49">
        <v>2000002327</v>
      </c>
      <c r="G62" s="107" t="s">
        <v>314</v>
      </c>
      <c r="H62" s="108">
        <v>120</v>
      </c>
      <c r="I62" s="108" t="s">
        <v>239</v>
      </c>
      <c r="J62" s="33" t="s">
        <v>53</v>
      </c>
      <c r="K62" s="30" t="s">
        <v>53</v>
      </c>
      <c r="L62" s="33"/>
      <c r="M62" s="117" t="s">
        <v>315</v>
      </c>
      <c r="N62" s="30">
        <v>9424244358</v>
      </c>
      <c r="O62" s="30" t="s">
        <v>55</v>
      </c>
      <c r="P62" s="30"/>
      <c r="Q62" s="30" t="s">
        <v>316</v>
      </c>
      <c r="R62" s="30" t="s">
        <v>317</v>
      </c>
      <c r="S62" s="30"/>
      <c r="T62" s="36">
        <v>46084</v>
      </c>
      <c r="U62" s="93">
        <v>46043</v>
      </c>
      <c r="V62" s="88">
        <v>46048</v>
      </c>
      <c r="W62" s="52"/>
      <c r="X62" s="30" t="s">
        <v>217</v>
      </c>
      <c r="Y62" s="30">
        <v>0.5</v>
      </c>
      <c r="Z62" s="30"/>
      <c r="AA62" s="36">
        <v>46043</v>
      </c>
      <c r="AB62" s="36">
        <v>46048</v>
      </c>
      <c r="AC62" s="30"/>
      <c r="AD62" s="56" t="s">
        <v>72</v>
      </c>
      <c r="AE62" s="33"/>
      <c r="AF62" s="43">
        <v>46049</v>
      </c>
      <c r="AG62" s="43">
        <v>46049</v>
      </c>
      <c r="AH62" s="43">
        <v>46050</v>
      </c>
      <c r="AI62" s="43">
        <v>46051</v>
      </c>
      <c r="AJ62" s="43"/>
      <c r="AK62" s="96">
        <v>46037</v>
      </c>
      <c r="AL62" s="135">
        <v>667</v>
      </c>
      <c r="AM62" s="59"/>
      <c r="AN62" s="59"/>
      <c r="AO62" s="97"/>
      <c r="AP62" s="97"/>
      <c r="AQ62" s="33"/>
      <c r="AR62" s="30"/>
      <c r="AS62" s="33"/>
    </row>
    <row r="63" spans="1:45" ht="18.649999999999999" customHeight="1">
      <c r="A63" s="48"/>
      <c r="B63" s="30"/>
      <c r="C63" s="30"/>
      <c r="D63" s="48" t="s">
        <v>312</v>
      </c>
      <c r="E63" s="49" t="s">
        <v>313</v>
      </c>
      <c r="F63" s="49">
        <v>2000005164</v>
      </c>
      <c r="G63" s="107" t="s">
        <v>318</v>
      </c>
      <c r="H63" s="108">
        <v>92</v>
      </c>
      <c r="I63" s="108" t="s">
        <v>239</v>
      </c>
      <c r="J63" s="33" t="s">
        <v>53</v>
      </c>
      <c r="K63" s="30" t="s">
        <v>53</v>
      </c>
      <c r="L63" s="33"/>
      <c r="M63" s="117" t="s">
        <v>315</v>
      </c>
      <c r="N63" s="30">
        <v>9424244358</v>
      </c>
      <c r="O63" s="30" t="s">
        <v>55</v>
      </c>
      <c r="P63" s="30"/>
      <c r="Q63" s="30" t="s">
        <v>316</v>
      </c>
      <c r="R63" s="30" t="s">
        <v>317</v>
      </c>
      <c r="S63" s="30"/>
      <c r="T63" s="36">
        <v>46084</v>
      </c>
      <c r="U63" s="93">
        <v>46043</v>
      </c>
      <c r="V63" s="88">
        <v>46048</v>
      </c>
      <c r="W63" s="52"/>
      <c r="X63" s="30" t="s">
        <v>217</v>
      </c>
      <c r="Y63" s="30">
        <v>0.5</v>
      </c>
      <c r="Z63" s="30"/>
      <c r="AA63" s="36">
        <v>46043</v>
      </c>
      <c r="AB63" s="36">
        <v>46048</v>
      </c>
      <c r="AC63" s="30"/>
      <c r="AD63" s="56" t="s">
        <v>72</v>
      </c>
      <c r="AE63" s="33"/>
      <c r="AF63" s="43">
        <v>46049</v>
      </c>
      <c r="AG63" s="43">
        <v>46049</v>
      </c>
      <c r="AH63" s="43">
        <v>46050</v>
      </c>
      <c r="AI63" s="43">
        <v>46051</v>
      </c>
      <c r="AJ63" s="43"/>
      <c r="AK63" s="96">
        <v>46037</v>
      </c>
      <c r="AL63" s="135">
        <v>494.4</v>
      </c>
      <c r="AM63" s="59"/>
      <c r="AN63" s="59"/>
      <c r="AO63" s="97"/>
      <c r="AP63" s="97"/>
      <c r="AQ63" s="33"/>
      <c r="AR63" s="30"/>
      <c r="AS63" s="33"/>
    </row>
    <row r="64" spans="1:45" ht="18.649999999999999" customHeight="1">
      <c r="A64" s="48"/>
      <c r="B64" s="30"/>
      <c r="C64" s="30"/>
      <c r="D64" s="20" t="s">
        <v>275</v>
      </c>
      <c r="E64" s="31" t="s">
        <v>319</v>
      </c>
      <c r="F64" s="31">
        <v>1000030433</v>
      </c>
      <c r="G64" s="107" t="s">
        <v>320</v>
      </c>
      <c r="H64" s="108">
        <v>756</v>
      </c>
      <c r="I64" s="108" t="s">
        <v>85</v>
      </c>
      <c r="J64" s="33"/>
      <c r="K64" s="30"/>
      <c r="L64" s="33"/>
      <c r="M64" s="34" t="s">
        <v>321</v>
      </c>
      <c r="N64" s="30" t="s">
        <v>322</v>
      </c>
      <c r="O64" s="30" t="s">
        <v>189</v>
      </c>
      <c r="P64" s="30"/>
      <c r="Q64" s="30" t="s">
        <v>323</v>
      </c>
      <c r="R64" s="30" t="s">
        <v>324</v>
      </c>
      <c r="S64" s="30" t="s">
        <v>325</v>
      </c>
      <c r="T64" s="36">
        <v>46037</v>
      </c>
      <c r="U64" s="93">
        <v>46032</v>
      </c>
      <c r="V64" s="98">
        <v>46040</v>
      </c>
      <c r="W64" s="52"/>
      <c r="X64" s="30" t="s">
        <v>123</v>
      </c>
      <c r="Y64" s="30">
        <v>0.5</v>
      </c>
      <c r="Z64" s="30"/>
      <c r="AA64" s="36">
        <v>46032</v>
      </c>
      <c r="AB64" s="94">
        <v>46045</v>
      </c>
      <c r="AC64" s="30"/>
      <c r="AD64" s="56" t="s">
        <v>72</v>
      </c>
      <c r="AE64" s="33"/>
      <c r="AF64" s="43">
        <v>46037</v>
      </c>
      <c r="AG64" s="43">
        <v>46034</v>
      </c>
      <c r="AH64" s="43">
        <v>46050</v>
      </c>
      <c r="AI64" s="43">
        <v>46051</v>
      </c>
      <c r="AJ64" s="43"/>
      <c r="AK64" s="44">
        <v>46037</v>
      </c>
      <c r="AL64" s="91">
        <v>151200</v>
      </c>
      <c r="AM64" s="59"/>
      <c r="AN64" s="59"/>
      <c r="AO64" s="97"/>
      <c r="AP64" s="97"/>
      <c r="AQ64" s="33"/>
      <c r="AR64" s="30"/>
      <c r="AS64" s="33"/>
    </row>
    <row r="65" spans="1:45" ht="18.649999999999999" customHeight="1">
      <c r="A65" s="48"/>
      <c r="B65" s="30"/>
      <c r="C65" s="30"/>
      <c r="D65" s="20" t="s">
        <v>275</v>
      </c>
      <c r="E65" s="31" t="s">
        <v>319</v>
      </c>
      <c r="F65" s="31">
        <v>1000024287</v>
      </c>
      <c r="G65" s="107" t="s">
        <v>326</v>
      </c>
      <c r="H65" s="108">
        <v>504</v>
      </c>
      <c r="I65" s="108" t="s">
        <v>85</v>
      </c>
      <c r="J65" s="33"/>
      <c r="K65" s="30"/>
      <c r="L65" s="33"/>
      <c r="M65" s="34" t="s">
        <v>321</v>
      </c>
      <c r="N65" s="30" t="s">
        <v>322</v>
      </c>
      <c r="O65" s="30" t="s">
        <v>189</v>
      </c>
      <c r="P65" s="30"/>
      <c r="Q65" s="30" t="s">
        <v>323</v>
      </c>
      <c r="R65" s="30" t="s">
        <v>324</v>
      </c>
      <c r="S65" s="30" t="s">
        <v>325</v>
      </c>
      <c r="T65" s="36">
        <v>46037</v>
      </c>
      <c r="U65" s="93">
        <v>46032</v>
      </c>
      <c r="V65" s="98">
        <v>46040</v>
      </c>
      <c r="W65" s="52"/>
      <c r="X65" s="30" t="s">
        <v>123</v>
      </c>
      <c r="Y65" s="30">
        <v>0.5</v>
      </c>
      <c r="Z65" s="30"/>
      <c r="AA65" s="36">
        <v>46032</v>
      </c>
      <c r="AB65" s="94">
        <v>46045</v>
      </c>
      <c r="AC65" s="30"/>
      <c r="AD65" s="56" t="s">
        <v>72</v>
      </c>
      <c r="AE65" s="33"/>
      <c r="AF65" s="43">
        <v>46037</v>
      </c>
      <c r="AG65" s="43">
        <v>46034</v>
      </c>
      <c r="AH65" s="43">
        <v>46050</v>
      </c>
      <c r="AI65" s="43">
        <v>46051</v>
      </c>
      <c r="AJ65" s="43"/>
      <c r="AK65" s="44">
        <v>46037</v>
      </c>
      <c r="AL65" s="91">
        <v>100800</v>
      </c>
      <c r="AM65" s="59"/>
      <c r="AN65" s="59"/>
      <c r="AO65" s="97"/>
      <c r="AP65" s="97"/>
      <c r="AQ65" s="33"/>
      <c r="AR65" s="30"/>
      <c r="AS65" s="33"/>
    </row>
    <row r="66" spans="1:45" ht="18.649999999999999" customHeight="1">
      <c r="A66" s="48"/>
      <c r="B66" s="30"/>
      <c r="C66" s="30"/>
      <c r="D66" s="20" t="s">
        <v>275</v>
      </c>
      <c r="E66" s="31" t="s">
        <v>319</v>
      </c>
      <c r="F66" s="49">
        <v>2000023530</v>
      </c>
      <c r="G66" s="107" t="s">
        <v>327</v>
      </c>
      <c r="H66" s="108">
        <v>10</v>
      </c>
      <c r="I66" s="108" t="s">
        <v>239</v>
      </c>
      <c r="J66" s="33"/>
      <c r="K66" s="30"/>
      <c r="L66" s="33"/>
      <c r="M66" s="34" t="s">
        <v>321</v>
      </c>
      <c r="N66" s="30" t="s">
        <v>322</v>
      </c>
      <c r="O66" s="30" t="s">
        <v>189</v>
      </c>
      <c r="P66" s="30"/>
      <c r="Q66" s="30" t="s">
        <v>323</v>
      </c>
      <c r="R66" s="30" t="s">
        <v>324</v>
      </c>
      <c r="S66" s="30" t="s">
        <v>325</v>
      </c>
      <c r="T66" s="36">
        <v>46037</v>
      </c>
      <c r="U66" s="93">
        <v>46032</v>
      </c>
      <c r="V66" s="98">
        <v>46040</v>
      </c>
      <c r="W66" s="52"/>
      <c r="X66" s="30" t="s">
        <v>123</v>
      </c>
      <c r="Y66" s="30">
        <v>0.5</v>
      </c>
      <c r="Z66" s="30"/>
      <c r="AA66" s="36">
        <v>46032</v>
      </c>
      <c r="AB66" s="94">
        <v>46045</v>
      </c>
      <c r="AC66" s="30"/>
      <c r="AD66" s="56" t="s">
        <v>72</v>
      </c>
      <c r="AE66" s="33"/>
      <c r="AF66" s="43">
        <v>46037</v>
      </c>
      <c r="AG66" s="43">
        <v>46034</v>
      </c>
      <c r="AH66" s="43">
        <v>46050</v>
      </c>
      <c r="AI66" s="43">
        <v>46051</v>
      </c>
      <c r="AJ66" s="43"/>
      <c r="AK66" s="44">
        <v>46037</v>
      </c>
      <c r="AL66" s="135">
        <v>125</v>
      </c>
      <c r="AM66" s="59"/>
      <c r="AN66" s="59"/>
      <c r="AO66" s="97"/>
      <c r="AP66" s="97"/>
      <c r="AQ66" s="33"/>
      <c r="AR66" s="30"/>
      <c r="AS66" s="33"/>
    </row>
    <row r="67" spans="1:45" ht="18.649999999999999" customHeight="1">
      <c r="A67" s="48"/>
      <c r="B67" s="30"/>
      <c r="C67" s="30"/>
      <c r="D67" s="20" t="s">
        <v>275</v>
      </c>
      <c r="E67" s="31" t="s">
        <v>319</v>
      </c>
      <c r="F67" s="31">
        <v>1000030433</v>
      </c>
      <c r="G67" s="107" t="s">
        <v>320</v>
      </c>
      <c r="H67" s="108">
        <v>378</v>
      </c>
      <c r="I67" s="108" t="s">
        <v>85</v>
      </c>
      <c r="J67" s="33"/>
      <c r="K67" s="30"/>
      <c r="L67" s="33"/>
      <c r="M67" s="34" t="s">
        <v>328</v>
      </c>
      <c r="N67" s="30" t="s">
        <v>329</v>
      </c>
      <c r="O67" s="30" t="s">
        <v>189</v>
      </c>
      <c r="P67" s="30"/>
      <c r="Q67" s="30" t="s">
        <v>330</v>
      </c>
      <c r="R67" s="30" t="s">
        <v>324</v>
      </c>
      <c r="S67" s="30" t="s">
        <v>331</v>
      </c>
      <c r="T67" s="36">
        <v>46054</v>
      </c>
      <c r="U67" s="93">
        <v>46038</v>
      </c>
      <c r="V67" s="88">
        <v>46045</v>
      </c>
      <c r="W67" s="52"/>
      <c r="X67" s="30" t="s">
        <v>123</v>
      </c>
      <c r="Y67" s="30">
        <v>0.5</v>
      </c>
      <c r="Z67" s="30"/>
      <c r="AA67" s="36">
        <v>46038</v>
      </c>
      <c r="AB67" s="94">
        <v>46047</v>
      </c>
      <c r="AC67" s="30"/>
      <c r="AD67" s="56" t="s">
        <v>72</v>
      </c>
      <c r="AE67" s="33"/>
      <c r="AF67" s="25">
        <v>46049</v>
      </c>
      <c r="AG67" s="43">
        <v>46038</v>
      </c>
      <c r="AH67" s="43">
        <v>46050</v>
      </c>
      <c r="AI67" s="43">
        <v>46053</v>
      </c>
      <c r="AJ67" s="43"/>
      <c r="AK67" s="44">
        <v>46047</v>
      </c>
      <c r="AL67" s="91">
        <v>75600</v>
      </c>
      <c r="AM67" s="59"/>
      <c r="AN67" s="59"/>
      <c r="AO67" s="97"/>
      <c r="AP67" s="97"/>
      <c r="AQ67" s="33"/>
      <c r="AR67" s="30"/>
      <c r="AS67" s="33"/>
    </row>
    <row r="68" spans="1:45" ht="18.649999999999999" customHeight="1">
      <c r="A68" s="48"/>
      <c r="B68" s="30"/>
      <c r="C68" s="30"/>
      <c r="D68" s="20" t="s">
        <v>275</v>
      </c>
      <c r="E68" s="31" t="s">
        <v>319</v>
      </c>
      <c r="F68" s="31">
        <v>1000024287</v>
      </c>
      <c r="G68" s="107" t="s">
        <v>326</v>
      </c>
      <c r="H68" s="108">
        <v>252</v>
      </c>
      <c r="I68" s="108" t="s">
        <v>85</v>
      </c>
      <c r="J68" s="33"/>
      <c r="K68" s="30"/>
      <c r="L68" s="33"/>
      <c r="M68" s="34" t="s">
        <v>328</v>
      </c>
      <c r="N68" s="30" t="s">
        <v>329</v>
      </c>
      <c r="O68" s="30" t="s">
        <v>189</v>
      </c>
      <c r="P68" s="30"/>
      <c r="Q68" s="30" t="s">
        <v>330</v>
      </c>
      <c r="R68" s="30" t="s">
        <v>324</v>
      </c>
      <c r="S68" s="30" t="s">
        <v>331</v>
      </c>
      <c r="T68" s="36">
        <v>46054</v>
      </c>
      <c r="U68" s="93">
        <v>46038</v>
      </c>
      <c r="V68" s="88">
        <v>46045</v>
      </c>
      <c r="W68" s="52"/>
      <c r="X68" s="30" t="s">
        <v>123</v>
      </c>
      <c r="Y68" s="30">
        <v>0.5</v>
      </c>
      <c r="Z68" s="30"/>
      <c r="AA68" s="36">
        <v>46038</v>
      </c>
      <c r="AB68" s="94">
        <v>46047</v>
      </c>
      <c r="AC68" s="30"/>
      <c r="AD68" s="56" t="s">
        <v>72</v>
      </c>
      <c r="AE68" s="33"/>
      <c r="AF68" s="25">
        <v>46049</v>
      </c>
      <c r="AG68" s="43">
        <v>46038</v>
      </c>
      <c r="AH68" s="43">
        <v>46050</v>
      </c>
      <c r="AI68" s="43">
        <v>46053</v>
      </c>
      <c r="AJ68" s="43"/>
      <c r="AK68" s="44">
        <v>46047</v>
      </c>
      <c r="AL68" s="91">
        <v>50400</v>
      </c>
      <c r="AM68" s="59"/>
      <c r="AN68" s="59"/>
      <c r="AO68" s="97"/>
      <c r="AP68" s="97"/>
      <c r="AQ68" s="33"/>
      <c r="AR68" s="30"/>
      <c r="AS68" s="33"/>
    </row>
    <row r="69" spans="1:45" ht="18.649999999999999" customHeight="1">
      <c r="A69" s="48"/>
      <c r="B69" s="30"/>
      <c r="C69" s="30"/>
      <c r="D69" s="20" t="s">
        <v>275</v>
      </c>
      <c r="E69" s="31" t="s">
        <v>319</v>
      </c>
      <c r="F69" s="49">
        <v>2000023239</v>
      </c>
      <c r="G69" s="107" t="s">
        <v>332</v>
      </c>
      <c r="H69" s="108">
        <v>20</v>
      </c>
      <c r="I69" s="108" t="s">
        <v>239</v>
      </c>
      <c r="J69" s="33"/>
      <c r="K69" s="30"/>
      <c r="L69" s="33"/>
      <c r="M69" s="34" t="s">
        <v>328</v>
      </c>
      <c r="N69" s="30" t="s">
        <v>329</v>
      </c>
      <c r="O69" s="30" t="s">
        <v>189</v>
      </c>
      <c r="P69" s="30"/>
      <c r="Q69" s="30" t="s">
        <v>330</v>
      </c>
      <c r="R69" s="30" t="s">
        <v>324</v>
      </c>
      <c r="S69" s="30" t="s">
        <v>331</v>
      </c>
      <c r="T69" s="36">
        <v>46054</v>
      </c>
      <c r="U69" s="93">
        <v>46038</v>
      </c>
      <c r="V69" s="88">
        <v>46045</v>
      </c>
      <c r="W69" s="52"/>
      <c r="X69" s="30" t="s">
        <v>123</v>
      </c>
      <c r="Y69" s="30">
        <v>0.5</v>
      </c>
      <c r="Z69" s="30"/>
      <c r="AA69" s="36">
        <v>46038</v>
      </c>
      <c r="AB69" s="94">
        <v>46047</v>
      </c>
      <c r="AC69" s="30"/>
      <c r="AD69" s="56" t="s">
        <v>72</v>
      </c>
      <c r="AE69" s="33"/>
      <c r="AF69" s="25">
        <v>46049</v>
      </c>
      <c r="AG69" s="43">
        <v>46038</v>
      </c>
      <c r="AH69" s="43">
        <v>46050</v>
      </c>
      <c r="AI69" s="43">
        <v>46053</v>
      </c>
      <c r="AJ69" s="43"/>
      <c r="AK69" s="44">
        <v>46047</v>
      </c>
      <c r="AL69" s="135">
        <v>210</v>
      </c>
      <c r="AM69" s="59"/>
      <c r="AN69" s="59"/>
      <c r="AO69" s="97"/>
      <c r="AP69" s="97"/>
      <c r="AQ69" s="33"/>
      <c r="AR69" s="30"/>
      <c r="AS69" s="33"/>
    </row>
    <row r="70" spans="1:45" ht="18.649999999999999" customHeight="1">
      <c r="A70" s="48"/>
      <c r="B70" s="30"/>
      <c r="C70" s="30"/>
      <c r="D70" s="20" t="s">
        <v>275</v>
      </c>
      <c r="E70" s="31" t="s">
        <v>319</v>
      </c>
      <c r="F70" s="49">
        <v>2000023530</v>
      </c>
      <c r="G70" s="107" t="s">
        <v>327</v>
      </c>
      <c r="H70" s="108">
        <v>10</v>
      </c>
      <c r="I70" s="108" t="s">
        <v>239</v>
      </c>
      <c r="J70" s="33"/>
      <c r="K70" s="30"/>
      <c r="L70" s="33"/>
      <c r="M70" s="34" t="s">
        <v>328</v>
      </c>
      <c r="N70" s="30" t="s">
        <v>329</v>
      </c>
      <c r="O70" s="30" t="s">
        <v>189</v>
      </c>
      <c r="P70" s="30"/>
      <c r="Q70" s="30" t="s">
        <v>330</v>
      </c>
      <c r="R70" s="30" t="s">
        <v>324</v>
      </c>
      <c r="S70" s="30" t="s">
        <v>331</v>
      </c>
      <c r="T70" s="36">
        <v>46054</v>
      </c>
      <c r="U70" s="93">
        <v>46038</v>
      </c>
      <c r="V70" s="88">
        <v>46045</v>
      </c>
      <c r="W70" s="52"/>
      <c r="X70" s="30" t="s">
        <v>123</v>
      </c>
      <c r="Y70" s="30">
        <v>0.5</v>
      </c>
      <c r="Z70" s="30"/>
      <c r="AA70" s="36">
        <v>46038</v>
      </c>
      <c r="AB70" s="94">
        <v>46047</v>
      </c>
      <c r="AC70" s="30"/>
      <c r="AD70" s="56" t="s">
        <v>72</v>
      </c>
      <c r="AE70" s="33"/>
      <c r="AF70" s="25">
        <v>46049</v>
      </c>
      <c r="AG70" s="43">
        <v>46038</v>
      </c>
      <c r="AH70" s="43">
        <v>46050</v>
      </c>
      <c r="AI70" s="43">
        <v>46053</v>
      </c>
      <c r="AJ70" s="43"/>
      <c r="AK70" s="44">
        <v>46047</v>
      </c>
      <c r="AL70" s="135">
        <v>125</v>
      </c>
      <c r="AM70" s="59"/>
      <c r="AN70" s="59"/>
      <c r="AO70" s="97"/>
      <c r="AP70" s="97"/>
      <c r="AQ70" s="33"/>
      <c r="AR70" s="30"/>
      <c r="AS70" s="33"/>
    </row>
    <row r="71" spans="1:45" ht="18.649999999999999" customHeight="1">
      <c r="A71" s="48"/>
      <c r="B71" s="30"/>
      <c r="C71" s="30"/>
      <c r="D71" s="20" t="s">
        <v>275</v>
      </c>
      <c r="E71" s="31" t="s">
        <v>319</v>
      </c>
      <c r="F71" s="49">
        <v>2000023499</v>
      </c>
      <c r="G71" s="107" t="s">
        <v>333</v>
      </c>
      <c r="H71" s="108">
        <v>30</v>
      </c>
      <c r="I71" s="108" t="s">
        <v>239</v>
      </c>
      <c r="J71" s="33"/>
      <c r="K71" s="30"/>
      <c r="L71" s="33"/>
      <c r="M71" s="34" t="s">
        <v>328</v>
      </c>
      <c r="N71" s="30" t="s">
        <v>329</v>
      </c>
      <c r="O71" s="30" t="s">
        <v>189</v>
      </c>
      <c r="P71" s="30"/>
      <c r="Q71" s="30" t="s">
        <v>330</v>
      </c>
      <c r="R71" s="30" t="s">
        <v>324</v>
      </c>
      <c r="S71" s="30" t="s">
        <v>331</v>
      </c>
      <c r="T71" s="36">
        <v>46054</v>
      </c>
      <c r="U71" s="93">
        <v>46038</v>
      </c>
      <c r="V71" s="88">
        <v>46045</v>
      </c>
      <c r="W71" s="52"/>
      <c r="X71" s="30" t="s">
        <v>123</v>
      </c>
      <c r="Y71" s="30">
        <v>0.5</v>
      </c>
      <c r="Z71" s="30"/>
      <c r="AA71" s="36">
        <v>46038</v>
      </c>
      <c r="AB71" s="94">
        <v>46047</v>
      </c>
      <c r="AC71" s="30"/>
      <c r="AD71" s="56" t="s">
        <v>72</v>
      </c>
      <c r="AE71" s="33"/>
      <c r="AF71" s="25">
        <v>46049</v>
      </c>
      <c r="AG71" s="43">
        <v>46038</v>
      </c>
      <c r="AH71" s="43">
        <v>46050</v>
      </c>
      <c r="AI71" s="43">
        <v>46053</v>
      </c>
      <c r="AJ71" s="43"/>
      <c r="AK71" s="44">
        <v>46047</v>
      </c>
      <c r="AL71" s="135">
        <v>60</v>
      </c>
      <c r="AM71" s="59"/>
      <c r="AN71" s="59"/>
      <c r="AO71" s="97"/>
      <c r="AP71" s="97"/>
      <c r="AQ71" s="33"/>
      <c r="AR71" s="30"/>
      <c r="AS71" s="33"/>
    </row>
    <row r="72" spans="1:45" ht="18.649999999999999" customHeight="1">
      <c r="B72" s="5"/>
      <c r="D72" s="20" t="s">
        <v>183</v>
      </c>
      <c r="E72" s="31" t="s">
        <v>184</v>
      </c>
      <c r="F72" s="49">
        <v>1000021451</v>
      </c>
      <c r="G72" s="49" t="s">
        <v>334</v>
      </c>
      <c r="H72" s="5">
        <v>255</v>
      </c>
      <c r="I72" s="48" t="s">
        <v>52</v>
      </c>
      <c r="J72" s="21" t="s">
        <v>335</v>
      </c>
      <c r="K72" s="21"/>
      <c r="M72" s="136" t="s">
        <v>336</v>
      </c>
      <c r="N72" s="21" t="s">
        <v>337</v>
      </c>
      <c r="O72" s="30" t="s">
        <v>189</v>
      </c>
      <c r="Q72" s="21" t="s">
        <v>338</v>
      </c>
      <c r="R72" s="48" t="s">
        <v>178</v>
      </c>
      <c r="S72" s="5" t="s">
        <v>339</v>
      </c>
      <c r="T72" s="24">
        <v>46042</v>
      </c>
      <c r="U72" s="137">
        <v>46041</v>
      </c>
      <c r="V72" s="137">
        <v>46043</v>
      </c>
      <c r="X72" s="5" t="s">
        <v>123</v>
      </c>
      <c r="Y72" s="5">
        <v>0.5</v>
      </c>
      <c r="AA72" s="25">
        <v>46041</v>
      </c>
      <c r="AB72" s="25">
        <v>46043</v>
      </c>
      <c r="AD72" s="56" t="s">
        <v>72</v>
      </c>
      <c r="AE72" s="21"/>
      <c r="AF72" s="25">
        <v>46049</v>
      </c>
      <c r="AG72" s="27">
        <v>46042</v>
      </c>
      <c r="AH72" s="27">
        <v>46051</v>
      </c>
      <c r="AI72" s="27">
        <v>46052</v>
      </c>
      <c r="AJ72" s="27"/>
      <c r="AK72" s="138"/>
      <c r="AL72" s="58"/>
      <c r="AM72" s="58"/>
      <c r="AN72" s="58"/>
      <c r="AR72" s="21"/>
    </row>
    <row r="73" spans="1:45" ht="18.649999999999999" customHeight="1">
      <c r="B73" s="5"/>
      <c r="D73" s="20" t="s">
        <v>183</v>
      </c>
      <c r="E73" s="31" t="s">
        <v>184</v>
      </c>
      <c r="F73" s="49">
        <v>1000012500</v>
      </c>
      <c r="G73" s="49" t="s">
        <v>340</v>
      </c>
      <c r="H73" s="5">
        <v>30</v>
      </c>
      <c r="I73" s="48" t="s">
        <v>52</v>
      </c>
      <c r="K73" s="21"/>
      <c r="M73" s="136" t="s">
        <v>336</v>
      </c>
      <c r="N73" s="21" t="s">
        <v>337</v>
      </c>
      <c r="O73" s="30" t="s">
        <v>189</v>
      </c>
      <c r="Q73" s="21" t="s">
        <v>338</v>
      </c>
      <c r="R73" s="48" t="s">
        <v>178</v>
      </c>
      <c r="S73" s="5" t="s">
        <v>339</v>
      </c>
      <c r="T73" s="24">
        <v>46042</v>
      </c>
      <c r="U73" s="137">
        <v>46041</v>
      </c>
      <c r="V73" s="137">
        <v>46043</v>
      </c>
      <c r="X73" s="5" t="s">
        <v>123</v>
      </c>
      <c r="Y73" s="5">
        <v>0.5</v>
      </c>
      <c r="AA73" s="25">
        <v>46041</v>
      </c>
      <c r="AB73" s="25">
        <v>46043</v>
      </c>
      <c r="AD73" s="56" t="s">
        <v>72</v>
      </c>
      <c r="AE73" s="21"/>
      <c r="AF73" s="25">
        <v>46049</v>
      </c>
      <c r="AG73" s="27">
        <v>46042</v>
      </c>
      <c r="AH73" s="27">
        <v>46051</v>
      </c>
      <c r="AI73" s="27">
        <v>46052</v>
      </c>
      <c r="AJ73" s="27"/>
      <c r="AK73" s="138"/>
      <c r="AL73" s="58"/>
      <c r="AM73" s="58"/>
      <c r="AN73" s="58"/>
      <c r="AR73" s="21"/>
    </row>
    <row r="74" spans="1:45" ht="18.649999999999999" customHeight="1">
      <c r="B74" s="5"/>
      <c r="D74" s="20" t="s">
        <v>183</v>
      </c>
      <c r="E74" s="31" t="s">
        <v>184</v>
      </c>
      <c r="F74" s="49">
        <v>1000020058</v>
      </c>
      <c r="G74" s="49" t="s">
        <v>341</v>
      </c>
      <c r="H74" s="5">
        <v>80</v>
      </c>
      <c r="I74" s="48" t="s">
        <v>52</v>
      </c>
      <c r="K74" s="21"/>
      <c r="M74" s="136" t="s">
        <v>336</v>
      </c>
      <c r="N74" s="21" t="s">
        <v>337</v>
      </c>
      <c r="O74" s="30" t="s">
        <v>189</v>
      </c>
      <c r="Q74" s="21" t="s">
        <v>338</v>
      </c>
      <c r="R74" s="48" t="s">
        <v>178</v>
      </c>
      <c r="S74" s="5" t="s">
        <v>339</v>
      </c>
      <c r="T74" s="24">
        <v>46042</v>
      </c>
      <c r="U74" s="137">
        <v>46041</v>
      </c>
      <c r="V74" s="137">
        <v>46043</v>
      </c>
      <c r="X74" s="5" t="s">
        <v>123</v>
      </c>
      <c r="Y74" s="5">
        <v>0.5</v>
      </c>
      <c r="AA74" s="25">
        <v>46041</v>
      </c>
      <c r="AB74" s="25">
        <v>46043</v>
      </c>
      <c r="AD74" s="56" t="s">
        <v>72</v>
      </c>
      <c r="AE74" s="21"/>
      <c r="AF74" s="25">
        <v>46049</v>
      </c>
      <c r="AG74" s="27">
        <v>46042</v>
      </c>
      <c r="AH74" s="27">
        <v>46051</v>
      </c>
      <c r="AI74" s="27">
        <v>46052</v>
      </c>
      <c r="AJ74" s="27"/>
      <c r="AK74" s="138"/>
      <c r="AL74" s="58"/>
      <c r="AM74" s="58"/>
      <c r="AN74" s="58"/>
      <c r="AR74" s="21"/>
    </row>
    <row r="75" spans="1:45" ht="18.649999999999999" customHeight="1">
      <c r="B75" s="5"/>
      <c r="D75" s="20" t="s">
        <v>183</v>
      </c>
      <c r="E75" s="31" t="s">
        <v>184</v>
      </c>
      <c r="F75" s="49">
        <v>1000019487</v>
      </c>
      <c r="G75" s="49" t="s">
        <v>342</v>
      </c>
      <c r="H75" s="5">
        <v>100</v>
      </c>
      <c r="I75" s="48" t="s">
        <v>52</v>
      </c>
      <c r="K75" s="21"/>
      <c r="M75" s="136" t="s">
        <v>336</v>
      </c>
      <c r="N75" s="21" t="s">
        <v>337</v>
      </c>
      <c r="O75" s="30" t="s">
        <v>189</v>
      </c>
      <c r="Q75" s="21" t="s">
        <v>338</v>
      </c>
      <c r="R75" s="48" t="s">
        <v>178</v>
      </c>
      <c r="S75" s="5" t="s">
        <v>339</v>
      </c>
      <c r="T75" s="24">
        <v>46042</v>
      </c>
      <c r="U75" s="137">
        <v>46041</v>
      </c>
      <c r="V75" s="137">
        <v>46043</v>
      </c>
      <c r="X75" s="5" t="s">
        <v>123</v>
      </c>
      <c r="Y75" s="5">
        <v>0.5</v>
      </c>
      <c r="AA75" s="25">
        <v>46041</v>
      </c>
      <c r="AB75" s="25">
        <v>46043</v>
      </c>
      <c r="AD75" s="56" t="s">
        <v>72</v>
      </c>
      <c r="AE75" s="21"/>
      <c r="AF75" s="25">
        <v>46049</v>
      </c>
      <c r="AG75" s="27">
        <v>46042</v>
      </c>
      <c r="AH75" s="27">
        <v>46051</v>
      </c>
      <c r="AI75" s="27">
        <v>46052</v>
      </c>
      <c r="AJ75" s="27"/>
      <c r="AK75" s="138"/>
      <c r="AL75" s="58"/>
      <c r="AM75" s="58"/>
      <c r="AN75" s="58"/>
      <c r="AR75" s="21"/>
    </row>
    <row r="76" spans="1:45" ht="18.649999999999999" customHeight="1">
      <c r="B76" s="5"/>
      <c r="D76" s="20" t="s">
        <v>183</v>
      </c>
      <c r="E76" s="31" t="s">
        <v>184</v>
      </c>
      <c r="F76" s="49">
        <v>1000020806</v>
      </c>
      <c r="G76" s="49" t="s">
        <v>343</v>
      </c>
      <c r="H76" s="5">
        <v>200</v>
      </c>
      <c r="I76" s="48" t="s">
        <v>52</v>
      </c>
      <c r="K76" s="21"/>
      <c r="M76" s="136" t="s">
        <v>336</v>
      </c>
      <c r="N76" s="21" t="s">
        <v>337</v>
      </c>
      <c r="O76" s="30" t="s">
        <v>189</v>
      </c>
      <c r="Q76" s="21" t="s">
        <v>338</v>
      </c>
      <c r="R76" s="48" t="s">
        <v>178</v>
      </c>
      <c r="S76" s="5" t="s">
        <v>339</v>
      </c>
      <c r="T76" s="24">
        <v>46042</v>
      </c>
      <c r="U76" s="137">
        <v>46041</v>
      </c>
      <c r="V76" s="137">
        <v>46043</v>
      </c>
      <c r="X76" s="5" t="s">
        <v>123</v>
      </c>
      <c r="Y76" s="5">
        <v>0.5</v>
      </c>
      <c r="AA76" s="25">
        <v>46041</v>
      </c>
      <c r="AB76" s="25">
        <v>46043</v>
      </c>
      <c r="AD76" s="56" t="s">
        <v>72</v>
      </c>
      <c r="AE76" s="21"/>
      <c r="AF76" s="25">
        <v>46049</v>
      </c>
      <c r="AG76" s="27">
        <v>46042</v>
      </c>
      <c r="AH76" s="27">
        <v>46051</v>
      </c>
      <c r="AI76" s="27">
        <v>46052</v>
      </c>
      <c r="AJ76" s="27"/>
      <c r="AK76" s="138"/>
      <c r="AL76" s="58"/>
      <c r="AM76" s="58"/>
      <c r="AN76" s="58"/>
      <c r="AR76" s="21"/>
    </row>
    <row r="77" spans="1:45" ht="18.649999999999999" customHeight="1">
      <c r="B77" s="5"/>
      <c r="D77" s="20" t="s">
        <v>183</v>
      </c>
      <c r="E77" s="31" t="s">
        <v>184</v>
      </c>
      <c r="F77" s="49">
        <v>1000016616</v>
      </c>
      <c r="G77" s="49" t="s">
        <v>344</v>
      </c>
      <c r="H77" s="5">
        <v>40</v>
      </c>
      <c r="I77" s="48" t="s">
        <v>52</v>
      </c>
      <c r="K77" s="21"/>
      <c r="M77" s="136" t="s">
        <v>336</v>
      </c>
      <c r="N77" s="21" t="s">
        <v>337</v>
      </c>
      <c r="O77" s="30" t="s">
        <v>189</v>
      </c>
      <c r="Q77" s="21" t="s">
        <v>338</v>
      </c>
      <c r="R77" s="48" t="s">
        <v>178</v>
      </c>
      <c r="S77" s="5" t="s">
        <v>339</v>
      </c>
      <c r="T77" s="24">
        <v>46042</v>
      </c>
      <c r="U77" s="137">
        <v>46041</v>
      </c>
      <c r="V77" s="137">
        <v>46043</v>
      </c>
      <c r="X77" s="5" t="s">
        <v>123</v>
      </c>
      <c r="Y77" s="5">
        <v>0.5</v>
      </c>
      <c r="AA77" s="25">
        <v>46041</v>
      </c>
      <c r="AB77" s="25">
        <v>46043</v>
      </c>
      <c r="AD77" s="56" t="s">
        <v>72</v>
      </c>
      <c r="AE77" s="21"/>
      <c r="AF77" s="25">
        <v>46049</v>
      </c>
      <c r="AG77" s="27">
        <v>46042</v>
      </c>
      <c r="AH77" s="27">
        <v>46051</v>
      </c>
      <c r="AI77" s="27">
        <v>46052</v>
      </c>
      <c r="AJ77" s="27"/>
      <c r="AK77" s="138"/>
      <c r="AL77" s="58"/>
      <c r="AM77" s="58"/>
      <c r="AN77" s="58"/>
      <c r="AR77" s="21"/>
    </row>
    <row r="78" spans="1:45" ht="18.649999999999999" customHeight="1">
      <c r="B78" s="5"/>
      <c r="D78" s="20" t="s">
        <v>183</v>
      </c>
      <c r="E78" s="31" t="s">
        <v>184</v>
      </c>
      <c r="F78" s="49">
        <v>1000016122</v>
      </c>
      <c r="G78" s="49" t="s">
        <v>345</v>
      </c>
      <c r="H78" s="5">
        <v>95</v>
      </c>
      <c r="I78" s="48" t="s">
        <v>52</v>
      </c>
      <c r="K78" s="21"/>
      <c r="M78" s="136" t="s">
        <v>336</v>
      </c>
      <c r="N78" s="21" t="s">
        <v>337</v>
      </c>
      <c r="O78" s="30" t="s">
        <v>189</v>
      </c>
      <c r="Q78" s="21" t="s">
        <v>338</v>
      </c>
      <c r="R78" s="48" t="s">
        <v>178</v>
      </c>
      <c r="S78" s="5" t="s">
        <v>339</v>
      </c>
      <c r="T78" s="24">
        <v>46042</v>
      </c>
      <c r="U78" s="137">
        <v>46041</v>
      </c>
      <c r="V78" s="137">
        <v>46043</v>
      </c>
      <c r="X78" s="5" t="s">
        <v>123</v>
      </c>
      <c r="Y78" s="5">
        <v>0.5</v>
      </c>
      <c r="AA78" s="25">
        <v>46041</v>
      </c>
      <c r="AB78" s="25">
        <v>46043</v>
      </c>
      <c r="AD78" s="56" t="s">
        <v>72</v>
      </c>
      <c r="AE78" s="21"/>
      <c r="AF78" s="25">
        <v>46049</v>
      </c>
      <c r="AG78" s="27">
        <v>46042</v>
      </c>
      <c r="AH78" s="27">
        <v>46051</v>
      </c>
      <c r="AI78" s="27">
        <v>46052</v>
      </c>
      <c r="AJ78" s="27"/>
      <c r="AK78" s="138"/>
      <c r="AL78" s="58"/>
      <c r="AM78" s="58"/>
      <c r="AN78" s="58"/>
      <c r="AR78" s="21"/>
    </row>
    <row r="79" spans="1:45" ht="18.649999999999999" customHeight="1">
      <c r="A79" s="48"/>
      <c r="B79" s="30"/>
      <c r="C79" s="30"/>
      <c r="D79" s="48" t="s">
        <v>194</v>
      </c>
      <c r="E79" s="49" t="s">
        <v>195</v>
      </c>
      <c r="F79" s="49" t="s">
        <v>346</v>
      </c>
      <c r="G79" s="107" t="s">
        <v>196</v>
      </c>
      <c r="H79" s="108">
        <v>1500</v>
      </c>
      <c r="I79" s="108" t="s">
        <v>85</v>
      </c>
      <c r="J79" s="33" t="s">
        <v>347</v>
      </c>
      <c r="K79" s="30" t="s">
        <v>53</v>
      </c>
      <c r="L79" s="33"/>
      <c r="M79" s="34" t="s">
        <v>348</v>
      </c>
      <c r="N79" s="30" t="s">
        <v>349</v>
      </c>
      <c r="O79" s="48" t="s">
        <v>68</v>
      </c>
      <c r="P79" s="30"/>
      <c r="Q79" s="35" t="s">
        <v>350</v>
      </c>
      <c r="R79" s="30" t="s">
        <v>79</v>
      </c>
      <c r="S79" s="30" t="s">
        <v>351</v>
      </c>
      <c r="T79" s="36">
        <v>46048</v>
      </c>
      <c r="U79" s="93">
        <v>46035</v>
      </c>
      <c r="V79" s="88">
        <v>46046</v>
      </c>
      <c r="W79" s="52"/>
      <c r="X79" s="30" t="s">
        <v>123</v>
      </c>
      <c r="Y79" s="30">
        <v>1</v>
      </c>
      <c r="Z79" s="30"/>
      <c r="AA79" s="36">
        <v>46036</v>
      </c>
      <c r="AB79" s="25">
        <v>46047</v>
      </c>
      <c r="AC79" s="30"/>
      <c r="AD79" s="56" t="s">
        <v>72</v>
      </c>
      <c r="AE79" s="33"/>
      <c r="AF79" s="25">
        <v>46049</v>
      </c>
      <c r="AG79" s="43">
        <v>46041</v>
      </c>
      <c r="AH79" s="43">
        <v>46051</v>
      </c>
      <c r="AI79" s="43">
        <v>46052</v>
      </c>
      <c r="AJ79" s="43"/>
      <c r="AK79" s="44">
        <v>46047</v>
      </c>
      <c r="AL79" s="45">
        <v>46560</v>
      </c>
      <c r="AM79" s="59"/>
      <c r="AN79" s="59"/>
      <c r="AO79" s="97"/>
      <c r="AP79" s="97"/>
      <c r="AQ79" s="33"/>
      <c r="AR79" s="30"/>
      <c r="AS79" s="33"/>
    </row>
    <row r="80" spans="1:45" ht="18.649999999999999" customHeight="1">
      <c r="A80" s="139"/>
      <c r="B80" s="140"/>
      <c r="C80" s="140"/>
      <c r="D80" s="141" t="s">
        <v>352</v>
      </c>
      <c r="E80" s="142" t="s">
        <v>74</v>
      </c>
      <c r="F80" s="142">
        <v>1000031958</v>
      </c>
      <c r="G80" s="143" t="s">
        <v>353</v>
      </c>
      <c r="H80" s="140">
        <v>3640</v>
      </c>
      <c r="I80" s="139" t="s">
        <v>52</v>
      </c>
      <c r="J80" s="143" t="s">
        <v>354</v>
      </c>
      <c r="K80" s="140" t="s">
        <v>53</v>
      </c>
      <c r="L80" s="143"/>
      <c r="M80" s="144" t="s">
        <v>355</v>
      </c>
      <c r="N80" s="140" t="s">
        <v>356</v>
      </c>
      <c r="O80" s="140" t="s">
        <v>68</v>
      </c>
      <c r="P80" s="140"/>
      <c r="Q80" s="145" t="s">
        <v>357</v>
      </c>
      <c r="R80" s="139" t="s">
        <v>266</v>
      </c>
      <c r="S80" s="140" t="s">
        <v>358</v>
      </c>
      <c r="T80" s="146">
        <v>46023</v>
      </c>
      <c r="U80" s="147">
        <v>46025</v>
      </c>
      <c r="V80" s="148">
        <v>46037</v>
      </c>
      <c r="W80" s="149"/>
      <c r="X80" s="140" t="s">
        <v>58</v>
      </c>
      <c r="Y80" s="140">
        <v>2</v>
      </c>
      <c r="Z80" s="140"/>
      <c r="AA80" s="150">
        <v>46027</v>
      </c>
      <c r="AB80" s="128">
        <v>46045</v>
      </c>
      <c r="AC80" s="151"/>
      <c r="AD80" s="152" t="s">
        <v>72</v>
      </c>
      <c r="AE80" s="143"/>
      <c r="AF80" s="153">
        <v>46043</v>
      </c>
      <c r="AG80" s="153">
        <v>46041</v>
      </c>
      <c r="AH80" s="153">
        <v>46051</v>
      </c>
      <c r="AI80" s="153">
        <v>46053</v>
      </c>
      <c r="AJ80" s="153"/>
      <c r="AK80" s="154">
        <v>45672</v>
      </c>
      <c r="AL80" s="155">
        <v>21612.5</v>
      </c>
      <c r="AM80" s="156" t="s">
        <v>53</v>
      </c>
      <c r="AN80" s="157"/>
      <c r="AO80" s="158">
        <v>0</v>
      </c>
      <c r="AP80" s="158" t="s">
        <v>61</v>
      </c>
      <c r="AQ80" s="143"/>
      <c r="AR80" s="140">
        <v>1</v>
      </c>
      <c r="AS80" s="159" t="s">
        <v>359</v>
      </c>
    </row>
    <row r="81" spans="1:45" ht="18.649999999999999" customHeight="1">
      <c r="A81" s="48"/>
      <c r="B81" s="30"/>
      <c r="C81" s="30"/>
      <c r="D81" s="48" t="s">
        <v>48</v>
      </c>
      <c r="E81" s="31" t="s">
        <v>360</v>
      </c>
      <c r="F81" s="49" t="s">
        <v>361</v>
      </c>
      <c r="G81" s="33" t="s">
        <v>362</v>
      </c>
      <c r="H81" s="48">
        <v>2030</v>
      </c>
      <c r="I81" s="61" t="s">
        <v>110</v>
      </c>
      <c r="J81" s="33"/>
      <c r="K81" s="30" t="s">
        <v>53</v>
      </c>
      <c r="L81" s="33"/>
      <c r="M81" s="34" t="s">
        <v>363</v>
      </c>
      <c r="N81" s="30" t="s">
        <v>364</v>
      </c>
      <c r="O81" s="30" t="s">
        <v>68</v>
      </c>
      <c r="P81" s="30"/>
      <c r="Q81" s="160">
        <v>7265487010</v>
      </c>
      <c r="R81" s="30" t="s">
        <v>365</v>
      </c>
      <c r="S81" s="30" t="s">
        <v>366</v>
      </c>
      <c r="T81" s="36">
        <v>46054</v>
      </c>
      <c r="U81" s="93">
        <v>46039</v>
      </c>
      <c r="V81" s="88">
        <v>46049</v>
      </c>
      <c r="W81" s="52"/>
      <c r="X81" s="20" t="s">
        <v>58</v>
      </c>
      <c r="Y81" s="20">
        <v>1</v>
      </c>
      <c r="Z81" s="20"/>
      <c r="AA81" s="36">
        <v>46041</v>
      </c>
      <c r="AB81" s="36">
        <v>46050</v>
      </c>
      <c r="AC81" s="30"/>
      <c r="AD81" s="56" t="s">
        <v>59</v>
      </c>
      <c r="AE81" s="33"/>
      <c r="AF81" s="43">
        <v>46049</v>
      </c>
      <c r="AG81" s="43">
        <v>46049</v>
      </c>
      <c r="AH81" s="43">
        <v>46052</v>
      </c>
      <c r="AI81" s="43">
        <v>46053</v>
      </c>
      <c r="AJ81" s="43"/>
      <c r="AK81" s="44">
        <v>46047</v>
      </c>
      <c r="AL81" s="45">
        <v>29638</v>
      </c>
      <c r="AM81" s="59"/>
      <c r="AN81" s="59"/>
      <c r="AO81" s="47">
        <v>0</v>
      </c>
      <c r="AP81" s="47" t="s">
        <v>61</v>
      </c>
      <c r="AQ81" s="33"/>
      <c r="AR81" s="30"/>
      <c r="AS81" s="33"/>
    </row>
    <row r="82" spans="1:45" ht="18.649999999999999" customHeight="1">
      <c r="A82" s="48"/>
      <c r="B82" s="30"/>
      <c r="C82" s="30"/>
      <c r="D82" s="20" t="s">
        <v>48</v>
      </c>
      <c r="E82" s="31" t="s">
        <v>367</v>
      </c>
      <c r="F82" s="31">
        <v>1000034016</v>
      </c>
      <c r="G82" s="107" t="s">
        <v>368</v>
      </c>
      <c r="H82" s="108">
        <v>38400</v>
      </c>
      <c r="I82" s="108" t="s">
        <v>369</v>
      </c>
      <c r="J82" s="33" t="s">
        <v>370</v>
      </c>
      <c r="K82" s="30" t="s">
        <v>53</v>
      </c>
      <c r="L82" s="33"/>
      <c r="M82" s="34" t="s">
        <v>371</v>
      </c>
      <c r="N82" s="30" t="s">
        <v>372</v>
      </c>
      <c r="O82" s="30" t="s">
        <v>68</v>
      </c>
      <c r="P82" s="30"/>
      <c r="Q82" s="30" t="s">
        <v>373</v>
      </c>
      <c r="R82" s="97" t="s">
        <v>374</v>
      </c>
      <c r="S82" s="30" t="s">
        <v>375</v>
      </c>
      <c r="T82" s="36">
        <v>46082</v>
      </c>
      <c r="U82" s="93">
        <v>46039</v>
      </c>
      <c r="V82" s="88">
        <v>46052</v>
      </c>
      <c r="W82" s="52"/>
      <c r="X82" s="30" t="s">
        <v>58</v>
      </c>
      <c r="Y82" s="30">
        <v>1</v>
      </c>
      <c r="Z82" s="30"/>
      <c r="AA82" s="36">
        <v>46039</v>
      </c>
      <c r="AB82" s="36">
        <v>46052</v>
      </c>
      <c r="AC82" s="30"/>
      <c r="AD82" s="125" t="s">
        <v>59</v>
      </c>
      <c r="AE82" s="33"/>
      <c r="AF82" s="43">
        <v>46051</v>
      </c>
      <c r="AG82" s="43">
        <v>46048</v>
      </c>
      <c r="AH82" s="43">
        <v>46055</v>
      </c>
      <c r="AI82" s="43">
        <v>46056</v>
      </c>
      <c r="AJ82" s="43"/>
      <c r="AK82" s="44">
        <v>46068</v>
      </c>
      <c r="AL82" s="45">
        <v>30076.720000000001</v>
      </c>
      <c r="AM82" s="59"/>
      <c r="AN82" s="59"/>
      <c r="AO82" s="59"/>
      <c r="AP82" s="59"/>
      <c r="AQ82" s="33"/>
      <c r="AR82" s="30"/>
      <c r="AS82" s="33"/>
    </row>
    <row r="83" spans="1:45" ht="18.649999999999999" customHeight="1">
      <c r="A83" s="130" t="s">
        <v>258</v>
      </c>
      <c r="B83" s="73" t="s">
        <v>376</v>
      </c>
      <c r="C83" s="161"/>
      <c r="D83" s="20" t="s">
        <v>352</v>
      </c>
      <c r="E83" s="31" t="s">
        <v>377</v>
      </c>
      <c r="F83" s="31">
        <v>1000034131</v>
      </c>
      <c r="G83" s="32" t="s">
        <v>378</v>
      </c>
      <c r="H83" s="20">
        <v>4024</v>
      </c>
      <c r="I83" s="48" t="s">
        <v>52</v>
      </c>
      <c r="J83" s="161" t="s">
        <v>379</v>
      </c>
      <c r="K83" s="30" t="s">
        <v>53</v>
      </c>
      <c r="L83" s="33"/>
      <c r="M83" s="119" t="s">
        <v>380</v>
      </c>
      <c r="N83" s="20" t="s">
        <v>381</v>
      </c>
      <c r="O83" s="20" t="s">
        <v>55</v>
      </c>
      <c r="P83" s="73"/>
      <c r="Q83" s="20">
        <v>7265659610</v>
      </c>
      <c r="R83" s="20" t="s">
        <v>56</v>
      </c>
      <c r="S83" s="20" t="s">
        <v>382</v>
      </c>
      <c r="T83" s="162">
        <v>46054</v>
      </c>
      <c r="U83" s="80">
        <v>46036</v>
      </c>
      <c r="V83" s="80">
        <v>46050</v>
      </c>
      <c r="W83" s="77" t="e">
        <v>#VALUE!</v>
      </c>
      <c r="X83" s="78" t="s">
        <v>58</v>
      </c>
      <c r="Y83" s="78">
        <v>2</v>
      </c>
      <c r="Z83" s="78"/>
      <c r="AA83" s="80">
        <v>46036</v>
      </c>
      <c r="AB83" s="80">
        <v>46050</v>
      </c>
      <c r="AC83" s="163"/>
      <c r="AD83" s="42" t="s">
        <v>72</v>
      </c>
      <c r="AE83" s="20"/>
      <c r="AF83" s="25">
        <v>46049</v>
      </c>
      <c r="AG83" s="25">
        <v>46041</v>
      </c>
      <c r="AH83" s="25">
        <v>46057</v>
      </c>
      <c r="AI83" s="25">
        <v>46058</v>
      </c>
      <c r="AJ83" s="25"/>
      <c r="AK83" s="164">
        <v>46047</v>
      </c>
      <c r="AL83" s="121">
        <v>56352.1</v>
      </c>
      <c r="AM83" s="122"/>
      <c r="AN83" s="123"/>
      <c r="AO83" s="47">
        <v>0</v>
      </c>
      <c r="AP83" s="47" t="s">
        <v>61</v>
      </c>
      <c r="AQ83" s="22"/>
      <c r="AR83" s="22"/>
      <c r="AS83" s="22"/>
    </row>
    <row r="84" spans="1:45" ht="18.649999999999999" customHeight="1">
      <c r="A84" s="48"/>
      <c r="B84" s="30"/>
      <c r="C84" s="30"/>
      <c r="D84" s="48" t="s">
        <v>275</v>
      </c>
      <c r="E84" s="49" t="s">
        <v>210</v>
      </c>
      <c r="F84" s="49">
        <v>2000026010</v>
      </c>
      <c r="G84" s="33" t="s">
        <v>383</v>
      </c>
      <c r="H84" s="30">
        <v>504</v>
      </c>
      <c r="I84" s="61" t="s">
        <v>239</v>
      </c>
      <c r="J84" s="33" t="s">
        <v>53</v>
      </c>
      <c r="K84" s="30" t="s">
        <v>53</v>
      </c>
      <c r="L84" s="33"/>
      <c r="M84" s="117" t="s">
        <v>384</v>
      </c>
      <c r="N84" s="30">
        <v>28029730</v>
      </c>
      <c r="O84" s="30" t="s">
        <v>189</v>
      </c>
      <c r="P84" s="30"/>
      <c r="Q84" s="30" t="s">
        <v>385</v>
      </c>
      <c r="R84" s="30" t="s">
        <v>215</v>
      </c>
      <c r="S84" s="160" t="s">
        <v>386</v>
      </c>
      <c r="T84" s="36">
        <v>46054</v>
      </c>
      <c r="U84" s="93">
        <v>46048</v>
      </c>
      <c r="V84" s="88">
        <v>46053</v>
      </c>
      <c r="W84" s="52"/>
      <c r="X84" s="30" t="s">
        <v>217</v>
      </c>
      <c r="Y84" s="30">
        <v>1</v>
      </c>
      <c r="Z84" s="30"/>
      <c r="AA84" s="36">
        <v>46051</v>
      </c>
      <c r="AB84" s="36">
        <v>46053</v>
      </c>
      <c r="AC84" s="30"/>
      <c r="AD84" s="42" t="s">
        <v>72</v>
      </c>
      <c r="AE84" s="33"/>
      <c r="AF84" s="43">
        <v>46049</v>
      </c>
      <c r="AG84" s="43">
        <v>46049</v>
      </c>
      <c r="AH84" s="43">
        <v>46057</v>
      </c>
      <c r="AI84" s="43">
        <v>46058</v>
      </c>
      <c r="AJ84" s="43"/>
      <c r="AK84" s="165">
        <v>46016</v>
      </c>
      <c r="AL84" s="166">
        <v>2950.58</v>
      </c>
      <c r="AM84" s="167"/>
      <c r="AN84" s="59"/>
      <c r="AO84" s="59"/>
      <c r="AP84" s="59"/>
      <c r="AQ84" s="33"/>
      <c r="AR84" s="30"/>
      <c r="AS84" s="33"/>
    </row>
    <row r="85" spans="1:45" s="168" customFormat="1" ht="18.649999999999999" customHeight="1">
      <c r="A85" s="48"/>
      <c r="B85" s="30"/>
      <c r="C85" s="30"/>
      <c r="D85" s="20" t="s">
        <v>160</v>
      </c>
      <c r="E85" s="31" t="s">
        <v>161</v>
      </c>
      <c r="F85" s="49">
        <v>1000033517</v>
      </c>
      <c r="G85" s="61" t="s">
        <v>162</v>
      </c>
      <c r="H85" s="20">
        <v>1008</v>
      </c>
      <c r="I85" s="48" t="s">
        <v>163</v>
      </c>
      <c r="J85" s="33"/>
      <c r="K85" s="30"/>
      <c r="L85" s="33"/>
      <c r="M85" s="34" t="s">
        <v>387</v>
      </c>
      <c r="N85" s="30" t="s">
        <v>388</v>
      </c>
      <c r="O85" s="20" t="s">
        <v>150</v>
      </c>
      <c r="P85" s="30"/>
      <c r="Q85" s="30">
        <v>2318593820</v>
      </c>
      <c r="R85" s="30" t="s">
        <v>168</v>
      </c>
      <c r="S85" s="92" t="s">
        <v>389</v>
      </c>
      <c r="T85" s="36">
        <v>46055</v>
      </c>
      <c r="U85" s="37">
        <v>46045</v>
      </c>
      <c r="V85" s="51">
        <v>46054</v>
      </c>
      <c r="W85" s="52"/>
      <c r="X85" s="20" t="s">
        <v>170</v>
      </c>
      <c r="Y85" s="20">
        <v>1</v>
      </c>
      <c r="Z85" s="20"/>
      <c r="AA85" s="24">
        <v>46045</v>
      </c>
      <c r="AB85" s="43">
        <v>46052</v>
      </c>
      <c r="AC85" s="30"/>
      <c r="AD85" s="42" t="s">
        <v>59</v>
      </c>
      <c r="AE85" s="33"/>
      <c r="AF85" s="43">
        <v>46051</v>
      </c>
      <c r="AG85" s="43">
        <v>46050</v>
      </c>
      <c r="AH85" s="43">
        <v>46057</v>
      </c>
      <c r="AI85" s="43">
        <v>46058</v>
      </c>
      <c r="AJ85" s="43"/>
      <c r="AK85" s="44">
        <v>46037</v>
      </c>
      <c r="AL85" s="91">
        <v>24696</v>
      </c>
      <c r="AM85" s="59"/>
      <c r="AN85" s="59"/>
      <c r="AO85" s="47">
        <v>0</v>
      </c>
      <c r="AP85" s="47" t="s">
        <v>61</v>
      </c>
      <c r="AQ85" s="33"/>
      <c r="AR85" s="33"/>
      <c r="AS85" s="33"/>
    </row>
    <row r="86" spans="1:45" ht="18.649999999999999" customHeight="1">
      <c r="A86" s="48"/>
      <c r="B86" s="30"/>
      <c r="C86" s="30"/>
      <c r="D86" s="20" t="s">
        <v>160</v>
      </c>
      <c r="E86" s="31" t="s">
        <v>161</v>
      </c>
      <c r="F86" s="49">
        <v>1000033517</v>
      </c>
      <c r="G86" s="61" t="s">
        <v>162</v>
      </c>
      <c r="H86" s="20">
        <v>1008</v>
      </c>
      <c r="I86" s="48" t="s">
        <v>163</v>
      </c>
      <c r="J86" s="33"/>
      <c r="K86" s="30"/>
      <c r="L86" s="33"/>
      <c r="M86" s="34" t="s">
        <v>390</v>
      </c>
      <c r="N86" s="30" t="s">
        <v>388</v>
      </c>
      <c r="O86" s="20" t="s">
        <v>150</v>
      </c>
      <c r="P86" s="30"/>
      <c r="Q86" s="30">
        <v>2318593820</v>
      </c>
      <c r="R86" s="30" t="s">
        <v>168</v>
      </c>
      <c r="S86" s="92" t="s">
        <v>389</v>
      </c>
      <c r="T86" s="36">
        <v>46055</v>
      </c>
      <c r="U86" s="37">
        <v>46045</v>
      </c>
      <c r="V86" s="51">
        <v>46054</v>
      </c>
      <c r="W86" s="52"/>
      <c r="X86" s="20" t="s">
        <v>170</v>
      </c>
      <c r="Y86" s="20">
        <v>1</v>
      </c>
      <c r="Z86" s="20"/>
      <c r="AA86" s="24">
        <v>46045</v>
      </c>
      <c r="AB86" s="43">
        <v>46052</v>
      </c>
      <c r="AC86" s="30"/>
      <c r="AD86" s="42" t="s">
        <v>59</v>
      </c>
      <c r="AE86" s="33"/>
      <c r="AF86" s="43">
        <v>46051</v>
      </c>
      <c r="AG86" s="43">
        <v>46050</v>
      </c>
      <c r="AH86" s="43">
        <v>46057</v>
      </c>
      <c r="AI86" s="43">
        <v>46058</v>
      </c>
      <c r="AJ86" s="43"/>
      <c r="AK86" s="44">
        <v>46037</v>
      </c>
      <c r="AL86" s="91">
        <v>24696</v>
      </c>
      <c r="AM86" s="59"/>
      <c r="AN86" s="59"/>
      <c r="AO86" s="47">
        <v>0</v>
      </c>
      <c r="AP86" s="47" t="s">
        <v>61</v>
      </c>
      <c r="AQ86" s="33"/>
      <c r="AR86" s="33"/>
      <c r="AS86" s="33"/>
    </row>
    <row r="87" spans="1:45" ht="18.649999999999999" customHeight="1">
      <c r="A87" s="48"/>
      <c r="B87" s="30"/>
      <c r="C87" s="30"/>
      <c r="D87" s="20" t="s">
        <v>160</v>
      </c>
      <c r="E87" s="31" t="s">
        <v>161</v>
      </c>
      <c r="F87" s="49">
        <v>1000033517</v>
      </c>
      <c r="G87" s="61" t="s">
        <v>162</v>
      </c>
      <c r="H87" s="20">
        <v>1008</v>
      </c>
      <c r="I87" s="48" t="s">
        <v>163</v>
      </c>
      <c r="J87" s="33"/>
      <c r="K87" s="30"/>
      <c r="L87" s="33"/>
      <c r="M87" s="34" t="s">
        <v>391</v>
      </c>
      <c r="N87" s="30" t="s">
        <v>388</v>
      </c>
      <c r="O87" s="20" t="s">
        <v>150</v>
      </c>
      <c r="P87" s="30"/>
      <c r="Q87" s="30">
        <v>2318593820</v>
      </c>
      <c r="R87" s="30" t="s">
        <v>168</v>
      </c>
      <c r="S87" s="92" t="s">
        <v>389</v>
      </c>
      <c r="T87" s="36">
        <v>46055</v>
      </c>
      <c r="U87" s="37">
        <v>46045</v>
      </c>
      <c r="V87" s="51">
        <v>46054</v>
      </c>
      <c r="W87" s="52"/>
      <c r="X87" s="20" t="s">
        <v>170</v>
      </c>
      <c r="Y87" s="20">
        <v>1</v>
      </c>
      <c r="Z87" s="20"/>
      <c r="AA87" s="24">
        <v>46045</v>
      </c>
      <c r="AB87" s="43">
        <v>46052</v>
      </c>
      <c r="AC87" s="30"/>
      <c r="AD87" s="42" t="s">
        <v>59</v>
      </c>
      <c r="AE87" s="33"/>
      <c r="AF87" s="43">
        <v>46051</v>
      </c>
      <c r="AG87" s="43">
        <v>46050</v>
      </c>
      <c r="AH87" s="43">
        <v>46057</v>
      </c>
      <c r="AI87" s="43">
        <v>46058</v>
      </c>
      <c r="AJ87" s="43"/>
      <c r="AK87" s="44">
        <v>46037</v>
      </c>
      <c r="AL87" s="91">
        <v>24696</v>
      </c>
      <c r="AM87" s="59"/>
      <c r="AN87" s="59"/>
      <c r="AO87" s="47">
        <v>0</v>
      </c>
      <c r="AP87" s="47" t="s">
        <v>61</v>
      </c>
      <c r="AQ87" s="33"/>
      <c r="AR87" s="33"/>
      <c r="AS87" s="33"/>
    </row>
    <row r="88" spans="1:45" ht="18.649999999999999" customHeight="1">
      <c r="A88" s="48"/>
      <c r="B88" s="30"/>
      <c r="C88" s="30"/>
      <c r="D88" s="48" t="s">
        <v>48</v>
      </c>
      <c r="E88" s="49" t="s">
        <v>82</v>
      </c>
      <c r="F88" s="49" t="s">
        <v>392</v>
      </c>
      <c r="G88" s="61" t="s">
        <v>109</v>
      </c>
      <c r="H88" s="48">
        <v>675</v>
      </c>
      <c r="I88" s="61" t="s">
        <v>110</v>
      </c>
      <c r="J88" s="33" t="s">
        <v>393</v>
      </c>
      <c r="K88" s="30" t="s">
        <v>53</v>
      </c>
      <c r="L88" s="33"/>
      <c r="M88" s="34" t="s">
        <v>394</v>
      </c>
      <c r="N88" s="30">
        <v>2245195012</v>
      </c>
      <c r="O88" s="20" t="s">
        <v>68</v>
      </c>
      <c r="P88" s="30"/>
      <c r="Q88" s="30">
        <v>721224824</v>
      </c>
      <c r="R88" s="36" t="s">
        <v>88</v>
      </c>
      <c r="S88" s="30" t="s">
        <v>395</v>
      </c>
      <c r="T88" s="36">
        <v>46054</v>
      </c>
      <c r="U88" s="93">
        <v>46027</v>
      </c>
      <c r="V88" s="98">
        <v>46057</v>
      </c>
      <c r="W88" s="52"/>
      <c r="X88" s="30" t="s">
        <v>309</v>
      </c>
      <c r="Y88" s="30">
        <v>0.5</v>
      </c>
      <c r="Z88" s="30"/>
      <c r="AA88" s="25">
        <v>46027</v>
      </c>
      <c r="AB88" s="25">
        <v>46057</v>
      </c>
      <c r="AC88" s="71"/>
      <c r="AD88" s="56" t="s">
        <v>72</v>
      </c>
      <c r="AE88" s="33"/>
      <c r="AF88" s="43">
        <v>46037</v>
      </c>
      <c r="AG88" s="43">
        <v>46034</v>
      </c>
      <c r="AH88" s="43">
        <v>46059</v>
      </c>
      <c r="AI88" s="43">
        <v>46062</v>
      </c>
      <c r="AJ88" s="43"/>
      <c r="AK88" s="44">
        <v>46047</v>
      </c>
      <c r="AL88" s="45">
        <v>52584.6</v>
      </c>
      <c r="AM88" s="59"/>
      <c r="AN88" s="59"/>
      <c r="AO88" s="97"/>
      <c r="AP88" s="97"/>
      <c r="AQ88" s="33"/>
      <c r="AR88" s="30"/>
      <c r="AS88" s="33"/>
    </row>
    <row r="89" spans="1:45" ht="18.649999999999999" customHeight="1">
      <c r="A89" s="48"/>
      <c r="B89" s="30"/>
      <c r="C89" s="30"/>
      <c r="D89" s="48" t="s">
        <v>48</v>
      </c>
      <c r="E89" s="49" t="s">
        <v>82</v>
      </c>
      <c r="F89" s="49" t="s">
        <v>396</v>
      </c>
      <c r="G89" s="61" t="s">
        <v>114</v>
      </c>
      <c r="H89" s="48">
        <v>135</v>
      </c>
      <c r="I89" s="61" t="s">
        <v>110</v>
      </c>
      <c r="J89" s="33" t="s">
        <v>393</v>
      </c>
      <c r="K89" s="30" t="s">
        <v>53</v>
      </c>
      <c r="L89" s="33"/>
      <c r="M89" s="34" t="s">
        <v>397</v>
      </c>
      <c r="N89" s="30">
        <v>2245195012</v>
      </c>
      <c r="O89" s="20" t="s">
        <v>68</v>
      </c>
      <c r="P89" s="30"/>
      <c r="Q89" s="30">
        <v>721224824</v>
      </c>
      <c r="R89" s="36" t="s">
        <v>88</v>
      </c>
      <c r="S89" s="30" t="s">
        <v>395</v>
      </c>
      <c r="T89" s="36">
        <v>46054</v>
      </c>
      <c r="U89" s="93">
        <v>46027</v>
      </c>
      <c r="V89" s="98">
        <v>46057</v>
      </c>
      <c r="W89" s="52"/>
      <c r="X89" s="30" t="s">
        <v>309</v>
      </c>
      <c r="Y89" s="30">
        <v>0.5</v>
      </c>
      <c r="Z89" s="30"/>
      <c r="AA89" s="25">
        <v>46027</v>
      </c>
      <c r="AB89" s="25">
        <v>46057</v>
      </c>
      <c r="AC89" s="71"/>
      <c r="AD89" s="56" t="s">
        <v>72</v>
      </c>
      <c r="AE89" s="33"/>
      <c r="AF89" s="43">
        <v>46037</v>
      </c>
      <c r="AG89" s="43">
        <v>46034</v>
      </c>
      <c r="AH89" s="43">
        <v>46059</v>
      </c>
      <c r="AI89" s="43">
        <v>46062</v>
      </c>
      <c r="AJ89" s="43"/>
      <c r="AK89" s="44">
        <v>46047</v>
      </c>
      <c r="AL89" s="45">
        <v>13003.55</v>
      </c>
      <c r="AM89" s="59"/>
      <c r="AN89" s="59"/>
      <c r="AO89" s="97"/>
      <c r="AP89" s="97"/>
      <c r="AQ89" s="33"/>
      <c r="AR89" s="30"/>
      <c r="AS89" s="33"/>
    </row>
    <row r="90" spans="1:45" ht="18.649999999999999" customHeight="1">
      <c r="A90" s="48"/>
      <c r="B90" s="30"/>
      <c r="C90" s="30"/>
      <c r="D90" s="48" t="s">
        <v>48</v>
      </c>
      <c r="E90" s="49" t="s">
        <v>262</v>
      </c>
      <c r="F90" s="49">
        <v>1000013590</v>
      </c>
      <c r="G90" s="107" t="s">
        <v>263</v>
      </c>
      <c r="H90" s="108">
        <v>2014</v>
      </c>
      <c r="I90" s="108" t="s">
        <v>52</v>
      </c>
      <c r="J90" s="33"/>
      <c r="K90" s="30" t="s">
        <v>53</v>
      </c>
      <c r="L90" s="33"/>
      <c r="M90" s="34" t="s">
        <v>398</v>
      </c>
      <c r="N90" s="30">
        <v>90473854</v>
      </c>
      <c r="O90" s="30" t="s">
        <v>68</v>
      </c>
      <c r="P90" s="30"/>
      <c r="Q90" s="30" t="s">
        <v>399</v>
      </c>
      <c r="R90" s="30" t="s">
        <v>266</v>
      </c>
      <c r="S90" s="30" t="s">
        <v>400</v>
      </c>
      <c r="T90" s="36">
        <v>46054</v>
      </c>
      <c r="U90" s="93">
        <v>46034</v>
      </c>
      <c r="V90" s="98">
        <v>46044</v>
      </c>
      <c r="W90" s="52"/>
      <c r="X90" s="48" t="s">
        <v>170</v>
      </c>
      <c r="Y90" s="48">
        <v>2</v>
      </c>
      <c r="Z90" s="48"/>
      <c r="AA90" s="36">
        <v>46049</v>
      </c>
      <c r="AB90" s="36">
        <v>46057</v>
      </c>
      <c r="AC90" s="30"/>
      <c r="AD90" s="125" t="s">
        <v>59</v>
      </c>
      <c r="AE90" s="33"/>
      <c r="AF90" s="43">
        <v>46056</v>
      </c>
      <c r="AG90" s="43">
        <v>46051</v>
      </c>
      <c r="AH90" s="43">
        <v>46060</v>
      </c>
      <c r="AI90" s="43">
        <v>46062</v>
      </c>
      <c r="AJ90" s="43"/>
      <c r="AK90" s="44">
        <v>46068</v>
      </c>
      <c r="AL90" s="45">
        <v>41488.400000000001</v>
      </c>
      <c r="AM90" s="59"/>
      <c r="AN90" s="59"/>
      <c r="AO90" s="59"/>
      <c r="AP90" s="47" t="s">
        <v>61</v>
      </c>
      <c r="AQ90" s="33"/>
      <c r="AR90" s="30"/>
      <c r="AS90" s="33"/>
    </row>
    <row r="91" spans="1:45" ht="18.649999999999999" customHeight="1">
      <c r="A91" s="48"/>
      <c r="B91" s="30"/>
      <c r="C91" s="30"/>
      <c r="D91" s="48" t="s">
        <v>160</v>
      </c>
      <c r="E91" s="49" t="s">
        <v>281</v>
      </c>
      <c r="F91" s="49" t="s">
        <v>401</v>
      </c>
      <c r="G91" s="50" t="s">
        <v>282</v>
      </c>
      <c r="H91" s="20" t="s">
        <v>402</v>
      </c>
      <c r="I91" s="20" t="s">
        <v>52</v>
      </c>
      <c r="J91" s="33" t="s">
        <v>403</v>
      </c>
      <c r="K91" s="30" t="s">
        <v>53</v>
      </c>
      <c r="L91" s="33"/>
      <c r="M91" s="117" t="s">
        <v>404</v>
      </c>
      <c r="N91" s="30">
        <v>3710090845</v>
      </c>
      <c r="O91" s="48" t="s">
        <v>150</v>
      </c>
      <c r="P91" s="30"/>
      <c r="Q91" s="30" t="s">
        <v>405</v>
      </c>
      <c r="R91" s="48" t="s">
        <v>287</v>
      </c>
      <c r="S91" s="169" t="s">
        <v>406</v>
      </c>
      <c r="T91" s="36">
        <v>46054</v>
      </c>
      <c r="U91" s="93">
        <v>46050</v>
      </c>
      <c r="V91" s="88">
        <v>46053</v>
      </c>
      <c r="W91" s="52"/>
      <c r="X91" s="120" t="s">
        <v>58</v>
      </c>
      <c r="Y91" s="120">
        <v>2</v>
      </c>
      <c r="Z91" s="120"/>
      <c r="AA91" s="36">
        <v>46053</v>
      </c>
      <c r="AB91" s="36">
        <v>46057</v>
      </c>
      <c r="AC91" s="30"/>
      <c r="AD91" s="56" t="s">
        <v>72</v>
      </c>
      <c r="AE91" s="33"/>
      <c r="AF91" s="43">
        <v>46056</v>
      </c>
      <c r="AG91" s="43">
        <v>46056</v>
      </c>
      <c r="AH91" s="43">
        <v>46060</v>
      </c>
      <c r="AI91" s="43">
        <v>46062</v>
      </c>
      <c r="AJ91" s="43"/>
      <c r="AK91" s="44">
        <v>46047</v>
      </c>
      <c r="AL91" s="170">
        <v>413950.68</v>
      </c>
      <c r="AM91" s="59"/>
      <c r="AN91" s="59"/>
      <c r="AO91" s="47">
        <v>0</v>
      </c>
      <c r="AP91" s="59" t="s">
        <v>289</v>
      </c>
      <c r="AQ91" s="33"/>
      <c r="AR91" s="30" t="s">
        <v>407</v>
      </c>
      <c r="AS91" s="134" t="s">
        <v>291</v>
      </c>
    </row>
    <row r="92" spans="1:45" ht="18.649999999999999" customHeight="1">
      <c r="A92" s="48"/>
      <c r="B92" s="30"/>
      <c r="C92" s="30"/>
      <c r="D92" s="48" t="s">
        <v>48</v>
      </c>
      <c r="E92" s="49" t="s">
        <v>171</v>
      </c>
      <c r="F92" s="49">
        <v>1000011836</v>
      </c>
      <c r="G92" s="33" t="s">
        <v>172</v>
      </c>
      <c r="H92" s="30">
        <v>200</v>
      </c>
      <c r="I92" s="20" t="s">
        <v>52</v>
      </c>
      <c r="J92" s="33" t="s">
        <v>408</v>
      </c>
      <c r="K92" s="30" t="s">
        <v>53</v>
      </c>
      <c r="L92" s="33"/>
      <c r="M92" s="34" t="s">
        <v>409</v>
      </c>
      <c r="N92" s="30" t="s">
        <v>410</v>
      </c>
      <c r="O92" s="20" t="s">
        <v>176</v>
      </c>
      <c r="P92" s="30"/>
      <c r="Q92" s="33" t="s">
        <v>411</v>
      </c>
      <c r="R92" s="52" t="s">
        <v>178</v>
      </c>
      <c r="S92" s="30" t="s">
        <v>412</v>
      </c>
      <c r="T92" s="36">
        <v>46048</v>
      </c>
      <c r="U92" s="37">
        <v>46039</v>
      </c>
      <c r="V92" s="38">
        <v>46048</v>
      </c>
      <c r="W92" s="52"/>
      <c r="X92" s="30" t="s">
        <v>58</v>
      </c>
      <c r="Y92" s="30">
        <v>0.5</v>
      </c>
      <c r="Z92" s="33"/>
      <c r="AA92" s="80">
        <v>46045</v>
      </c>
      <c r="AB92" s="162">
        <v>46059</v>
      </c>
      <c r="AC92" s="171">
        <f>AB92-V92</f>
        <v>11</v>
      </c>
      <c r="AD92" s="42" t="s">
        <v>72</v>
      </c>
      <c r="AE92" s="33"/>
      <c r="AF92" s="43">
        <v>46043</v>
      </c>
      <c r="AG92" s="43">
        <v>46038</v>
      </c>
      <c r="AH92" s="43">
        <v>46062</v>
      </c>
      <c r="AI92" s="43">
        <v>46065</v>
      </c>
      <c r="AJ92" s="43"/>
      <c r="AK92" s="44">
        <v>46068</v>
      </c>
      <c r="AL92" s="91">
        <v>73329.3</v>
      </c>
      <c r="AM92" s="46"/>
      <c r="AN92" s="46"/>
      <c r="AO92" s="47">
        <v>0</v>
      </c>
      <c r="AP92" s="59" t="s">
        <v>180</v>
      </c>
      <c r="AQ92" s="33"/>
      <c r="AR92" s="30"/>
      <c r="AS92" s="33"/>
    </row>
    <row r="93" spans="1:45" ht="18.649999999999999" customHeight="1">
      <c r="A93" s="48"/>
      <c r="B93" s="30"/>
      <c r="C93" s="30"/>
      <c r="D93" s="48" t="s">
        <v>48</v>
      </c>
      <c r="E93" s="49" t="s">
        <v>171</v>
      </c>
      <c r="F93" s="49">
        <v>1000022205</v>
      </c>
      <c r="G93" s="33" t="s">
        <v>181</v>
      </c>
      <c r="H93" s="30">
        <v>450</v>
      </c>
      <c r="I93" s="20" t="s">
        <v>52</v>
      </c>
      <c r="J93" s="33" t="s">
        <v>413</v>
      </c>
      <c r="K93" s="30" t="s">
        <v>53</v>
      </c>
      <c r="L93" s="33"/>
      <c r="M93" s="34" t="s">
        <v>409</v>
      </c>
      <c r="N93" s="30" t="s">
        <v>410</v>
      </c>
      <c r="O93" s="20" t="s">
        <v>176</v>
      </c>
      <c r="P93" s="30"/>
      <c r="Q93" s="33" t="s">
        <v>411</v>
      </c>
      <c r="R93" s="52" t="s">
        <v>178</v>
      </c>
      <c r="S93" s="30" t="s">
        <v>412</v>
      </c>
      <c r="T93" s="36">
        <v>46048</v>
      </c>
      <c r="U93" s="37">
        <v>46039</v>
      </c>
      <c r="V93" s="38">
        <v>46048</v>
      </c>
      <c r="W93" s="52"/>
      <c r="X93" s="30" t="s">
        <v>58</v>
      </c>
      <c r="Y93" s="30">
        <v>0.5</v>
      </c>
      <c r="Z93" s="33"/>
      <c r="AA93" s="80">
        <v>46045</v>
      </c>
      <c r="AB93" s="162">
        <v>46059</v>
      </c>
      <c r="AC93" s="171">
        <f>AB93-V93</f>
        <v>11</v>
      </c>
      <c r="AD93" s="42" t="s">
        <v>72</v>
      </c>
      <c r="AE93" s="33"/>
      <c r="AF93" s="43">
        <v>46043</v>
      </c>
      <c r="AG93" s="43">
        <v>46038</v>
      </c>
      <c r="AH93" s="43">
        <v>46062</v>
      </c>
      <c r="AI93" s="43">
        <v>46065</v>
      </c>
      <c r="AJ93" s="43"/>
      <c r="AK93" s="44">
        <v>46068</v>
      </c>
      <c r="AL93" s="91">
        <v>125563.62</v>
      </c>
      <c r="AM93" s="46"/>
      <c r="AN93" s="46"/>
      <c r="AO93" s="47">
        <v>0</v>
      </c>
      <c r="AP93" s="59" t="s">
        <v>180</v>
      </c>
      <c r="AQ93" s="33"/>
      <c r="AR93" s="30"/>
      <c r="AS93" s="33"/>
    </row>
    <row r="94" spans="1:45" ht="18.649999999999999" customHeight="1">
      <c r="A94" s="48"/>
      <c r="B94" s="30"/>
      <c r="C94" s="30"/>
      <c r="D94" s="48" t="s">
        <v>48</v>
      </c>
      <c r="E94" s="49" t="s">
        <v>171</v>
      </c>
      <c r="F94" s="49">
        <v>1000036622</v>
      </c>
      <c r="G94" s="33" t="s">
        <v>182</v>
      </c>
      <c r="H94" s="30">
        <v>780</v>
      </c>
      <c r="I94" s="20" t="s">
        <v>52</v>
      </c>
      <c r="J94" s="33" t="s">
        <v>413</v>
      </c>
      <c r="K94" s="30" t="s">
        <v>53</v>
      </c>
      <c r="L94" s="33"/>
      <c r="M94" s="34" t="s">
        <v>409</v>
      </c>
      <c r="N94" s="30" t="s">
        <v>410</v>
      </c>
      <c r="O94" s="20" t="s">
        <v>176</v>
      </c>
      <c r="P94" s="30"/>
      <c r="Q94" s="33" t="s">
        <v>411</v>
      </c>
      <c r="R94" s="52" t="s">
        <v>178</v>
      </c>
      <c r="S94" s="30" t="s">
        <v>412</v>
      </c>
      <c r="T94" s="36">
        <v>46048</v>
      </c>
      <c r="U94" s="37">
        <v>46039</v>
      </c>
      <c r="V94" s="38">
        <v>46048</v>
      </c>
      <c r="W94" s="52"/>
      <c r="X94" s="30" t="s">
        <v>58</v>
      </c>
      <c r="Y94" s="30">
        <v>0.5</v>
      </c>
      <c r="Z94" s="33"/>
      <c r="AA94" s="80">
        <v>46045</v>
      </c>
      <c r="AB94" s="162">
        <v>46059</v>
      </c>
      <c r="AC94" s="171">
        <f>AB94-V94</f>
        <v>11</v>
      </c>
      <c r="AD94" s="42" t="s">
        <v>72</v>
      </c>
      <c r="AE94" s="33"/>
      <c r="AF94" s="43">
        <v>46043</v>
      </c>
      <c r="AG94" s="43">
        <v>46038</v>
      </c>
      <c r="AH94" s="43">
        <v>46062</v>
      </c>
      <c r="AI94" s="43">
        <v>46065</v>
      </c>
      <c r="AJ94" s="43"/>
      <c r="AK94" s="44">
        <v>46068</v>
      </c>
      <c r="AL94" s="91">
        <v>30789.599999999999</v>
      </c>
      <c r="AM94" s="46"/>
      <c r="AN94" s="46"/>
      <c r="AO94" s="47">
        <v>0</v>
      </c>
      <c r="AP94" s="59" t="s">
        <v>180</v>
      </c>
      <c r="AQ94" s="33"/>
      <c r="AR94" s="30"/>
      <c r="AS94" s="33"/>
    </row>
    <row r="95" spans="1:45" ht="18.649999999999999" customHeight="1">
      <c r="A95" s="172"/>
      <c r="B95" s="30"/>
      <c r="C95" s="30"/>
      <c r="D95" s="20" t="s">
        <v>48</v>
      </c>
      <c r="E95" s="31" t="s">
        <v>74</v>
      </c>
      <c r="F95" s="31">
        <v>1000037051</v>
      </c>
      <c r="G95" s="32" t="s">
        <v>75</v>
      </c>
      <c r="H95" s="20">
        <v>2000</v>
      </c>
      <c r="I95" s="20" t="s">
        <v>52</v>
      </c>
      <c r="J95" s="33"/>
      <c r="K95" s="30" t="s">
        <v>53</v>
      </c>
      <c r="L95" s="33"/>
      <c r="M95" s="34" t="s">
        <v>414</v>
      </c>
      <c r="N95" s="30" t="s">
        <v>415</v>
      </c>
      <c r="O95" s="20" t="s">
        <v>68</v>
      </c>
      <c r="P95" s="30"/>
      <c r="Q95" s="30" t="s">
        <v>416</v>
      </c>
      <c r="R95" s="30" t="s">
        <v>88</v>
      </c>
      <c r="S95" s="30" t="s">
        <v>417</v>
      </c>
      <c r="T95" s="36">
        <v>46054</v>
      </c>
      <c r="U95" s="37">
        <v>46031</v>
      </c>
      <c r="V95" s="51">
        <v>46052</v>
      </c>
      <c r="W95" s="39"/>
      <c r="X95" s="40" t="s">
        <v>58</v>
      </c>
      <c r="Y95" s="40">
        <v>1</v>
      </c>
      <c r="Z95" s="40"/>
      <c r="AA95" s="80">
        <v>46031</v>
      </c>
      <c r="AB95" s="173">
        <v>46059</v>
      </c>
      <c r="AC95" s="85"/>
      <c r="AD95" s="42" t="s">
        <v>59</v>
      </c>
      <c r="AE95" s="21"/>
      <c r="AF95" s="153">
        <v>46043</v>
      </c>
      <c r="AG95" s="153">
        <v>46036</v>
      </c>
      <c r="AH95" s="43">
        <v>46063</v>
      </c>
      <c r="AI95" s="43">
        <v>46064</v>
      </c>
      <c r="AJ95" s="43"/>
      <c r="AK95" s="44">
        <v>46047</v>
      </c>
      <c r="AL95" s="45">
        <v>40000</v>
      </c>
      <c r="AM95" s="46"/>
      <c r="AN95" s="46"/>
      <c r="AO95" s="47">
        <v>0</v>
      </c>
      <c r="AP95" s="47" t="s">
        <v>61</v>
      </c>
      <c r="AQ95" s="33"/>
      <c r="AR95" s="33"/>
      <c r="AS95" s="33"/>
    </row>
    <row r="96" spans="1:45" ht="18.649999999999999" customHeight="1">
      <c r="A96" s="48"/>
      <c r="B96" s="30"/>
      <c r="C96" s="30"/>
      <c r="D96" s="48" t="s">
        <v>48</v>
      </c>
      <c r="E96" s="49" t="s">
        <v>418</v>
      </c>
      <c r="F96" s="49">
        <v>1000039673</v>
      </c>
      <c r="G96" s="107" t="s">
        <v>419</v>
      </c>
      <c r="H96" s="108">
        <v>540</v>
      </c>
      <c r="I96" s="108" t="s">
        <v>52</v>
      </c>
      <c r="J96" s="33"/>
      <c r="K96" s="30" t="s">
        <v>53</v>
      </c>
      <c r="L96" s="33"/>
      <c r="M96" s="117" t="s">
        <v>420</v>
      </c>
      <c r="N96" s="30" t="s">
        <v>421</v>
      </c>
      <c r="O96" s="30" t="s">
        <v>68</v>
      </c>
      <c r="P96" s="30"/>
      <c r="Q96" s="48" t="s">
        <v>422</v>
      </c>
      <c r="R96" s="30" t="s">
        <v>423</v>
      </c>
      <c r="S96" s="30" t="s">
        <v>424</v>
      </c>
      <c r="T96" s="36">
        <v>46054</v>
      </c>
      <c r="U96" s="93">
        <v>46041</v>
      </c>
      <c r="V96" s="88">
        <v>46057</v>
      </c>
      <c r="W96" s="52"/>
      <c r="X96" s="30" t="s">
        <v>309</v>
      </c>
      <c r="Y96" s="30">
        <v>1</v>
      </c>
      <c r="Z96" s="30"/>
      <c r="AA96" s="36">
        <v>46041</v>
      </c>
      <c r="AB96" s="36">
        <v>46060</v>
      </c>
      <c r="AC96" s="30"/>
      <c r="AD96" s="42" t="s">
        <v>72</v>
      </c>
      <c r="AE96" s="33"/>
      <c r="AF96" s="43">
        <v>46049</v>
      </c>
      <c r="AG96" s="43">
        <v>46047</v>
      </c>
      <c r="AH96" s="43">
        <v>46063</v>
      </c>
      <c r="AI96" s="43">
        <v>46065</v>
      </c>
      <c r="AJ96" s="43"/>
      <c r="AK96" s="44">
        <v>46068</v>
      </c>
      <c r="AL96" s="45">
        <v>34566.840000000004</v>
      </c>
      <c r="AM96" s="59"/>
      <c r="AN96" s="59"/>
      <c r="AO96" s="97"/>
      <c r="AP96" s="97"/>
      <c r="AQ96" s="33"/>
      <c r="AR96" s="30"/>
      <c r="AS96" s="33"/>
    </row>
    <row r="97" spans="1:45" s="58" customFormat="1" ht="18.649999999999999" customHeight="1">
      <c r="A97" s="120"/>
      <c r="B97" s="30"/>
      <c r="C97" s="30"/>
      <c r="D97" s="48" t="s">
        <v>48</v>
      </c>
      <c r="E97" s="49" t="s">
        <v>425</v>
      </c>
      <c r="F97" s="49">
        <v>2000007174</v>
      </c>
      <c r="G97" s="33" t="s">
        <v>426</v>
      </c>
      <c r="H97" s="30">
        <v>40</v>
      </c>
      <c r="I97" s="30" t="s">
        <v>212</v>
      </c>
      <c r="J97" s="33"/>
      <c r="K97" s="30"/>
      <c r="L97" s="33"/>
      <c r="M97" s="34" t="s">
        <v>427</v>
      </c>
      <c r="N97" s="30" t="s">
        <v>428</v>
      </c>
      <c r="O97" s="30" t="s">
        <v>150</v>
      </c>
      <c r="P97" s="30"/>
      <c r="Q97" s="30">
        <v>83495970</v>
      </c>
      <c r="R97" s="30" t="s">
        <v>215</v>
      </c>
      <c r="S97" s="30" t="s">
        <v>429</v>
      </c>
      <c r="T97" s="36">
        <v>46054</v>
      </c>
      <c r="U97" s="37">
        <v>46046</v>
      </c>
      <c r="V97" s="51">
        <v>46054</v>
      </c>
      <c r="W97" s="52"/>
      <c r="X97" s="30" t="s">
        <v>209</v>
      </c>
      <c r="Y97" s="30">
        <v>0.5</v>
      </c>
      <c r="Z97" s="30"/>
      <c r="AA97" s="36">
        <v>46046</v>
      </c>
      <c r="AB97" s="94">
        <v>46060</v>
      </c>
      <c r="AC97" s="30"/>
      <c r="AD97" s="90" t="s">
        <v>430</v>
      </c>
      <c r="AE97" s="33"/>
      <c r="AF97" s="43">
        <v>46055</v>
      </c>
      <c r="AG97" s="43">
        <v>46050</v>
      </c>
      <c r="AH97" s="43">
        <v>46063</v>
      </c>
      <c r="AI97" s="43">
        <v>46064</v>
      </c>
      <c r="AJ97" s="43"/>
      <c r="AK97" s="44">
        <v>45945</v>
      </c>
      <c r="AL97" s="174">
        <v>101</v>
      </c>
      <c r="AM97" s="175">
        <v>46037</v>
      </c>
      <c r="AN97" s="176">
        <v>101</v>
      </c>
      <c r="AO97" s="47">
        <v>101</v>
      </c>
      <c r="AP97" s="47" t="s">
        <v>61</v>
      </c>
      <c r="AQ97" s="33"/>
      <c r="AR97" s="33"/>
      <c r="AS97" s="33"/>
    </row>
    <row r="98" spans="1:45" ht="18.649999999999999" customHeight="1">
      <c r="A98" s="120"/>
      <c r="B98" s="30"/>
      <c r="C98" s="30"/>
      <c r="D98" s="48" t="s">
        <v>48</v>
      </c>
      <c r="E98" s="49" t="s">
        <v>425</v>
      </c>
      <c r="F98" s="49">
        <v>2000005388</v>
      </c>
      <c r="G98" s="33" t="s">
        <v>431</v>
      </c>
      <c r="H98" s="30">
        <v>36</v>
      </c>
      <c r="I98" s="30" t="s">
        <v>212</v>
      </c>
      <c r="J98" s="33"/>
      <c r="K98" s="30"/>
      <c r="L98" s="33"/>
      <c r="M98" s="34" t="s">
        <v>427</v>
      </c>
      <c r="N98" s="30" t="s">
        <v>428</v>
      </c>
      <c r="O98" s="30" t="s">
        <v>150</v>
      </c>
      <c r="P98" s="30"/>
      <c r="Q98" s="30">
        <v>83495970</v>
      </c>
      <c r="R98" s="30" t="s">
        <v>215</v>
      </c>
      <c r="S98" s="30" t="s">
        <v>429</v>
      </c>
      <c r="T98" s="36">
        <v>46054</v>
      </c>
      <c r="U98" s="37">
        <v>46046</v>
      </c>
      <c r="V98" s="51">
        <v>46054</v>
      </c>
      <c r="W98" s="52"/>
      <c r="X98" s="30" t="s">
        <v>209</v>
      </c>
      <c r="Y98" s="30">
        <v>0.5</v>
      </c>
      <c r="Z98" s="30"/>
      <c r="AA98" s="36">
        <v>46046</v>
      </c>
      <c r="AB98" s="94">
        <v>46060</v>
      </c>
      <c r="AC98" s="30"/>
      <c r="AD98" s="90" t="s">
        <v>430</v>
      </c>
      <c r="AE98" s="33"/>
      <c r="AF98" s="43">
        <v>46055</v>
      </c>
      <c r="AG98" s="43">
        <v>46050</v>
      </c>
      <c r="AH98" s="43">
        <v>46063</v>
      </c>
      <c r="AI98" s="43">
        <v>46064</v>
      </c>
      <c r="AJ98" s="43"/>
      <c r="AK98" s="44">
        <v>45945</v>
      </c>
      <c r="AL98" s="174">
        <v>90.9</v>
      </c>
      <c r="AM98" s="175">
        <v>46037</v>
      </c>
      <c r="AN98" s="176">
        <v>90.9</v>
      </c>
      <c r="AO98" s="47">
        <v>90.9</v>
      </c>
      <c r="AP98" s="47" t="s">
        <v>61</v>
      </c>
      <c r="AQ98" s="33"/>
      <c r="AR98" s="33"/>
      <c r="AS98" s="33"/>
    </row>
    <row r="99" spans="1:45" ht="18.649999999999999" customHeight="1">
      <c r="A99" s="120"/>
      <c r="B99" s="30"/>
      <c r="C99" s="30"/>
      <c r="D99" s="48" t="s">
        <v>48</v>
      </c>
      <c r="E99" s="49" t="s">
        <v>425</v>
      </c>
      <c r="F99" s="49">
        <v>2000010031</v>
      </c>
      <c r="G99" s="33" t="s">
        <v>432</v>
      </c>
      <c r="H99" s="30">
        <v>50</v>
      </c>
      <c r="I99" s="30" t="s">
        <v>212</v>
      </c>
      <c r="J99" s="33"/>
      <c r="K99" s="30"/>
      <c r="L99" s="33"/>
      <c r="M99" s="34" t="s">
        <v>427</v>
      </c>
      <c r="N99" s="30" t="s">
        <v>428</v>
      </c>
      <c r="O99" s="30" t="s">
        <v>150</v>
      </c>
      <c r="P99" s="30"/>
      <c r="Q99" s="30">
        <v>83495970</v>
      </c>
      <c r="R99" s="30" t="s">
        <v>215</v>
      </c>
      <c r="S99" s="30" t="s">
        <v>429</v>
      </c>
      <c r="T99" s="36">
        <v>46054</v>
      </c>
      <c r="U99" s="37">
        <v>46046</v>
      </c>
      <c r="V99" s="51">
        <v>46054</v>
      </c>
      <c r="W99" s="52"/>
      <c r="X99" s="30" t="s">
        <v>209</v>
      </c>
      <c r="Y99" s="30">
        <v>0.5</v>
      </c>
      <c r="Z99" s="30"/>
      <c r="AA99" s="36">
        <v>46046</v>
      </c>
      <c r="AB99" s="94">
        <v>46060</v>
      </c>
      <c r="AC99" s="30"/>
      <c r="AD99" s="90" t="s">
        <v>430</v>
      </c>
      <c r="AE99" s="33"/>
      <c r="AF99" s="43">
        <v>46055</v>
      </c>
      <c r="AG99" s="43">
        <v>46050</v>
      </c>
      <c r="AH99" s="43">
        <v>46063</v>
      </c>
      <c r="AI99" s="43">
        <v>46064</v>
      </c>
      <c r="AJ99" s="43"/>
      <c r="AK99" s="44">
        <v>45945</v>
      </c>
      <c r="AL99" s="174">
        <v>137.75</v>
      </c>
      <c r="AM99" s="175">
        <v>46037</v>
      </c>
      <c r="AN99" s="176">
        <v>137.75</v>
      </c>
      <c r="AO99" s="47">
        <v>137.75</v>
      </c>
      <c r="AP99" s="47" t="s">
        <v>61</v>
      </c>
      <c r="AQ99" s="33"/>
      <c r="AR99" s="33"/>
      <c r="AS99" s="33"/>
    </row>
    <row r="100" spans="1:45" ht="18.649999999999999" customHeight="1">
      <c r="A100" s="120"/>
      <c r="B100" s="30"/>
      <c r="C100" s="30"/>
      <c r="D100" s="48" t="s">
        <v>48</v>
      </c>
      <c r="E100" s="49" t="s">
        <v>425</v>
      </c>
      <c r="F100" s="49">
        <v>2000006566</v>
      </c>
      <c r="G100" s="33" t="s">
        <v>433</v>
      </c>
      <c r="H100" s="30">
        <v>44</v>
      </c>
      <c r="I100" s="30" t="s">
        <v>212</v>
      </c>
      <c r="J100" s="33"/>
      <c r="K100" s="30"/>
      <c r="L100" s="33"/>
      <c r="M100" s="34" t="s">
        <v>427</v>
      </c>
      <c r="N100" s="30" t="s">
        <v>428</v>
      </c>
      <c r="O100" s="30" t="s">
        <v>150</v>
      </c>
      <c r="P100" s="30"/>
      <c r="Q100" s="30">
        <v>83495970</v>
      </c>
      <c r="R100" s="30" t="s">
        <v>215</v>
      </c>
      <c r="S100" s="30" t="s">
        <v>429</v>
      </c>
      <c r="T100" s="36">
        <v>46054</v>
      </c>
      <c r="U100" s="37">
        <v>46046</v>
      </c>
      <c r="V100" s="51">
        <v>46054</v>
      </c>
      <c r="W100" s="52"/>
      <c r="X100" s="30" t="s">
        <v>209</v>
      </c>
      <c r="Y100" s="30">
        <v>0.5</v>
      </c>
      <c r="Z100" s="30"/>
      <c r="AA100" s="36">
        <v>46046</v>
      </c>
      <c r="AB100" s="94">
        <v>46060</v>
      </c>
      <c r="AC100" s="30"/>
      <c r="AD100" s="90" t="s">
        <v>430</v>
      </c>
      <c r="AE100" s="33"/>
      <c r="AF100" s="43">
        <v>46055</v>
      </c>
      <c r="AG100" s="43">
        <v>46050</v>
      </c>
      <c r="AH100" s="43">
        <v>46063</v>
      </c>
      <c r="AI100" s="43">
        <v>46064</v>
      </c>
      <c r="AJ100" s="43"/>
      <c r="AK100" s="44">
        <v>45945</v>
      </c>
      <c r="AL100" s="174">
        <v>137.72</v>
      </c>
      <c r="AM100" s="175">
        <v>46037</v>
      </c>
      <c r="AN100" s="176">
        <v>137.72</v>
      </c>
      <c r="AO100" s="47">
        <v>137.72</v>
      </c>
      <c r="AP100" s="47" t="s">
        <v>61</v>
      </c>
      <c r="AQ100" s="33"/>
      <c r="AR100" s="33"/>
      <c r="AS100" s="33"/>
    </row>
    <row r="101" spans="1:45" ht="35.15" customHeight="1">
      <c r="A101" s="120"/>
      <c r="B101" s="30"/>
      <c r="C101" s="30"/>
      <c r="D101" s="48" t="s">
        <v>48</v>
      </c>
      <c r="E101" s="49" t="s">
        <v>425</v>
      </c>
      <c r="F101" s="49">
        <v>2000009807</v>
      </c>
      <c r="G101" s="33" t="s">
        <v>434</v>
      </c>
      <c r="H101" s="30">
        <v>50</v>
      </c>
      <c r="I101" s="30" t="s">
        <v>212</v>
      </c>
      <c r="J101" s="33"/>
      <c r="K101" s="30"/>
      <c r="L101" s="33"/>
      <c r="M101" s="34" t="s">
        <v>427</v>
      </c>
      <c r="N101" s="30" t="s">
        <v>428</v>
      </c>
      <c r="O101" s="30" t="s">
        <v>150</v>
      </c>
      <c r="P101" s="30"/>
      <c r="Q101" s="30">
        <v>83495970</v>
      </c>
      <c r="R101" s="30" t="s">
        <v>215</v>
      </c>
      <c r="S101" s="30" t="s">
        <v>429</v>
      </c>
      <c r="T101" s="36">
        <v>46054</v>
      </c>
      <c r="U101" s="37">
        <v>46046</v>
      </c>
      <c r="V101" s="51">
        <v>46054</v>
      </c>
      <c r="W101" s="52"/>
      <c r="X101" s="30" t="s">
        <v>209</v>
      </c>
      <c r="Y101" s="30">
        <v>0.5</v>
      </c>
      <c r="Z101" s="30"/>
      <c r="AA101" s="36">
        <v>46046</v>
      </c>
      <c r="AB101" s="94">
        <v>46060</v>
      </c>
      <c r="AC101" s="30"/>
      <c r="AD101" s="90" t="s">
        <v>430</v>
      </c>
      <c r="AE101" s="33"/>
      <c r="AF101" s="43">
        <v>46055</v>
      </c>
      <c r="AG101" s="43">
        <v>46050</v>
      </c>
      <c r="AH101" s="43">
        <v>46063</v>
      </c>
      <c r="AI101" s="43">
        <v>46064</v>
      </c>
      <c r="AJ101" s="43"/>
      <c r="AK101" s="44">
        <v>45945</v>
      </c>
      <c r="AL101" s="174">
        <v>137.75</v>
      </c>
      <c r="AM101" s="175">
        <v>46037</v>
      </c>
      <c r="AN101" s="176">
        <v>137.75</v>
      </c>
      <c r="AO101" s="47">
        <v>137.75</v>
      </c>
      <c r="AP101" s="47" t="s">
        <v>61</v>
      </c>
      <c r="AQ101" s="33"/>
      <c r="AR101" s="33"/>
      <c r="AS101" s="33"/>
    </row>
    <row r="102" spans="1:45" ht="15.65" customHeight="1">
      <c r="A102" s="120"/>
      <c r="B102" s="30"/>
      <c r="C102" s="30"/>
      <c r="D102" s="48" t="s">
        <v>48</v>
      </c>
      <c r="E102" s="49" t="s">
        <v>425</v>
      </c>
      <c r="F102" s="49">
        <v>2000012789</v>
      </c>
      <c r="G102" s="33" t="s">
        <v>435</v>
      </c>
      <c r="H102" s="30">
        <v>50</v>
      </c>
      <c r="I102" s="30" t="s">
        <v>212</v>
      </c>
      <c r="J102" s="33"/>
      <c r="K102" s="30"/>
      <c r="L102" s="33"/>
      <c r="M102" s="34" t="s">
        <v>427</v>
      </c>
      <c r="N102" s="30" t="s">
        <v>428</v>
      </c>
      <c r="O102" s="30" t="s">
        <v>150</v>
      </c>
      <c r="P102" s="30"/>
      <c r="Q102" s="30">
        <v>83495970</v>
      </c>
      <c r="R102" s="30" t="s">
        <v>215</v>
      </c>
      <c r="S102" s="30" t="s">
        <v>429</v>
      </c>
      <c r="T102" s="36">
        <v>46054</v>
      </c>
      <c r="U102" s="37">
        <v>46046</v>
      </c>
      <c r="V102" s="51">
        <v>46054</v>
      </c>
      <c r="W102" s="52"/>
      <c r="X102" s="30" t="s">
        <v>209</v>
      </c>
      <c r="Y102" s="30">
        <v>0.5</v>
      </c>
      <c r="Z102" s="30"/>
      <c r="AA102" s="36">
        <v>46046</v>
      </c>
      <c r="AB102" s="94">
        <v>46060</v>
      </c>
      <c r="AC102" s="30"/>
      <c r="AD102" s="90" t="s">
        <v>430</v>
      </c>
      <c r="AE102" s="33"/>
      <c r="AF102" s="43">
        <v>46055</v>
      </c>
      <c r="AG102" s="43">
        <v>46050</v>
      </c>
      <c r="AH102" s="43">
        <v>46063</v>
      </c>
      <c r="AI102" s="43">
        <v>46064</v>
      </c>
      <c r="AJ102" s="43"/>
      <c r="AK102" s="44">
        <v>45945</v>
      </c>
      <c r="AL102" s="174">
        <v>137.75</v>
      </c>
      <c r="AM102" s="175">
        <v>46037</v>
      </c>
      <c r="AN102" s="176">
        <v>137.75</v>
      </c>
      <c r="AO102" s="47">
        <v>137.75</v>
      </c>
      <c r="AP102" s="47" t="s">
        <v>61</v>
      </c>
      <c r="AQ102" s="33"/>
      <c r="AR102" s="33"/>
      <c r="AS102" s="33"/>
    </row>
    <row r="103" spans="1:45" ht="28.4" customHeight="1">
      <c r="A103" s="120"/>
      <c r="B103" s="30"/>
      <c r="C103" s="30"/>
      <c r="D103" s="48" t="s">
        <v>48</v>
      </c>
      <c r="E103" s="49" t="s">
        <v>425</v>
      </c>
      <c r="F103" s="49">
        <v>2000004745</v>
      </c>
      <c r="G103" s="33" t="s">
        <v>436</v>
      </c>
      <c r="H103" s="30">
        <v>50</v>
      </c>
      <c r="I103" s="30" t="s">
        <v>212</v>
      </c>
      <c r="J103" s="33"/>
      <c r="K103" s="30"/>
      <c r="L103" s="33"/>
      <c r="M103" s="34" t="s">
        <v>427</v>
      </c>
      <c r="N103" s="30" t="s">
        <v>428</v>
      </c>
      <c r="O103" s="30" t="s">
        <v>150</v>
      </c>
      <c r="P103" s="30"/>
      <c r="Q103" s="30">
        <v>83495970</v>
      </c>
      <c r="R103" s="30" t="s">
        <v>215</v>
      </c>
      <c r="S103" s="30" t="s">
        <v>429</v>
      </c>
      <c r="T103" s="36">
        <v>46054</v>
      </c>
      <c r="U103" s="37">
        <v>46046</v>
      </c>
      <c r="V103" s="51">
        <v>46054</v>
      </c>
      <c r="W103" s="52"/>
      <c r="X103" s="30" t="s">
        <v>209</v>
      </c>
      <c r="Y103" s="30">
        <v>0.5</v>
      </c>
      <c r="Z103" s="30"/>
      <c r="AA103" s="36">
        <v>46046</v>
      </c>
      <c r="AB103" s="94">
        <v>46060</v>
      </c>
      <c r="AC103" s="30"/>
      <c r="AD103" s="90" t="s">
        <v>430</v>
      </c>
      <c r="AE103" s="33"/>
      <c r="AF103" s="43">
        <v>46055</v>
      </c>
      <c r="AG103" s="43">
        <v>46050</v>
      </c>
      <c r="AH103" s="43">
        <v>46063</v>
      </c>
      <c r="AI103" s="43">
        <v>46064</v>
      </c>
      <c r="AJ103" s="43"/>
      <c r="AK103" s="44">
        <v>45945</v>
      </c>
      <c r="AL103" s="174">
        <v>137.75</v>
      </c>
      <c r="AM103" s="175">
        <v>46037</v>
      </c>
      <c r="AN103" s="176">
        <v>137.75</v>
      </c>
      <c r="AO103" s="47">
        <v>137.75</v>
      </c>
      <c r="AP103" s="47" t="s">
        <v>61</v>
      </c>
      <c r="AQ103" s="33"/>
      <c r="AR103" s="33"/>
      <c r="AS103" s="33"/>
    </row>
    <row r="104" spans="1:45" ht="18.649999999999999" customHeight="1">
      <c r="A104" s="120"/>
      <c r="B104" s="30"/>
      <c r="C104" s="30"/>
      <c r="D104" s="48" t="s">
        <v>48</v>
      </c>
      <c r="E104" s="49" t="s">
        <v>425</v>
      </c>
      <c r="F104" s="49">
        <v>2000035048</v>
      </c>
      <c r="G104" s="33" t="s">
        <v>437</v>
      </c>
      <c r="H104" s="30">
        <v>88</v>
      </c>
      <c r="I104" s="30" t="s">
        <v>212</v>
      </c>
      <c r="J104" s="33"/>
      <c r="K104" s="30"/>
      <c r="L104" s="33"/>
      <c r="M104" s="34" t="s">
        <v>427</v>
      </c>
      <c r="N104" s="30" t="s">
        <v>428</v>
      </c>
      <c r="O104" s="30" t="s">
        <v>150</v>
      </c>
      <c r="P104" s="30"/>
      <c r="Q104" s="30">
        <v>83495970</v>
      </c>
      <c r="R104" s="30" t="s">
        <v>215</v>
      </c>
      <c r="S104" s="30" t="s">
        <v>429</v>
      </c>
      <c r="T104" s="36">
        <v>46054</v>
      </c>
      <c r="U104" s="37">
        <v>46046</v>
      </c>
      <c r="V104" s="51">
        <v>46054</v>
      </c>
      <c r="W104" s="52"/>
      <c r="X104" s="30" t="s">
        <v>209</v>
      </c>
      <c r="Y104" s="30">
        <v>0.5</v>
      </c>
      <c r="Z104" s="30"/>
      <c r="AA104" s="36">
        <v>46046</v>
      </c>
      <c r="AB104" s="94">
        <v>46060</v>
      </c>
      <c r="AC104" s="30"/>
      <c r="AD104" s="90" t="s">
        <v>430</v>
      </c>
      <c r="AE104" s="33"/>
      <c r="AF104" s="43">
        <v>46055</v>
      </c>
      <c r="AG104" s="43">
        <v>46050</v>
      </c>
      <c r="AH104" s="43">
        <v>46063</v>
      </c>
      <c r="AI104" s="43">
        <v>46064</v>
      </c>
      <c r="AJ104" s="43"/>
      <c r="AK104" s="44">
        <v>45945</v>
      </c>
      <c r="AL104" s="174">
        <v>275.44</v>
      </c>
      <c r="AM104" s="175">
        <v>46037</v>
      </c>
      <c r="AN104" s="176">
        <v>275.44</v>
      </c>
      <c r="AO104" s="47">
        <v>275.44</v>
      </c>
      <c r="AP104" s="47" t="s">
        <v>61</v>
      </c>
      <c r="AQ104" s="33"/>
      <c r="AR104" s="33"/>
      <c r="AS104" s="33"/>
    </row>
    <row r="105" spans="1:45" ht="18.649999999999999" customHeight="1">
      <c r="A105" s="120"/>
      <c r="B105" s="30"/>
      <c r="C105" s="30"/>
      <c r="D105" s="48" t="s">
        <v>48</v>
      </c>
      <c r="E105" s="49" t="s">
        <v>425</v>
      </c>
      <c r="F105" s="49">
        <v>2000035057</v>
      </c>
      <c r="G105" s="33" t="s">
        <v>438</v>
      </c>
      <c r="H105" s="30">
        <v>88</v>
      </c>
      <c r="I105" s="30" t="s">
        <v>212</v>
      </c>
      <c r="J105" s="33"/>
      <c r="K105" s="30"/>
      <c r="L105" s="33"/>
      <c r="M105" s="34" t="s">
        <v>427</v>
      </c>
      <c r="N105" s="30" t="s">
        <v>428</v>
      </c>
      <c r="O105" s="30" t="s">
        <v>150</v>
      </c>
      <c r="P105" s="30"/>
      <c r="Q105" s="30">
        <v>83495970</v>
      </c>
      <c r="R105" s="30" t="s">
        <v>215</v>
      </c>
      <c r="S105" s="30" t="s">
        <v>429</v>
      </c>
      <c r="T105" s="36">
        <v>46054</v>
      </c>
      <c r="U105" s="37">
        <v>46046</v>
      </c>
      <c r="V105" s="51">
        <v>46054</v>
      </c>
      <c r="W105" s="52"/>
      <c r="X105" s="30" t="s">
        <v>209</v>
      </c>
      <c r="Y105" s="30">
        <v>0.5</v>
      </c>
      <c r="Z105" s="30"/>
      <c r="AA105" s="36">
        <v>46046</v>
      </c>
      <c r="AB105" s="94">
        <v>46060</v>
      </c>
      <c r="AC105" s="30"/>
      <c r="AD105" s="90" t="s">
        <v>430</v>
      </c>
      <c r="AE105" s="33"/>
      <c r="AF105" s="43">
        <v>46055</v>
      </c>
      <c r="AG105" s="43">
        <v>46050</v>
      </c>
      <c r="AH105" s="43">
        <v>46063</v>
      </c>
      <c r="AI105" s="43">
        <v>46064</v>
      </c>
      <c r="AJ105" s="43"/>
      <c r="AK105" s="44">
        <v>45945</v>
      </c>
      <c r="AL105" s="174">
        <v>275.44</v>
      </c>
      <c r="AM105" s="175">
        <v>46037</v>
      </c>
      <c r="AN105" s="176">
        <v>275.44</v>
      </c>
      <c r="AO105" s="47">
        <v>275.44</v>
      </c>
      <c r="AP105" s="47" t="s">
        <v>61</v>
      </c>
      <c r="AQ105" s="33"/>
      <c r="AR105" s="33"/>
      <c r="AS105" s="33"/>
    </row>
    <row r="106" spans="1:45" ht="13" customHeight="1">
      <c r="A106" s="120"/>
      <c r="B106" s="30"/>
      <c r="C106" s="30"/>
      <c r="D106" s="48" t="s">
        <v>48</v>
      </c>
      <c r="E106" s="49" t="s">
        <v>425</v>
      </c>
      <c r="F106" s="49">
        <v>2000035054</v>
      </c>
      <c r="G106" s="33" t="s">
        <v>439</v>
      </c>
      <c r="H106" s="30">
        <v>100</v>
      </c>
      <c r="I106" s="30" t="s">
        <v>212</v>
      </c>
      <c r="J106" s="33"/>
      <c r="K106" s="30"/>
      <c r="L106" s="33"/>
      <c r="M106" s="34" t="s">
        <v>427</v>
      </c>
      <c r="N106" s="30" t="s">
        <v>428</v>
      </c>
      <c r="O106" s="30" t="s">
        <v>150</v>
      </c>
      <c r="P106" s="30"/>
      <c r="Q106" s="30">
        <v>83495970</v>
      </c>
      <c r="R106" s="30" t="s">
        <v>215</v>
      </c>
      <c r="S106" s="30" t="s">
        <v>429</v>
      </c>
      <c r="T106" s="36">
        <v>46054</v>
      </c>
      <c r="U106" s="37">
        <v>46046</v>
      </c>
      <c r="V106" s="51">
        <v>46054</v>
      </c>
      <c r="W106" s="52"/>
      <c r="X106" s="30" t="s">
        <v>209</v>
      </c>
      <c r="Y106" s="30">
        <v>0.5</v>
      </c>
      <c r="Z106" s="30"/>
      <c r="AA106" s="36">
        <v>46046</v>
      </c>
      <c r="AB106" s="94">
        <v>46060</v>
      </c>
      <c r="AC106" s="30"/>
      <c r="AD106" s="90" t="s">
        <v>430</v>
      </c>
      <c r="AE106" s="33"/>
      <c r="AF106" s="43">
        <v>46055</v>
      </c>
      <c r="AG106" s="43">
        <v>46050</v>
      </c>
      <c r="AH106" s="43">
        <v>46063</v>
      </c>
      <c r="AI106" s="43">
        <v>46064</v>
      </c>
      <c r="AJ106" s="43"/>
      <c r="AK106" s="44">
        <v>45945</v>
      </c>
      <c r="AL106" s="174">
        <v>275.5</v>
      </c>
      <c r="AM106" s="175">
        <v>46037</v>
      </c>
      <c r="AN106" s="176">
        <v>275.5</v>
      </c>
      <c r="AO106" s="47">
        <v>275.5</v>
      </c>
      <c r="AP106" s="47" t="s">
        <v>61</v>
      </c>
      <c r="AQ106" s="33"/>
      <c r="AR106" s="33"/>
      <c r="AS106" s="33"/>
    </row>
    <row r="107" spans="1:45" ht="18.649999999999999" customHeight="1">
      <c r="A107" s="48"/>
      <c r="B107" s="30"/>
      <c r="C107" s="30"/>
      <c r="D107" s="48" t="s">
        <v>48</v>
      </c>
      <c r="E107" s="49" t="s">
        <v>425</v>
      </c>
      <c r="F107" s="49">
        <v>2000035064</v>
      </c>
      <c r="G107" s="33" t="s">
        <v>440</v>
      </c>
      <c r="H107" s="30">
        <v>50</v>
      </c>
      <c r="I107" s="30" t="s">
        <v>212</v>
      </c>
      <c r="J107" s="33"/>
      <c r="K107" s="30"/>
      <c r="L107" s="33"/>
      <c r="M107" s="34" t="s">
        <v>427</v>
      </c>
      <c r="N107" s="30" t="s">
        <v>428</v>
      </c>
      <c r="O107" s="30" t="s">
        <v>150</v>
      </c>
      <c r="P107" s="30"/>
      <c r="Q107" s="30">
        <v>83495970</v>
      </c>
      <c r="R107" s="30" t="s">
        <v>215</v>
      </c>
      <c r="S107" s="30" t="s">
        <v>429</v>
      </c>
      <c r="T107" s="36">
        <v>46054</v>
      </c>
      <c r="U107" s="37">
        <v>46046</v>
      </c>
      <c r="V107" s="51">
        <v>46054</v>
      </c>
      <c r="W107" s="52"/>
      <c r="X107" s="30" t="s">
        <v>209</v>
      </c>
      <c r="Y107" s="30">
        <v>0.5</v>
      </c>
      <c r="Z107" s="30"/>
      <c r="AA107" s="36">
        <v>46046</v>
      </c>
      <c r="AB107" s="94">
        <v>46060</v>
      </c>
      <c r="AC107" s="30"/>
      <c r="AD107" s="90" t="s">
        <v>430</v>
      </c>
      <c r="AE107" s="33"/>
      <c r="AF107" s="43">
        <v>46055</v>
      </c>
      <c r="AG107" s="43">
        <v>46050</v>
      </c>
      <c r="AH107" s="43">
        <v>46063</v>
      </c>
      <c r="AI107" s="43">
        <v>46064</v>
      </c>
      <c r="AJ107" s="43"/>
      <c r="AK107" s="44">
        <v>45945</v>
      </c>
      <c r="AL107" s="174">
        <v>137.75</v>
      </c>
      <c r="AM107" s="175">
        <v>46037</v>
      </c>
      <c r="AN107" s="176">
        <v>137.75</v>
      </c>
      <c r="AO107" s="47">
        <v>137.75</v>
      </c>
      <c r="AP107" s="47" t="s">
        <v>61</v>
      </c>
      <c r="AQ107" s="33"/>
      <c r="AR107" s="33"/>
      <c r="AS107" s="33"/>
    </row>
    <row r="108" spans="1:45" ht="18.649999999999999" customHeight="1">
      <c r="A108" s="48"/>
      <c r="B108" s="30"/>
      <c r="C108" s="30"/>
      <c r="D108" s="48" t="s">
        <v>48</v>
      </c>
      <c r="E108" s="49" t="s">
        <v>425</v>
      </c>
      <c r="F108" s="49">
        <v>2000014016</v>
      </c>
      <c r="G108" s="33" t="s">
        <v>441</v>
      </c>
      <c r="H108" s="30">
        <v>375</v>
      </c>
      <c r="I108" s="30" t="s">
        <v>212</v>
      </c>
      <c r="J108" s="33"/>
      <c r="K108" s="30"/>
      <c r="L108" s="33"/>
      <c r="M108" s="34" t="s">
        <v>427</v>
      </c>
      <c r="N108" s="30" t="s">
        <v>428</v>
      </c>
      <c r="O108" s="30" t="s">
        <v>150</v>
      </c>
      <c r="P108" s="30"/>
      <c r="Q108" s="30">
        <v>83495970</v>
      </c>
      <c r="R108" s="30" t="s">
        <v>215</v>
      </c>
      <c r="S108" s="30" t="s">
        <v>429</v>
      </c>
      <c r="T108" s="36">
        <v>46054</v>
      </c>
      <c r="U108" s="37">
        <v>46046</v>
      </c>
      <c r="V108" s="51">
        <v>46054</v>
      </c>
      <c r="W108" s="52"/>
      <c r="X108" s="30" t="s">
        <v>209</v>
      </c>
      <c r="Y108" s="30">
        <v>0.5</v>
      </c>
      <c r="Z108" s="30"/>
      <c r="AA108" s="36">
        <v>46046</v>
      </c>
      <c r="AB108" s="94">
        <v>46060</v>
      </c>
      <c r="AC108" s="30"/>
      <c r="AD108" s="90" t="s">
        <v>430</v>
      </c>
      <c r="AE108" s="33"/>
      <c r="AF108" s="43">
        <v>46055</v>
      </c>
      <c r="AG108" s="43">
        <v>46050</v>
      </c>
      <c r="AH108" s="43">
        <v>46063</v>
      </c>
      <c r="AI108" s="43">
        <v>46064</v>
      </c>
      <c r="AJ108" s="43"/>
      <c r="AK108" s="44">
        <v>45945</v>
      </c>
      <c r="AL108" s="174">
        <v>307.5</v>
      </c>
      <c r="AM108" s="175">
        <v>46037</v>
      </c>
      <c r="AN108" s="176">
        <v>307.5</v>
      </c>
      <c r="AO108" s="47">
        <v>307.5</v>
      </c>
      <c r="AP108" s="47" t="s">
        <v>61</v>
      </c>
      <c r="AQ108" s="33"/>
      <c r="AR108" s="33"/>
      <c r="AS108" s="33"/>
    </row>
    <row r="109" spans="1:45" ht="18.649999999999999" customHeight="1">
      <c r="A109" s="48"/>
      <c r="B109" s="30"/>
      <c r="C109" s="30"/>
      <c r="D109" s="48" t="s">
        <v>48</v>
      </c>
      <c r="E109" s="49" t="s">
        <v>425</v>
      </c>
      <c r="F109" s="49">
        <v>2000035069</v>
      </c>
      <c r="G109" s="33" t="s">
        <v>442</v>
      </c>
      <c r="H109" s="30">
        <v>90</v>
      </c>
      <c r="I109" s="30" t="s">
        <v>212</v>
      </c>
      <c r="J109" s="33"/>
      <c r="K109" s="30"/>
      <c r="L109" s="33"/>
      <c r="M109" s="34" t="s">
        <v>443</v>
      </c>
      <c r="N109" s="30" t="s">
        <v>428</v>
      </c>
      <c r="O109" s="30" t="s">
        <v>150</v>
      </c>
      <c r="P109" s="30"/>
      <c r="Q109" s="30">
        <v>83495970</v>
      </c>
      <c r="R109" s="30" t="s">
        <v>215</v>
      </c>
      <c r="S109" s="30" t="s">
        <v>429</v>
      </c>
      <c r="T109" s="36">
        <v>46054</v>
      </c>
      <c r="U109" s="37">
        <v>46046</v>
      </c>
      <c r="V109" s="51">
        <v>46054</v>
      </c>
      <c r="W109" s="52"/>
      <c r="X109" s="30" t="s">
        <v>209</v>
      </c>
      <c r="Y109" s="30">
        <v>0.5</v>
      </c>
      <c r="Z109" s="30"/>
      <c r="AA109" s="36">
        <v>46046</v>
      </c>
      <c r="AB109" s="94">
        <v>46060</v>
      </c>
      <c r="AC109" s="30"/>
      <c r="AD109" s="90" t="s">
        <v>430</v>
      </c>
      <c r="AE109" s="33"/>
      <c r="AF109" s="43">
        <v>46055</v>
      </c>
      <c r="AG109" s="43">
        <v>46050</v>
      </c>
      <c r="AH109" s="43">
        <v>46063</v>
      </c>
      <c r="AI109" s="43">
        <v>46064</v>
      </c>
      <c r="AJ109" s="43"/>
      <c r="AK109" s="44">
        <v>45945</v>
      </c>
      <c r="AL109" s="174">
        <v>318.14999999999998</v>
      </c>
      <c r="AM109" s="175">
        <v>46037</v>
      </c>
      <c r="AN109" s="176">
        <v>318.14999999999998</v>
      </c>
      <c r="AO109" s="47">
        <v>318.14999999999998</v>
      </c>
      <c r="AP109" s="47" t="s">
        <v>61</v>
      </c>
      <c r="AQ109" s="33"/>
      <c r="AR109" s="33"/>
      <c r="AS109" s="33"/>
    </row>
    <row r="110" spans="1:45" ht="18.649999999999999" customHeight="1">
      <c r="A110" s="48"/>
      <c r="B110" s="30"/>
      <c r="C110" s="30"/>
      <c r="D110" s="48" t="s">
        <v>48</v>
      </c>
      <c r="E110" s="49" t="s">
        <v>425</v>
      </c>
      <c r="F110" s="49">
        <v>2000035053</v>
      </c>
      <c r="G110" s="33" t="s">
        <v>444</v>
      </c>
      <c r="H110" s="30">
        <v>30</v>
      </c>
      <c r="I110" s="30" t="s">
        <v>212</v>
      </c>
      <c r="J110" s="33"/>
      <c r="K110" s="30"/>
      <c r="L110" s="33"/>
      <c r="M110" s="34" t="s">
        <v>427</v>
      </c>
      <c r="N110" s="30" t="s">
        <v>428</v>
      </c>
      <c r="O110" s="30" t="s">
        <v>150</v>
      </c>
      <c r="P110" s="30"/>
      <c r="Q110" s="30">
        <v>83495970</v>
      </c>
      <c r="R110" s="30" t="s">
        <v>215</v>
      </c>
      <c r="S110" s="30" t="s">
        <v>429</v>
      </c>
      <c r="T110" s="36">
        <v>46054</v>
      </c>
      <c r="U110" s="37">
        <v>46046</v>
      </c>
      <c r="V110" s="51">
        <v>46054</v>
      </c>
      <c r="W110" s="52"/>
      <c r="X110" s="30" t="s">
        <v>209</v>
      </c>
      <c r="Y110" s="30">
        <v>0.5</v>
      </c>
      <c r="Z110" s="30"/>
      <c r="AA110" s="36">
        <v>46046</v>
      </c>
      <c r="AB110" s="94">
        <v>46060</v>
      </c>
      <c r="AC110" s="30"/>
      <c r="AD110" s="90" t="s">
        <v>430</v>
      </c>
      <c r="AE110" s="33"/>
      <c r="AF110" s="43">
        <v>46055</v>
      </c>
      <c r="AG110" s="43">
        <v>46050</v>
      </c>
      <c r="AH110" s="43">
        <v>46063</v>
      </c>
      <c r="AI110" s="43">
        <v>46064</v>
      </c>
      <c r="AJ110" s="43"/>
      <c r="AK110" s="44">
        <v>45945</v>
      </c>
      <c r="AL110" s="174">
        <v>106.05</v>
      </c>
      <c r="AM110" s="175">
        <v>46037</v>
      </c>
      <c r="AN110" s="176">
        <v>106.05</v>
      </c>
      <c r="AO110" s="47">
        <v>106.05</v>
      </c>
      <c r="AP110" s="47" t="s">
        <v>61</v>
      </c>
      <c r="AQ110" s="33"/>
      <c r="AR110" s="33"/>
      <c r="AS110" s="33"/>
    </row>
    <row r="111" spans="1:45" ht="18.649999999999999" customHeight="1">
      <c r="A111" s="48"/>
      <c r="B111" s="30"/>
      <c r="C111" s="30"/>
      <c r="D111" s="48" t="s">
        <v>48</v>
      </c>
      <c r="E111" s="49" t="s">
        <v>425</v>
      </c>
      <c r="F111" s="49">
        <v>2000035065</v>
      </c>
      <c r="G111" s="33" t="s">
        <v>445</v>
      </c>
      <c r="H111" s="30">
        <v>60</v>
      </c>
      <c r="I111" s="30" t="s">
        <v>212</v>
      </c>
      <c r="J111" s="33"/>
      <c r="K111" s="30"/>
      <c r="L111" s="33"/>
      <c r="M111" s="34" t="s">
        <v>427</v>
      </c>
      <c r="N111" s="30" t="s">
        <v>428</v>
      </c>
      <c r="O111" s="30" t="s">
        <v>150</v>
      </c>
      <c r="P111" s="30"/>
      <c r="Q111" s="30">
        <v>83495970</v>
      </c>
      <c r="R111" s="30" t="s">
        <v>215</v>
      </c>
      <c r="S111" s="30" t="s">
        <v>429</v>
      </c>
      <c r="T111" s="36">
        <v>46054</v>
      </c>
      <c r="U111" s="37">
        <v>46046</v>
      </c>
      <c r="V111" s="51">
        <v>46054</v>
      </c>
      <c r="W111" s="52"/>
      <c r="X111" s="30" t="s">
        <v>209</v>
      </c>
      <c r="Y111" s="30">
        <v>0.5</v>
      </c>
      <c r="Z111" s="30"/>
      <c r="AA111" s="36">
        <v>46046</v>
      </c>
      <c r="AB111" s="94">
        <v>46060</v>
      </c>
      <c r="AC111" s="30"/>
      <c r="AD111" s="90" t="s">
        <v>430</v>
      </c>
      <c r="AE111" s="33"/>
      <c r="AF111" s="43">
        <v>46055</v>
      </c>
      <c r="AG111" s="43">
        <v>46050</v>
      </c>
      <c r="AH111" s="43">
        <v>46063</v>
      </c>
      <c r="AI111" s="43">
        <v>46064</v>
      </c>
      <c r="AJ111" s="43"/>
      <c r="AK111" s="44">
        <v>45945</v>
      </c>
      <c r="AL111" s="174">
        <v>212.1</v>
      </c>
      <c r="AM111" s="175">
        <v>46037</v>
      </c>
      <c r="AN111" s="176">
        <v>212.1</v>
      </c>
      <c r="AO111" s="47">
        <v>212.1</v>
      </c>
      <c r="AP111" s="47" t="s">
        <v>61</v>
      </c>
      <c r="AQ111" s="33"/>
      <c r="AR111" s="33"/>
      <c r="AS111" s="33"/>
    </row>
    <row r="112" spans="1:45" ht="18.649999999999999" customHeight="1">
      <c r="A112" s="48"/>
      <c r="B112" s="30"/>
      <c r="C112" s="30"/>
      <c r="D112" s="48" t="s">
        <v>48</v>
      </c>
      <c r="E112" s="49" t="s">
        <v>425</v>
      </c>
      <c r="F112" s="49">
        <v>2000035050</v>
      </c>
      <c r="G112" s="33" t="s">
        <v>446</v>
      </c>
      <c r="H112" s="30">
        <v>60</v>
      </c>
      <c r="I112" s="30" t="s">
        <v>212</v>
      </c>
      <c r="J112" s="33"/>
      <c r="K112" s="30"/>
      <c r="L112" s="33"/>
      <c r="M112" s="34" t="s">
        <v>427</v>
      </c>
      <c r="N112" s="30" t="s">
        <v>428</v>
      </c>
      <c r="O112" s="30" t="s">
        <v>150</v>
      </c>
      <c r="P112" s="30"/>
      <c r="Q112" s="30">
        <v>83495970</v>
      </c>
      <c r="R112" s="30" t="s">
        <v>215</v>
      </c>
      <c r="S112" s="30" t="s">
        <v>429</v>
      </c>
      <c r="T112" s="36">
        <v>46054</v>
      </c>
      <c r="U112" s="37">
        <v>46046</v>
      </c>
      <c r="V112" s="51">
        <v>46054</v>
      </c>
      <c r="W112" s="52"/>
      <c r="X112" s="30" t="s">
        <v>209</v>
      </c>
      <c r="Y112" s="30">
        <v>0.5</v>
      </c>
      <c r="Z112" s="30"/>
      <c r="AA112" s="36">
        <v>46046</v>
      </c>
      <c r="AB112" s="94">
        <v>46060</v>
      </c>
      <c r="AC112" s="30"/>
      <c r="AD112" s="90" t="s">
        <v>430</v>
      </c>
      <c r="AE112" s="33"/>
      <c r="AF112" s="43">
        <v>46055</v>
      </c>
      <c r="AG112" s="43">
        <v>46050</v>
      </c>
      <c r="AH112" s="43">
        <v>46063</v>
      </c>
      <c r="AI112" s="43">
        <v>46064</v>
      </c>
      <c r="AJ112" s="43"/>
      <c r="AK112" s="44">
        <v>45945</v>
      </c>
      <c r="AL112" s="174">
        <v>210.3</v>
      </c>
      <c r="AM112" s="175">
        <v>46037</v>
      </c>
      <c r="AN112" s="176">
        <v>210.3</v>
      </c>
      <c r="AO112" s="47">
        <v>210.3</v>
      </c>
      <c r="AP112" s="47" t="s">
        <v>61</v>
      </c>
      <c r="AQ112" s="33"/>
      <c r="AR112" s="33"/>
      <c r="AS112" s="33"/>
    </row>
    <row r="113" spans="1:45" ht="18.649999999999999" customHeight="1">
      <c r="A113" s="48"/>
      <c r="B113" s="30"/>
      <c r="C113" s="30"/>
      <c r="D113" s="48" t="s">
        <v>48</v>
      </c>
      <c r="E113" s="49" t="s">
        <v>425</v>
      </c>
      <c r="F113" s="49">
        <v>2000035066</v>
      </c>
      <c r="G113" s="33" t="s">
        <v>447</v>
      </c>
      <c r="H113" s="30">
        <v>30</v>
      </c>
      <c r="I113" s="30" t="s">
        <v>212</v>
      </c>
      <c r="J113" s="33"/>
      <c r="K113" s="30"/>
      <c r="L113" s="33"/>
      <c r="M113" s="34" t="s">
        <v>427</v>
      </c>
      <c r="N113" s="30" t="s">
        <v>428</v>
      </c>
      <c r="O113" s="30" t="s">
        <v>150</v>
      </c>
      <c r="P113" s="30"/>
      <c r="Q113" s="30">
        <v>83495970</v>
      </c>
      <c r="R113" s="30" t="s">
        <v>215</v>
      </c>
      <c r="S113" s="30" t="s">
        <v>429</v>
      </c>
      <c r="T113" s="36">
        <v>46054</v>
      </c>
      <c r="U113" s="37">
        <v>46046</v>
      </c>
      <c r="V113" s="51">
        <v>46054</v>
      </c>
      <c r="W113" s="52"/>
      <c r="X113" s="30" t="s">
        <v>209</v>
      </c>
      <c r="Y113" s="30">
        <v>0.5</v>
      </c>
      <c r="Z113" s="30"/>
      <c r="AA113" s="36">
        <v>46046</v>
      </c>
      <c r="AB113" s="94">
        <v>46060</v>
      </c>
      <c r="AC113" s="30"/>
      <c r="AD113" s="90" t="s">
        <v>430</v>
      </c>
      <c r="AE113" s="33"/>
      <c r="AF113" s="43">
        <v>46055</v>
      </c>
      <c r="AG113" s="43">
        <v>46050</v>
      </c>
      <c r="AH113" s="43">
        <v>46063</v>
      </c>
      <c r="AI113" s="43">
        <v>46064</v>
      </c>
      <c r="AJ113" s="43"/>
      <c r="AK113" s="44">
        <v>45945</v>
      </c>
      <c r="AL113" s="174">
        <v>105.15</v>
      </c>
      <c r="AM113" s="175">
        <v>46037</v>
      </c>
      <c r="AN113" s="176">
        <v>105.15</v>
      </c>
      <c r="AO113" s="47">
        <v>105.15</v>
      </c>
      <c r="AP113" s="47" t="s">
        <v>61</v>
      </c>
      <c r="AQ113" s="33"/>
      <c r="AR113" s="33"/>
      <c r="AS113" s="33"/>
    </row>
    <row r="114" spans="1:45" ht="18.649999999999999" customHeight="1">
      <c r="A114" s="48"/>
      <c r="B114" s="30"/>
      <c r="C114" s="30"/>
      <c r="D114" s="48" t="s">
        <v>48</v>
      </c>
      <c r="E114" s="49" t="s">
        <v>425</v>
      </c>
      <c r="F114" s="49">
        <v>2000001756</v>
      </c>
      <c r="G114" s="33" t="s">
        <v>448</v>
      </c>
      <c r="H114" s="30">
        <v>8</v>
      </c>
      <c r="I114" s="30" t="s">
        <v>212</v>
      </c>
      <c r="J114" s="33"/>
      <c r="K114" s="30"/>
      <c r="L114" s="33"/>
      <c r="M114" s="34" t="s">
        <v>443</v>
      </c>
      <c r="N114" s="30" t="s">
        <v>428</v>
      </c>
      <c r="O114" s="30" t="s">
        <v>150</v>
      </c>
      <c r="P114" s="30"/>
      <c r="Q114" s="30">
        <v>83495970</v>
      </c>
      <c r="R114" s="30" t="s">
        <v>215</v>
      </c>
      <c r="S114" s="30" t="s">
        <v>429</v>
      </c>
      <c r="T114" s="36">
        <v>46054</v>
      </c>
      <c r="U114" s="37">
        <v>46046</v>
      </c>
      <c r="V114" s="51">
        <v>46054</v>
      </c>
      <c r="W114" s="52"/>
      <c r="X114" s="30" t="s">
        <v>209</v>
      </c>
      <c r="Y114" s="30">
        <v>0.5</v>
      </c>
      <c r="Z114" s="30"/>
      <c r="AA114" s="36">
        <v>46046</v>
      </c>
      <c r="AB114" s="94">
        <v>46060</v>
      </c>
      <c r="AC114" s="30"/>
      <c r="AD114" s="90" t="s">
        <v>430</v>
      </c>
      <c r="AE114" s="33"/>
      <c r="AF114" s="43">
        <v>46055</v>
      </c>
      <c r="AG114" s="43">
        <v>46050</v>
      </c>
      <c r="AH114" s="43">
        <v>46063</v>
      </c>
      <c r="AI114" s="43">
        <v>46064</v>
      </c>
      <c r="AJ114" s="43"/>
      <c r="AK114" s="44">
        <v>45945</v>
      </c>
      <c r="AL114" s="174">
        <v>52.04</v>
      </c>
      <c r="AM114" s="175">
        <v>46037</v>
      </c>
      <c r="AN114" s="176">
        <v>52.04</v>
      </c>
      <c r="AO114" s="47">
        <v>52.04</v>
      </c>
      <c r="AP114" s="47" t="s">
        <v>61</v>
      </c>
      <c r="AQ114" s="33"/>
      <c r="AR114" s="33"/>
      <c r="AS114" s="33"/>
    </row>
    <row r="115" spans="1:45" ht="18.649999999999999" customHeight="1">
      <c r="A115" s="48"/>
      <c r="B115" s="30"/>
      <c r="C115" s="30"/>
      <c r="D115" s="48" t="s">
        <v>48</v>
      </c>
      <c r="E115" s="49" t="s">
        <v>425</v>
      </c>
      <c r="F115" s="49">
        <v>2000020288</v>
      </c>
      <c r="G115" s="33" t="s">
        <v>449</v>
      </c>
      <c r="H115" s="30">
        <v>8</v>
      </c>
      <c r="I115" s="30" t="s">
        <v>212</v>
      </c>
      <c r="J115" s="33"/>
      <c r="K115" s="30"/>
      <c r="L115" s="33"/>
      <c r="M115" s="34" t="s">
        <v>443</v>
      </c>
      <c r="N115" s="30" t="s">
        <v>428</v>
      </c>
      <c r="O115" s="30" t="s">
        <v>150</v>
      </c>
      <c r="P115" s="30"/>
      <c r="Q115" s="30">
        <v>83495970</v>
      </c>
      <c r="R115" s="30" t="s">
        <v>215</v>
      </c>
      <c r="S115" s="30" t="s">
        <v>429</v>
      </c>
      <c r="T115" s="36">
        <v>46054</v>
      </c>
      <c r="U115" s="37">
        <v>46046</v>
      </c>
      <c r="V115" s="51">
        <v>46054</v>
      </c>
      <c r="W115" s="52"/>
      <c r="X115" s="30" t="s">
        <v>209</v>
      </c>
      <c r="Y115" s="30">
        <v>0.5</v>
      </c>
      <c r="Z115" s="30"/>
      <c r="AA115" s="36">
        <v>46046</v>
      </c>
      <c r="AB115" s="94">
        <v>46060</v>
      </c>
      <c r="AC115" s="30"/>
      <c r="AD115" s="90" t="s">
        <v>430</v>
      </c>
      <c r="AE115" s="33"/>
      <c r="AF115" s="43">
        <v>46055</v>
      </c>
      <c r="AG115" s="43">
        <v>46050</v>
      </c>
      <c r="AH115" s="43">
        <v>46063</v>
      </c>
      <c r="AI115" s="43">
        <v>46064</v>
      </c>
      <c r="AJ115" s="43"/>
      <c r="AK115" s="44">
        <v>45945</v>
      </c>
      <c r="AL115" s="174">
        <v>52.04</v>
      </c>
      <c r="AM115" s="175">
        <v>46037</v>
      </c>
      <c r="AN115" s="176">
        <v>52.04</v>
      </c>
      <c r="AO115" s="47">
        <v>52.04</v>
      </c>
      <c r="AP115" s="47" t="s">
        <v>61</v>
      </c>
      <c r="AQ115" s="33"/>
      <c r="AR115" s="33"/>
      <c r="AS115" s="33"/>
    </row>
    <row r="116" spans="1:45" ht="18.649999999999999" customHeight="1">
      <c r="A116" s="48"/>
      <c r="B116" s="30"/>
      <c r="C116" s="30"/>
      <c r="D116" s="48" t="s">
        <v>48</v>
      </c>
      <c r="E116" s="49" t="s">
        <v>425</v>
      </c>
      <c r="F116" s="49">
        <v>2000005208</v>
      </c>
      <c r="G116" s="33" t="s">
        <v>450</v>
      </c>
      <c r="H116" s="30">
        <v>8</v>
      </c>
      <c r="I116" s="30" t="s">
        <v>212</v>
      </c>
      <c r="J116" s="33"/>
      <c r="K116" s="30"/>
      <c r="L116" s="33"/>
      <c r="M116" s="34" t="s">
        <v>443</v>
      </c>
      <c r="N116" s="30" t="s">
        <v>428</v>
      </c>
      <c r="O116" s="30" t="s">
        <v>150</v>
      </c>
      <c r="P116" s="30"/>
      <c r="Q116" s="30">
        <v>83495970</v>
      </c>
      <c r="R116" s="30" t="s">
        <v>215</v>
      </c>
      <c r="S116" s="30" t="s">
        <v>429</v>
      </c>
      <c r="T116" s="36">
        <v>46054</v>
      </c>
      <c r="U116" s="37">
        <v>46046</v>
      </c>
      <c r="V116" s="51">
        <v>46054</v>
      </c>
      <c r="W116" s="52"/>
      <c r="X116" s="30" t="s">
        <v>209</v>
      </c>
      <c r="Y116" s="30">
        <v>0.5</v>
      </c>
      <c r="Z116" s="30"/>
      <c r="AA116" s="36">
        <v>46046</v>
      </c>
      <c r="AB116" s="94">
        <v>46060</v>
      </c>
      <c r="AC116" s="30"/>
      <c r="AD116" s="90" t="s">
        <v>430</v>
      </c>
      <c r="AE116" s="33"/>
      <c r="AF116" s="43">
        <v>46055</v>
      </c>
      <c r="AG116" s="43">
        <v>46050</v>
      </c>
      <c r="AH116" s="43">
        <v>46063</v>
      </c>
      <c r="AI116" s="43">
        <v>46064</v>
      </c>
      <c r="AJ116" s="43"/>
      <c r="AK116" s="44">
        <v>45945</v>
      </c>
      <c r="AL116" s="174">
        <v>52.04</v>
      </c>
      <c r="AM116" s="175">
        <v>46037</v>
      </c>
      <c r="AN116" s="176">
        <v>52.04</v>
      </c>
      <c r="AO116" s="47">
        <v>52.04</v>
      </c>
      <c r="AP116" s="47" t="s">
        <v>61</v>
      </c>
      <c r="AQ116" s="33"/>
      <c r="AR116" s="33"/>
      <c r="AS116" s="33"/>
    </row>
    <row r="117" spans="1:45" ht="18.649999999999999" customHeight="1">
      <c r="A117" s="48"/>
      <c r="B117" s="30"/>
      <c r="C117" s="30"/>
      <c r="D117" s="48" t="s">
        <v>48</v>
      </c>
      <c r="E117" s="49" t="s">
        <v>425</v>
      </c>
      <c r="F117" s="49">
        <v>2000001964</v>
      </c>
      <c r="G117" s="33" t="s">
        <v>451</v>
      </c>
      <c r="H117" s="30">
        <v>8</v>
      </c>
      <c r="I117" s="30" t="s">
        <v>212</v>
      </c>
      <c r="J117" s="33"/>
      <c r="K117" s="30"/>
      <c r="L117" s="33"/>
      <c r="M117" s="34" t="s">
        <v>443</v>
      </c>
      <c r="N117" s="30" t="s">
        <v>428</v>
      </c>
      <c r="O117" s="30" t="s">
        <v>150</v>
      </c>
      <c r="P117" s="30"/>
      <c r="Q117" s="30">
        <v>83495970</v>
      </c>
      <c r="R117" s="30" t="s">
        <v>215</v>
      </c>
      <c r="S117" s="30" t="s">
        <v>429</v>
      </c>
      <c r="T117" s="36">
        <v>46054</v>
      </c>
      <c r="U117" s="37">
        <v>46046</v>
      </c>
      <c r="V117" s="51">
        <v>46054</v>
      </c>
      <c r="W117" s="52"/>
      <c r="X117" s="30" t="s">
        <v>209</v>
      </c>
      <c r="Y117" s="30">
        <v>0.5</v>
      </c>
      <c r="Z117" s="30"/>
      <c r="AA117" s="36">
        <v>46046</v>
      </c>
      <c r="AB117" s="94">
        <v>46060</v>
      </c>
      <c r="AC117" s="30"/>
      <c r="AD117" s="90" t="s">
        <v>430</v>
      </c>
      <c r="AE117" s="33"/>
      <c r="AF117" s="43">
        <v>46055</v>
      </c>
      <c r="AG117" s="43">
        <v>46050</v>
      </c>
      <c r="AH117" s="43">
        <v>46063</v>
      </c>
      <c r="AI117" s="43">
        <v>46064</v>
      </c>
      <c r="AJ117" s="43"/>
      <c r="AK117" s="44">
        <v>45945</v>
      </c>
      <c r="AL117" s="174">
        <v>52.04</v>
      </c>
      <c r="AM117" s="175">
        <v>46037</v>
      </c>
      <c r="AN117" s="176">
        <v>52.04</v>
      </c>
      <c r="AO117" s="47">
        <v>52.04</v>
      </c>
      <c r="AP117" s="47" t="s">
        <v>61</v>
      </c>
      <c r="AQ117" s="33"/>
      <c r="AR117" s="33"/>
      <c r="AS117" s="33"/>
    </row>
    <row r="118" spans="1:45" ht="18.649999999999999" customHeight="1">
      <c r="A118" s="48"/>
      <c r="B118" s="30"/>
      <c r="C118" s="30"/>
      <c r="D118" s="48" t="s">
        <v>48</v>
      </c>
      <c r="E118" s="49" t="s">
        <v>425</v>
      </c>
      <c r="F118" s="49">
        <v>2000013692</v>
      </c>
      <c r="G118" s="33" t="s">
        <v>452</v>
      </c>
      <c r="H118" s="30">
        <v>180</v>
      </c>
      <c r="I118" s="30" t="s">
        <v>212</v>
      </c>
      <c r="J118" s="33"/>
      <c r="K118" s="30"/>
      <c r="L118" s="33"/>
      <c r="M118" s="34" t="s">
        <v>427</v>
      </c>
      <c r="N118" s="30" t="s">
        <v>428</v>
      </c>
      <c r="O118" s="30" t="s">
        <v>150</v>
      </c>
      <c r="P118" s="30"/>
      <c r="Q118" s="30">
        <v>83495970</v>
      </c>
      <c r="R118" s="30" t="s">
        <v>215</v>
      </c>
      <c r="S118" s="30" t="s">
        <v>429</v>
      </c>
      <c r="T118" s="36">
        <v>46054</v>
      </c>
      <c r="U118" s="37">
        <v>46046</v>
      </c>
      <c r="V118" s="51">
        <v>46054</v>
      </c>
      <c r="W118" s="52"/>
      <c r="X118" s="30" t="s">
        <v>209</v>
      </c>
      <c r="Y118" s="30">
        <v>0.5</v>
      </c>
      <c r="Z118" s="30"/>
      <c r="AA118" s="36">
        <v>46046</v>
      </c>
      <c r="AB118" s="94">
        <v>46060</v>
      </c>
      <c r="AC118" s="30"/>
      <c r="AD118" s="90" t="s">
        <v>430</v>
      </c>
      <c r="AE118" s="33"/>
      <c r="AF118" s="43">
        <v>46055</v>
      </c>
      <c r="AG118" s="43">
        <v>46050</v>
      </c>
      <c r="AH118" s="43">
        <v>46063</v>
      </c>
      <c r="AI118" s="43">
        <v>46064</v>
      </c>
      <c r="AJ118" s="43"/>
      <c r="AK118" s="44">
        <v>45945</v>
      </c>
      <c r="AL118" s="174">
        <v>454.5</v>
      </c>
      <c r="AM118" s="175">
        <v>46037</v>
      </c>
      <c r="AN118" s="176">
        <v>454.5</v>
      </c>
      <c r="AO118" s="47">
        <v>454.5</v>
      </c>
      <c r="AP118" s="47" t="s">
        <v>61</v>
      </c>
      <c r="AQ118" s="33"/>
      <c r="AR118" s="33"/>
      <c r="AS118" s="33"/>
    </row>
    <row r="119" spans="1:45" ht="18.649999999999999" customHeight="1">
      <c r="A119" s="48"/>
      <c r="B119" s="30"/>
      <c r="C119" s="30"/>
      <c r="D119" s="48" t="s">
        <v>48</v>
      </c>
      <c r="E119" s="49" t="s">
        <v>425</v>
      </c>
      <c r="F119" s="49">
        <v>2000006551</v>
      </c>
      <c r="G119" s="33" t="s">
        <v>453</v>
      </c>
      <c r="H119" s="30">
        <v>1500</v>
      </c>
      <c r="I119" s="30" t="s">
        <v>212</v>
      </c>
      <c r="J119" s="33"/>
      <c r="K119" s="30"/>
      <c r="L119" s="33"/>
      <c r="M119" s="34" t="s">
        <v>443</v>
      </c>
      <c r="N119" s="30" t="s">
        <v>428</v>
      </c>
      <c r="O119" s="30" t="s">
        <v>150</v>
      </c>
      <c r="P119" s="30"/>
      <c r="Q119" s="30">
        <v>83495970</v>
      </c>
      <c r="R119" s="30" t="s">
        <v>215</v>
      </c>
      <c r="S119" s="30" t="s">
        <v>429</v>
      </c>
      <c r="T119" s="36">
        <v>46054</v>
      </c>
      <c r="U119" s="37">
        <v>46046</v>
      </c>
      <c r="V119" s="51">
        <v>46054</v>
      </c>
      <c r="W119" s="52"/>
      <c r="X119" s="30" t="s">
        <v>209</v>
      </c>
      <c r="Y119" s="30">
        <v>0.5</v>
      </c>
      <c r="Z119" s="30"/>
      <c r="AA119" s="36">
        <v>46046</v>
      </c>
      <c r="AB119" s="94">
        <v>46060</v>
      </c>
      <c r="AC119" s="30"/>
      <c r="AD119" s="90" t="s">
        <v>430</v>
      </c>
      <c r="AE119" s="33"/>
      <c r="AF119" s="43">
        <v>46055</v>
      </c>
      <c r="AG119" s="43">
        <v>46050</v>
      </c>
      <c r="AH119" s="43">
        <v>46063</v>
      </c>
      <c r="AI119" s="43">
        <v>46064</v>
      </c>
      <c r="AJ119" s="43"/>
      <c r="AK119" s="44">
        <v>45945</v>
      </c>
      <c r="AL119" s="174">
        <v>645</v>
      </c>
      <c r="AM119" s="175">
        <v>46037</v>
      </c>
      <c r="AN119" s="176">
        <v>645</v>
      </c>
      <c r="AO119" s="47">
        <v>645</v>
      </c>
      <c r="AP119" s="47" t="s">
        <v>61</v>
      </c>
      <c r="AQ119" s="33"/>
      <c r="AR119" s="33"/>
      <c r="AS119" s="33"/>
    </row>
    <row r="120" spans="1:45" ht="18.649999999999999" customHeight="1">
      <c r="A120" s="48"/>
      <c r="B120" s="30"/>
      <c r="C120" s="30"/>
      <c r="D120" s="48" t="s">
        <v>48</v>
      </c>
      <c r="E120" s="49" t="s">
        <v>425</v>
      </c>
      <c r="F120" s="49">
        <v>2000003026</v>
      </c>
      <c r="G120" s="33" t="s">
        <v>454</v>
      </c>
      <c r="H120" s="30">
        <v>88</v>
      </c>
      <c r="I120" s="30" t="s">
        <v>212</v>
      </c>
      <c r="J120" s="33"/>
      <c r="K120" s="30"/>
      <c r="L120" s="33"/>
      <c r="M120" s="34" t="s">
        <v>427</v>
      </c>
      <c r="N120" s="30" t="s">
        <v>428</v>
      </c>
      <c r="O120" s="30" t="s">
        <v>150</v>
      </c>
      <c r="P120" s="30"/>
      <c r="Q120" s="30">
        <v>83495970</v>
      </c>
      <c r="R120" s="30" t="s">
        <v>215</v>
      </c>
      <c r="S120" s="30" t="s">
        <v>429</v>
      </c>
      <c r="T120" s="36">
        <v>46054</v>
      </c>
      <c r="U120" s="37">
        <v>46046</v>
      </c>
      <c r="V120" s="51">
        <v>46054</v>
      </c>
      <c r="W120" s="52"/>
      <c r="X120" s="30" t="s">
        <v>209</v>
      </c>
      <c r="Y120" s="30">
        <v>0.5</v>
      </c>
      <c r="Z120" s="30"/>
      <c r="AA120" s="36">
        <v>46046</v>
      </c>
      <c r="AB120" s="94">
        <v>46060</v>
      </c>
      <c r="AC120" s="30"/>
      <c r="AD120" s="90" t="s">
        <v>430</v>
      </c>
      <c r="AE120" s="33"/>
      <c r="AF120" s="43">
        <v>46055</v>
      </c>
      <c r="AG120" s="43">
        <v>46050</v>
      </c>
      <c r="AH120" s="43">
        <v>46063</v>
      </c>
      <c r="AI120" s="43">
        <v>46064</v>
      </c>
      <c r="AJ120" s="43"/>
      <c r="AK120" s="44">
        <v>45945</v>
      </c>
      <c r="AL120" s="174">
        <v>275.44</v>
      </c>
      <c r="AM120" s="175">
        <v>46037</v>
      </c>
      <c r="AN120" s="176">
        <v>275.44</v>
      </c>
      <c r="AO120" s="47">
        <v>275.44</v>
      </c>
      <c r="AP120" s="47" t="s">
        <v>61</v>
      </c>
      <c r="AQ120" s="33"/>
      <c r="AR120" s="33"/>
      <c r="AS120" s="33"/>
    </row>
    <row r="121" spans="1:45" ht="18.649999999999999" customHeight="1">
      <c r="A121" s="48"/>
      <c r="B121" s="30"/>
      <c r="C121" s="30"/>
      <c r="D121" s="48" t="s">
        <v>48</v>
      </c>
      <c r="E121" s="49" t="s">
        <v>425</v>
      </c>
      <c r="F121" s="49">
        <v>2000006221</v>
      </c>
      <c r="G121" s="33" t="s">
        <v>455</v>
      </c>
      <c r="H121" s="30">
        <v>132</v>
      </c>
      <c r="I121" s="30" t="s">
        <v>212</v>
      </c>
      <c r="J121" s="33"/>
      <c r="K121" s="30"/>
      <c r="L121" s="33"/>
      <c r="M121" s="34" t="s">
        <v>427</v>
      </c>
      <c r="N121" s="30" t="s">
        <v>428</v>
      </c>
      <c r="O121" s="30" t="s">
        <v>150</v>
      </c>
      <c r="P121" s="30"/>
      <c r="Q121" s="30">
        <v>83495970</v>
      </c>
      <c r="R121" s="30" t="s">
        <v>215</v>
      </c>
      <c r="S121" s="30" t="s">
        <v>429</v>
      </c>
      <c r="T121" s="36">
        <v>46054</v>
      </c>
      <c r="U121" s="37">
        <v>46046</v>
      </c>
      <c r="V121" s="51">
        <v>46054</v>
      </c>
      <c r="W121" s="52"/>
      <c r="X121" s="30" t="s">
        <v>209</v>
      </c>
      <c r="Y121" s="30">
        <v>0.5</v>
      </c>
      <c r="Z121" s="30"/>
      <c r="AA121" s="36">
        <v>46046</v>
      </c>
      <c r="AB121" s="94">
        <v>46060</v>
      </c>
      <c r="AC121" s="30"/>
      <c r="AD121" s="90" t="s">
        <v>430</v>
      </c>
      <c r="AE121" s="33"/>
      <c r="AF121" s="43">
        <v>46055</v>
      </c>
      <c r="AG121" s="43">
        <v>46050</v>
      </c>
      <c r="AH121" s="43">
        <v>46063</v>
      </c>
      <c r="AI121" s="43">
        <v>46064</v>
      </c>
      <c r="AJ121" s="43"/>
      <c r="AK121" s="44">
        <v>45945</v>
      </c>
      <c r="AL121" s="174">
        <v>413.16</v>
      </c>
      <c r="AM121" s="175">
        <v>46037</v>
      </c>
      <c r="AN121" s="176">
        <v>413.16</v>
      </c>
      <c r="AO121" s="47">
        <v>413.16</v>
      </c>
      <c r="AP121" s="47" t="s">
        <v>61</v>
      </c>
      <c r="AQ121" s="33"/>
      <c r="AR121" s="33"/>
      <c r="AS121" s="33"/>
    </row>
    <row r="122" spans="1:45" ht="18.649999999999999" customHeight="1">
      <c r="A122" s="48"/>
      <c r="B122" s="30"/>
      <c r="C122" s="30"/>
      <c r="D122" s="48" t="s">
        <v>48</v>
      </c>
      <c r="E122" s="49" t="s">
        <v>425</v>
      </c>
      <c r="F122" s="49">
        <v>2000016237</v>
      </c>
      <c r="G122" s="33" t="s">
        <v>456</v>
      </c>
      <c r="H122" s="30">
        <v>46</v>
      </c>
      <c r="I122" s="30" t="s">
        <v>212</v>
      </c>
      <c r="J122" s="33"/>
      <c r="K122" s="30"/>
      <c r="L122" s="33"/>
      <c r="M122" s="34" t="s">
        <v>443</v>
      </c>
      <c r="N122" s="30" t="s">
        <v>428</v>
      </c>
      <c r="O122" s="30" t="s">
        <v>150</v>
      </c>
      <c r="P122" s="30"/>
      <c r="Q122" s="30">
        <v>83495970</v>
      </c>
      <c r="R122" s="30" t="s">
        <v>215</v>
      </c>
      <c r="S122" s="30" t="s">
        <v>429</v>
      </c>
      <c r="T122" s="36">
        <v>46054</v>
      </c>
      <c r="U122" s="37">
        <v>46046</v>
      </c>
      <c r="V122" s="51">
        <v>46054</v>
      </c>
      <c r="W122" s="52"/>
      <c r="X122" s="30" t="s">
        <v>209</v>
      </c>
      <c r="Y122" s="30">
        <v>0.5</v>
      </c>
      <c r="Z122" s="30"/>
      <c r="AA122" s="36">
        <v>46046</v>
      </c>
      <c r="AB122" s="94">
        <v>46060</v>
      </c>
      <c r="AC122" s="30"/>
      <c r="AD122" s="90" t="s">
        <v>430</v>
      </c>
      <c r="AE122" s="33"/>
      <c r="AF122" s="43">
        <v>46055</v>
      </c>
      <c r="AG122" s="43">
        <v>46050</v>
      </c>
      <c r="AH122" s="43">
        <v>46063</v>
      </c>
      <c r="AI122" s="43">
        <v>46064</v>
      </c>
      <c r="AJ122" s="43"/>
      <c r="AK122" s="44">
        <v>45945</v>
      </c>
      <c r="AL122" s="174">
        <v>126.73</v>
      </c>
      <c r="AM122" s="175">
        <v>46037</v>
      </c>
      <c r="AN122" s="176">
        <v>126.73</v>
      </c>
      <c r="AO122" s="47">
        <v>126.73</v>
      </c>
      <c r="AP122" s="47" t="s">
        <v>61</v>
      </c>
      <c r="AQ122" s="33"/>
      <c r="AR122" s="33"/>
      <c r="AS122" s="33"/>
    </row>
    <row r="123" spans="1:45" ht="18.649999999999999" customHeight="1">
      <c r="A123" s="48"/>
      <c r="B123" s="30"/>
      <c r="C123" s="30"/>
      <c r="D123" s="48" t="s">
        <v>48</v>
      </c>
      <c r="E123" s="49" t="s">
        <v>425</v>
      </c>
      <c r="F123" s="49">
        <v>2000018114</v>
      </c>
      <c r="G123" s="33" t="s">
        <v>457</v>
      </c>
      <c r="H123" s="30">
        <v>184</v>
      </c>
      <c r="I123" s="30" t="s">
        <v>212</v>
      </c>
      <c r="J123" s="33"/>
      <c r="K123" s="30"/>
      <c r="L123" s="33"/>
      <c r="M123" s="34" t="s">
        <v>427</v>
      </c>
      <c r="N123" s="30" t="s">
        <v>428</v>
      </c>
      <c r="O123" s="30" t="s">
        <v>150</v>
      </c>
      <c r="P123" s="30"/>
      <c r="Q123" s="30">
        <v>83495970</v>
      </c>
      <c r="R123" s="30" t="s">
        <v>215</v>
      </c>
      <c r="S123" s="30" t="s">
        <v>429</v>
      </c>
      <c r="T123" s="36">
        <v>46054</v>
      </c>
      <c r="U123" s="37">
        <v>46046</v>
      </c>
      <c r="V123" s="51">
        <v>46054</v>
      </c>
      <c r="W123" s="52"/>
      <c r="X123" s="30" t="s">
        <v>209</v>
      </c>
      <c r="Y123" s="30">
        <v>0.5</v>
      </c>
      <c r="Z123" s="30"/>
      <c r="AA123" s="36">
        <v>46046</v>
      </c>
      <c r="AB123" s="94">
        <v>46060</v>
      </c>
      <c r="AC123" s="30"/>
      <c r="AD123" s="90" t="s">
        <v>430</v>
      </c>
      <c r="AE123" s="33"/>
      <c r="AF123" s="43">
        <v>46055</v>
      </c>
      <c r="AG123" s="43">
        <v>46050</v>
      </c>
      <c r="AH123" s="43">
        <v>46063</v>
      </c>
      <c r="AI123" s="43">
        <v>46064</v>
      </c>
      <c r="AJ123" s="43"/>
      <c r="AK123" s="44">
        <v>45945</v>
      </c>
      <c r="AL123" s="174">
        <v>138.91999999999999</v>
      </c>
      <c r="AM123" s="175">
        <v>46037</v>
      </c>
      <c r="AN123" s="176">
        <v>138.91999999999999</v>
      </c>
      <c r="AO123" s="47">
        <v>138.91999999999999</v>
      </c>
      <c r="AP123" s="47" t="s">
        <v>61</v>
      </c>
      <c r="AQ123" s="33"/>
      <c r="AR123" s="33"/>
      <c r="AS123" s="33"/>
    </row>
    <row r="124" spans="1:45" ht="18.649999999999999" customHeight="1">
      <c r="A124" s="48"/>
      <c r="B124" s="30"/>
      <c r="C124" s="30"/>
      <c r="D124" s="48" t="s">
        <v>48</v>
      </c>
      <c r="E124" s="49" t="s">
        <v>425</v>
      </c>
      <c r="F124" s="49">
        <v>2000015987</v>
      </c>
      <c r="G124" s="33" t="s">
        <v>458</v>
      </c>
      <c r="H124" s="30">
        <v>480</v>
      </c>
      <c r="I124" s="30" t="s">
        <v>212</v>
      </c>
      <c r="J124" s="33"/>
      <c r="K124" s="30"/>
      <c r="L124" s="33"/>
      <c r="M124" s="34" t="s">
        <v>427</v>
      </c>
      <c r="N124" s="30" t="s">
        <v>428</v>
      </c>
      <c r="O124" s="30" t="s">
        <v>150</v>
      </c>
      <c r="P124" s="30"/>
      <c r="Q124" s="30">
        <v>83495970</v>
      </c>
      <c r="R124" s="30" t="s">
        <v>215</v>
      </c>
      <c r="S124" s="30" t="s">
        <v>429</v>
      </c>
      <c r="T124" s="36">
        <v>46054</v>
      </c>
      <c r="U124" s="37">
        <v>46046</v>
      </c>
      <c r="V124" s="51">
        <v>46054</v>
      </c>
      <c r="W124" s="52"/>
      <c r="X124" s="30" t="s">
        <v>209</v>
      </c>
      <c r="Y124" s="30">
        <v>0.5</v>
      </c>
      <c r="Z124" s="30"/>
      <c r="AA124" s="36">
        <v>46046</v>
      </c>
      <c r="AB124" s="94">
        <v>46060</v>
      </c>
      <c r="AC124" s="30"/>
      <c r="AD124" s="90" t="s">
        <v>430</v>
      </c>
      <c r="AE124" s="33"/>
      <c r="AF124" s="43">
        <v>46055</v>
      </c>
      <c r="AG124" s="43">
        <v>46050</v>
      </c>
      <c r="AH124" s="43">
        <v>46063</v>
      </c>
      <c r="AI124" s="43">
        <v>46064</v>
      </c>
      <c r="AJ124" s="43"/>
      <c r="AK124" s="44">
        <v>45945</v>
      </c>
      <c r="AL124" s="174">
        <v>367.2</v>
      </c>
      <c r="AM124" s="175">
        <v>46037</v>
      </c>
      <c r="AN124" s="176">
        <v>367.2</v>
      </c>
      <c r="AO124" s="47">
        <v>367.2</v>
      </c>
      <c r="AP124" s="47" t="s">
        <v>61</v>
      </c>
      <c r="AQ124" s="33"/>
      <c r="AR124" s="33"/>
      <c r="AS124" s="33"/>
    </row>
    <row r="125" spans="1:45" ht="18.649999999999999" customHeight="1">
      <c r="A125" s="48"/>
      <c r="B125" s="30"/>
      <c r="C125" s="30"/>
      <c r="D125" s="48" t="s">
        <v>48</v>
      </c>
      <c r="E125" s="49" t="s">
        <v>425</v>
      </c>
      <c r="F125" s="49">
        <v>2000011668</v>
      </c>
      <c r="G125" s="33" t="s">
        <v>459</v>
      </c>
      <c r="H125" s="30">
        <v>135</v>
      </c>
      <c r="I125" s="30" t="s">
        <v>212</v>
      </c>
      <c r="J125" s="33"/>
      <c r="K125" s="30"/>
      <c r="L125" s="33"/>
      <c r="M125" s="34" t="s">
        <v>427</v>
      </c>
      <c r="N125" s="30" t="s">
        <v>428</v>
      </c>
      <c r="O125" s="30" t="s">
        <v>150</v>
      </c>
      <c r="P125" s="30"/>
      <c r="Q125" s="30">
        <v>83495970</v>
      </c>
      <c r="R125" s="30" t="s">
        <v>215</v>
      </c>
      <c r="S125" s="30" t="s">
        <v>429</v>
      </c>
      <c r="T125" s="36">
        <v>46054</v>
      </c>
      <c r="U125" s="37">
        <v>46046</v>
      </c>
      <c r="V125" s="51">
        <v>46054</v>
      </c>
      <c r="W125" s="52"/>
      <c r="X125" s="30" t="s">
        <v>209</v>
      </c>
      <c r="Y125" s="30">
        <v>0.5</v>
      </c>
      <c r="Z125" s="30"/>
      <c r="AA125" s="36">
        <v>46046</v>
      </c>
      <c r="AB125" s="94">
        <v>46060</v>
      </c>
      <c r="AC125" s="30"/>
      <c r="AD125" s="90" t="s">
        <v>430</v>
      </c>
      <c r="AE125" s="33"/>
      <c r="AF125" s="43">
        <v>46055</v>
      </c>
      <c r="AG125" s="43">
        <v>46050</v>
      </c>
      <c r="AH125" s="43">
        <v>46063</v>
      </c>
      <c r="AI125" s="43">
        <v>46064</v>
      </c>
      <c r="AJ125" s="43"/>
      <c r="AK125" s="44">
        <v>45945</v>
      </c>
      <c r="AL125" s="174">
        <v>103.27500000000001</v>
      </c>
      <c r="AM125" s="175">
        <v>46037</v>
      </c>
      <c r="AN125" s="176">
        <v>103.27500000000001</v>
      </c>
      <c r="AO125" s="47">
        <v>103.27500000000001</v>
      </c>
      <c r="AP125" s="47" t="s">
        <v>61</v>
      </c>
      <c r="AQ125" s="33"/>
      <c r="AR125" s="33"/>
      <c r="AS125" s="33"/>
    </row>
    <row r="126" spans="1:45" ht="18.649999999999999" customHeight="1">
      <c r="A126" s="48"/>
      <c r="B126" s="30"/>
      <c r="C126" s="30"/>
      <c r="D126" s="48" t="s">
        <v>48</v>
      </c>
      <c r="E126" s="49" t="s">
        <v>171</v>
      </c>
      <c r="F126" s="49">
        <v>1000011836</v>
      </c>
      <c r="G126" s="33" t="s">
        <v>172</v>
      </c>
      <c r="H126" s="30">
        <v>100</v>
      </c>
      <c r="I126" s="20" t="s">
        <v>52</v>
      </c>
      <c r="J126" s="33" t="s">
        <v>460</v>
      </c>
      <c r="K126" s="30" t="s">
        <v>53</v>
      </c>
      <c r="L126" s="33"/>
      <c r="M126" s="34" t="s">
        <v>461</v>
      </c>
      <c r="N126" s="30" t="s">
        <v>410</v>
      </c>
      <c r="O126" s="20" t="s">
        <v>176</v>
      </c>
      <c r="P126" s="30"/>
      <c r="Q126" s="33" t="s">
        <v>462</v>
      </c>
      <c r="R126" s="52" t="s">
        <v>178</v>
      </c>
      <c r="S126" s="30" t="s">
        <v>463</v>
      </c>
      <c r="T126" s="36">
        <v>46055</v>
      </c>
      <c r="U126" s="37">
        <v>46040</v>
      </c>
      <c r="V126" s="38">
        <v>46055</v>
      </c>
      <c r="W126" s="52"/>
      <c r="X126" s="30" t="s">
        <v>309</v>
      </c>
      <c r="Y126" s="30">
        <v>0.5</v>
      </c>
      <c r="Z126" s="33"/>
      <c r="AA126" s="80">
        <v>46050</v>
      </c>
      <c r="AB126" s="162">
        <v>46062</v>
      </c>
      <c r="AC126" s="106">
        <f>AB126-V126</f>
        <v>7</v>
      </c>
      <c r="AD126" s="42" t="s">
        <v>72</v>
      </c>
      <c r="AE126" s="33"/>
      <c r="AF126" s="43">
        <v>46055</v>
      </c>
      <c r="AG126" s="43">
        <v>46052</v>
      </c>
      <c r="AH126" s="43">
        <v>46064</v>
      </c>
      <c r="AI126" s="43">
        <v>46065</v>
      </c>
      <c r="AJ126" s="43"/>
      <c r="AK126" s="44">
        <v>46068</v>
      </c>
      <c r="AL126" s="91">
        <v>48886.2</v>
      </c>
      <c r="AM126" s="46"/>
      <c r="AN126" s="46"/>
      <c r="AO126" s="47">
        <v>0</v>
      </c>
      <c r="AP126" s="59" t="s">
        <v>180</v>
      </c>
      <c r="AQ126" s="33"/>
      <c r="AR126" s="30"/>
      <c r="AS126" s="33"/>
    </row>
    <row r="127" spans="1:45" ht="18.649999999999999" customHeight="1">
      <c r="A127" s="48"/>
      <c r="B127" s="30"/>
      <c r="C127" s="30"/>
      <c r="D127" s="48" t="s">
        <v>48</v>
      </c>
      <c r="E127" s="49" t="s">
        <v>171</v>
      </c>
      <c r="F127" s="49">
        <v>1000022205</v>
      </c>
      <c r="G127" s="33" t="s">
        <v>181</v>
      </c>
      <c r="H127" s="30">
        <v>300</v>
      </c>
      <c r="I127" s="20" t="s">
        <v>52</v>
      </c>
      <c r="J127" s="33" t="s">
        <v>464</v>
      </c>
      <c r="K127" s="30" t="s">
        <v>53</v>
      </c>
      <c r="L127" s="33"/>
      <c r="M127" s="34" t="s">
        <v>461</v>
      </c>
      <c r="N127" s="30" t="s">
        <v>465</v>
      </c>
      <c r="O127" s="20" t="s">
        <v>176</v>
      </c>
      <c r="P127" s="30"/>
      <c r="Q127" s="33" t="s">
        <v>462</v>
      </c>
      <c r="R127" s="52" t="s">
        <v>178</v>
      </c>
      <c r="S127" s="30" t="s">
        <v>463</v>
      </c>
      <c r="T127" s="36">
        <v>46055</v>
      </c>
      <c r="U127" s="37">
        <v>46040</v>
      </c>
      <c r="V127" s="38">
        <v>46055</v>
      </c>
      <c r="W127" s="52"/>
      <c r="X127" s="30" t="s">
        <v>309</v>
      </c>
      <c r="Y127" s="30">
        <v>0.5</v>
      </c>
      <c r="Z127" s="33"/>
      <c r="AA127" s="80">
        <v>46050</v>
      </c>
      <c r="AB127" s="162">
        <v>46062</v>
      </c>
      <c r="AC127" s="106">
        <f>AB127-V127</f>
        <v>7</v>
      </c>
      <c r="AD127" s="42" t="s">
        <v>72</v>
      </c>
      <c r="AE127" s="33"/>
      <c r="AF127" s="43">
        <v>46055</v>
      </c>
      <c r="AG127" s="43">
        <v>46052</v>
      </c>
      <c r="AH127" s="43">
        <v>46064</v>
      </c>
      <c r="AI127" s="43">
        <v>46065</v>
      </c>
      <c r="AJ127" s="43"/>
      <c r="AK127" s="44">
        <v>46068</v>
      </c>
      <c r="AL127" s="91">
        <v>40244.75</v>
      </c>
      <c r="AM127" s="46"/>
      <c r="AN127" s="46"/>
      <c r="AO127" s="47">
        <v>0</v>
      </c>
      <c r="AP127" s="59" t="s">
        <v>180</v>
      </c>
      <c r="AQ127" s="33"/>
      <c r="AR127" s="30"/>
      <c r="AS127" s="33"/>
    </row>
    <row r="128" spans="1:45" ht="18.649999999999999" customHeight="1">
      <c r="A128" s="48"/>
      <c r="B128" s="30"/>
      <c r="C128" s="30"/>
      <c r="D128" s="48" t="s">
        <v>48</v>
      </c>
      <c r="E128" s="49" t="s">
        <v>171</v>
      </c>
      <c r="F128" s="49">
        <v>1000036622</v>
      </c>
      <c r="G128" s="33" t="s">
        <v>182</v>
      </c>
      <c r="H128" s="30">
        <v>250</v>
      </c>
      <c r="I128" s="20" t="s">
        <v>52</v>
      </c>
      <c r="J128" s="33" t="s">
        <v>464</v>
      </c>
      <c r="K128" s="30" t="s">
        <v>53</v>
      </c>
      <c r="L128" s="33"/>
      <c r="M128" s="34" t="s">
        <v>461</v>
      </c>
      <c r="N128" s="30" t="s">
        <v>465</v>
      </c>
      <c r="O128" s="20" t="s">
        <v>176</v>
      </c>
      <c r="P128" s="30"/>
      <c r="Q128" s="33" t="s">
        <v>462</v>
      </c>
      <c r="R128" s="52" t="s">
        <v>178</v>
      </c>
      <c r="S128" s="30" t="s">
        <v>463</v>
      </c>
      <c r="T128" s="36">
        <v>46055</v>
      </c>
      <c r="U128" s="37">
        <v>46040</v>
      </c>
      <c r="V128" s="38">
        <v>46055</v>
      </c>
      <c r="W128" s="52"/>
      <c r="X128" s="30" t="s">
        <v>309</v>
      </c>
      <c r="Y128" s="30">
        <v>0.5</v>
      </c>
      <c r="Z128" s="33"/>
      <c r="AA128" s="80">
        <v>46050</v>
      </c>
      <c r="AB128" s="162">
        <v>46062</v>
      </c>
      <c r="AC128" s="106">
        <f>AB128-V128</f>
        <v>7</v>
      </c>
      <c r="AD128" s="42" t="s">
        <v>72</v>
      </c>
      <c r="AE128" s="33"/>
      <c r="AF128" s="43">
        <v>46055</v>
      </c>
      <c r="AG128" s="43">
        <v>46052</v>
      </c>
      <c r="AH128" s="43">
        <v>46064</v>
      </c>
      <c r="AI128" s="43">
        <v>46065</v>
      </c>
      <c r="AJ128" s="43"/>
      <c r="AK128" s="44">
        <v>46068</v>
      </c>
      <c r="AL128" s="91">
        <v>15394.8</v>
      </c>
      <c r="AM128" s="46"/>
      <c r="AN128" s="46"/>
      <c r="AO128" s="47">
        <v>0</v>
      </c>
      <c r="AP128" s="59" t="s">
        <v>180</v>
      </c>
      <c r="AQ128" s="33"/>
      <c r="AR128" s="30"/>
      <c r="AS128" s="33"/>
    </row>
    <row r="129" spans="1:45" ht="18.649999999999999" customHeight="1">
      <c r="B129" s="5"/>
      <c r="D129" s="48" t="s">
        <v>183</v>
      </c>
      <c r="E129" s="49" t="s">
        <v>184</v>
      </c>
      <c r="F129" s="49">
        <v>1000010127</v>
      </c>
      <c r="G129" s="107" t="s">
        <v>185</v>
      </c>
      <c r="H129" s="108">
        <v>888</v>
      </c>
      <c r="I129" s="108" t="s">
        <v>52</v>
      </c>
      <c r="J129" s="33" t="s">
        <v>466</v>
      </c>
      <c r="K129" s="21"/>
      <c r="M129" s="136" t="s">
        <v>467</v>
      </c>
      <c r="N129" s="21" t="s">
        <v>468</v>
      </c>
      <c r="O129" s="30" t="s">
        <v>189</v>
      </c>
      <c r="Q129" s="21" t="s">
        <v>469</v>
      </c>
      <c r="R129" s="48" t="s">
        <v>470</v>
      </c>
      <c r="S129" s="5" t="s">
        <v>471</v>
      </c>
      <c r="T129" s="24">
        <v>46063</v>
      </c>
      <c r="U129" s="137">
        <v>46054</v>
      </c>
      <c r="V129" s="137">
        <v>46057</v>
      </c>
      <c r="X129" s="30" t="s">
        <v>58</v>
      </c>
      <c r="Y129" s="5">
        <v>0.5</v>
      </c>
      <c r="AA129" s="25">
        <v>46054</v>
      </c>
      <c r="AB129" s="25">
        <v>46057</v>
      </c>
      <c r="AD129" s="56" t="s">
        <v>72</v>
      </c>
      <c r="AE129" s="21"/>
      <c r="AF129" s="27">
        <v>46056</v>
      </c>
      <c r="AG129" s="24">
        <v>46055</v>
      </c>
      <c r="AH129" s="27">
        <v>46064</v>
      </c>
      <c r="AI129" s="27">
        <v>46065</v>
      </c>
      <c r="AJ129" s="27"/>
      <c r="AK129" s="138"/>
      <c r="AL129" s="58"/>
      <c r="AM129" s="58"/>
      <c r="AN129" s="58"/>
      <c r="AR129" s="21"/>
    </row>
    <row r="130" spans="1:45" ht="18.649999999999999" customHeight="1">
      <c r="B130" s="5"/>
      <c r="D130" s="48" t="s">
        <v>183</v>
      </c>
      <c r="E130" s="49" t="s">
        <v>184</v>
      </c>
      <c r="F130" s="49">
        <v>1000013084</v>
      </c>
      <c r="G130" s="107" t="s">
        <v>192</v>
      </c>
      <c r="H130" s="108">
        <v>40</v>
      </c>
      <c r="I130" s="108" t="s">
        <v>52</v>
      </c>
      <c r="K130" s="21"/>
      <c r="M130" s="136" t="s">
        <v>467</v>
      </c>
      <c r="N130" s="21" t="s">
        <v>468</v>
      </c>
      <c r="O130" s="30" t="s">
        <v>189</v>
      </c>
      <c r="Q130" s="21" t="s">
        <v>469</v>
      </c>
      <c r="R130" s="48" t="s">
        <v>470</v>
      </c>
      <c r="S130" s="5" t="s">
        <v>471</v>
      </c>
      <c r="T130" s="24">
        <v>46063</v>
      </c>
      <c r="U130" s="137">
        <v>46054</v>
      </c>
      <c r="V130" s="137">
        <v>46057</v>
      </c>
      <c r="X130" s="30" t="s">
        <v>58</v>
      </c>
      <c r="Y130" s="5">
        <v>0.5</v>
      </c>
      <c r="AA130" s="25">
        <v>46054</v>
      </c>
      <c r="AB130" s="25">
        <v>46057</v>
      </c>
      <c r="AD130" s="56" t="s">
        <v>72</v>
      </c>
      <c r="AE130" s="21"/>
      <c r="AF130" s="27">
        <v>46056</v>
      </c>
      <c r="AG130" s="24">
        <v>46055</v>
      </c>
      <c r="AH130" s="27">
        <v>46064</v>
      </c>
      <c r="AI130" s="27">
        <v>46065</v>
      </c>
      <c r="AJ130" s="27"/>
      <c r="AK130" s="138"/>
      <c r="AL130" s="58"/>
      <c r="AM130" s="58"/>
      <c r="AN130" s="58"/>
      <c r="AR130" s="21"/>
    </row>
    <row r="131" spans="1:45" ht="18.649999999999999" customHeight="1">
      <c r="B131" s="5"/>
      <c r="D131" s="48" t="s">
        <v>183</v>
      </c>
      <c r="E131" s="49" t="s">
        <v>184</v>
      </c>
      <c r="F131" s="49">
        <v>1000017944</v>
      </c>
      <c r="G131" s="107" t="s">
        <v>193</v>
      </c>
      <c r="H131" s="108">
        <v>80</v>
      </c>
      <c r="I131" s="108" t="s">
        <v>52</v>
      </c>
      <c r="K131" s="21"/>
      <c r="M131" s="136" t="s">
        <v>467</v>
      </c>
      <c r="N131" s="21" t="s">
        <v>468</v>
      </c>
      <c r="O131" s="30" t="s">
        <v>189</v>
      </c>
      <c r="Q131" s="21" t="s">
        <v>469</v>
      </c>
      <c r="R131" s="48" t="s">
        <v>470</v>
      </c>
      <c r="S131" s="5" t="s">
        <v>471</v>
      </c>
      <c r="T131" s="24">
        <v>46063</v>
      </c>
      <c r="U131" s="137">
        <v>46054</v>
      </c>
      <c r="V131" s="137">
        <v>46057</v>
      </c>
      <c r="X131" s="30" t="s">
        <v>58</v>
      </c>
      <c r="Y131" s="5">
        <v>0.5</v>
      </c>
      <c r="AA131" s="25">
        <v>46054</v>
      </c>
      <c r="AB131" s="25">
        <v>46057</v>
      </c>
      <c r="AD131" s="56" t="s">
        <v>72</v>
      </c>
      <c r="AE131" s="21"/>
      <c r="AF131" s="27">
        <v>46056</v>
      </c>
      <c r="AG131" s="24">
        <v>46055</v>
      </c>
      <c r="AH131" s="27">
        <v>46064</v>
      </c>
      <c r="AI131" s="27">
        <v>46065</v>
      </c>
      <c r="AJ131" s="27"/>
      <c r="AK131" s="138"/>
      <c r="AL131" s="58"/>
      <c r="AM131" s="58"/>
      <c r="AN131" s="58"/>
      <c r="AR131" s="21"/>
    </row>
    <row r="132" spans="1:45" ht="18.649999999999999" customHeight="1">
      <c r="B132" s="5"/>
      <c r="D132" s="48" t="s">
        <v>48</v>
      </c>
      <c r="E132" s="49" t="s">
        <v>171</v>
      </c>
      <c r="F132" s="49">
        <v>1000036622</v>
      </c>
      <c r="G132" s="107" t="s">
        <v>182</v>
      </c>
      <c r="H132" s="108">
        <v>450</v>
      </c>
      <c r="I132" s="108" t="s">
        <v>52</v>
      </c>
      <c r="J132" s="21" t="s">
        <v>472</v>
      </c>
      <c r="K132" s="21" t="s">
        <v>53</v>
      </c>
      <c r="L132" s="177">
        <v>46058</v>
      </c>
      <c r="M132" s="136" t="s">
        <v>473</v>
      </c>
      <c r="N132" s="5" t="s">
        <v>474</v>
      </c>
      <c r="O132" s="5" t="s">
        <v>176</v>
      </c>
      <c r="Q132" s="21" t="s">
        <v>475</v>
      </c>
      <c r="R132" s="21" t="s">
        <v>476</v>
      </c>
      <c r="S132" s="5" t="s">
        <v>477</v>
      </c>
      <c r="T132" s="24">
        <v>46064</v>
      </c>
      <c r="U132" s="137">
        <v>46064</v>
      </c>
      <c r="V132" s="137">
        <v>46064</v>
      </c>
      <c r="X132" s="5" t="s">
        <v>217</v>
      </c>
      <c r="Y132" s="5">
        <v>1</v>
      </c>
      <c r="AA132" s="25">
        <v>46064</v>
      </c>
      <c r="AB132" s="25">
        <v>46064</v>
      </c>
      <c r="AD132" s="56" t="s">
        <v>72</v>
      </c>
      <c r="AE132" s="21"/>
      <c r="AF132" s="27">
        <v>46064</v>
      </c>
      <c r="AG132" s="27">
        <v>46064</v>
      </c>
      <c r="AH132" s="27">
        <v>46065</v>
      </c>
      <c r="AI132" s="27">
        <v>46066</v>
      </c>
      <c r="AJ132" s="27"/>
      <c r="AK132" s="178">
        <v>46078</v>
      </c>
      <c r="AL132" s="179">
        <v>74160.7</v>
      </c>
      <c r="AM132" s="58"/>
      <c r="AN132" s="58"/>
      <c r="AR132" s="21"/>
    </row>
    <row r="133" spans="1:45" ht="18.649999999999999" customHeight="1">
      <c r="A133" s="48"/>
      <c r="B133" s="30"/>
      <c r="C133" s="30"/>
      <c r="D133" s="48" t="s">
        <v>194</v>
      </c>
      <c r="E133" s="49" t="s">
        <v>195</v>
      </c>
      <c r="F133" s="49" t="s">
        <v>346</v>
      </c>
      <c r="G133" s="107" t="s">
        <v>196</v>
      </c>
      <c r="H133" s="108">
        <v>1500</v>
      </c>
      <c r="I133" s="108" t="s">
        <v>85</v>
      </c>
      <c r="J133" s="33" t="s">
        <v>478</v>
      </c>
      <c r="K133" s="30" t="s">
        <v>479</v>
      </c>
      <c r="L133" s="33"/>
      <c r="M133" s="34" t="s">
        <v>480</v>
      </c>
      <c r="N133" s="30" t="s">
        <v>481</v>
      </c>
      <c r="O133" s="48" t="s">
        <v>68</v>
      </c>
      <c r="P133" s="30"/>
      <c r="Q133" s="30" t="s">
        <v>482</v>
      </c>
      <c r="R133" s="30" t="s">
        <v>201</v>
      </c>
      <c r="S133" s="30" t="s">
        <v>483</v>
      </c>
      <c r="T133" s="180">
        <v>46062</v>
      </c>
      <c r="U133" s="93">
        <v>46054</v>
      </c>
      <c r="V133" s="88">
        <v>46063</v>
      </c>
      <c r="W133" s="52"/>
      <c r="X133" s="30" t="s">
        <v>123</v>
      </c>
      <c r="Y133" s="30">
        <v>1</v>
      </c>
      <c r="Z133" s="30"/>
      <c r="AA133" s="36">
        <v>46054</v>
      </c>
      <c r="AB133" s="36">
        <v>46059</v>
      </c>
      <c r="AC133" s="30"/>
      <c r="AD133" s="56" t="s">
        <v>72</v>
      </c>
      <c r="AE133" s="33"/>
      <c r="AF133" s="43">
        <v>46058</v>
      </c>
      <c r="AG133" s="43">
        <v>46056</v>
      </c>
      <c r="AH133" s="43">
        <v>46065</v>
      </c>
      <c r="AI133" s="43">
        <v>46066</v>
      </c>
      <c r="AJ133" s="43"/>
      <c r="AK133" s="44">
        <v>46068</v>
      </c>
      <c r="AL133" s="45">
        <v>46560</v>
      </c>
      <c r="AM133" s="59"/>
      <c r="AN133" s="59"/>
      <c r="AO133" s="97"/>
      <c r="AP133" s="97"/>
      <c r="AQ133" s="33"/>
      <c r="AR133" s="30"/>
      <c r="AS133" s="33"/>
    </row>
    <row r="134" spans="1:45" ht="18.649999999999999" customHeight="1">
      <c r="A134" s="48"/>
      <c r="B134" s="30"/>
      <c r="C134" s="30"/>
      <c r="D134" s="48" t="s">
        <v>81</v>
      </c>
      <c r="E134" s="49" t="s">
        <v>262</v>
      </c>
      <c r="F134" s="49" t="s">
        <v>299</v>
      </c>
      <c r="G134" s="107" t="s">
        <v>300</v>
      </c>
      <c r="H134" s="108">
        <v>4476</v>
      </c>
      <c r="I134" s="108" t="s">
        <v>85</v>
      </c>
      <c r="J134" s="33"/>
      <c r="K134" s="30" t="s">
        <v>53</v>
      </c>
      <c r="L134" s="33"/>
      <c r="M134" s="34" t="s">
        <v>484</v>
      </c>
      <c r="N134" s="30">
        <v>90474270</v>
      </c>
      <c r="O134" s="30" t="s">
        <v>68</v>
      </c>
      <c r="P134" s="30"/>
      <c r="Q134" s="48">
        <v>7266201880</v>
      </c>
      <c r="R134" s="48" t="s">
        <v>365</v>
      </c>
      <c r="S134" s="169" t="s">
        <v>485</v>
      </c>
      <c r="T134" s="36">
        <v>46058</v>
      </c>
      <c r="U134" s="93">
        <v>46053</v>
      </c>
      <c r="V134" s="88">
        <v>46058</v>
      </c>
      <c r="W134" s="52"/>
      <c r="X134" s="48" t="s">
        <v>170</v>
      </c>
      <c r="Y134" s="48">
        <v>4</v>
      </c>
      <c r="Z134" s="48"/>
      <c r="AA134" s="36">
        <v>46051</v>
      </c>
      <c r="AB134" s="36">
        <v>46061</v>
      </c>
      <c r="AC134" s="30"/>
      <c r="AD134" s="42" t="s">
        <v>59</v>
      </c>
      <c r="AE134" s="33"/>
      <c r="AF134" s="43">
        <v>46062</v>
      </c>
      <c r="AG134" s="43">
        <v>46056</v>
      </c>
      <c r="AH134" s="43">
        <v>46066</v>
      </c>
      <c r="AI134" s="43">
        <v>46070</v>
      </c>
      <c r="AJ134" s="43"/>
      <c r="AK134" s="44">
        <v>46068</v>
      </c>
      <c r="AL134" s="45">
        <v>93996</v>
      </c>
      <c r="AM134" s="59"/>
      <c r="AN134" s="59"/>
      <c r="AO134" s="59"/>
      <c r="AP134" s="59"/>
      <c r="AQ134" s="33"/>
      <c r="AR134" s="30">
        <v>1</v>
      </c>
      <c r="AS134" s="103" t="s">
        <v>486</v>
      </c>
    </row>
    <row r="135" spans="1:45" ht="21" customHeight="1">
      <c r="A135" s="48"/>
      <c r="B135" s="30"/>
      <c r="C135" s="30"/>
      <c r="D135" s="48" t="s">
        <v>99</v>
      </c>
      <c r="E135" s="49" t="s">
        <v>236</v>
      </c>
      <c r="F135" s="49">
        <v>2000018693</v>
      </c>
      <c r="G135" s="33" t="s">
        <v>487</v>
      </c>
      <c r="H135" s="30">
        <v>500</v>
      </c>
      <c r="I135" s="48" t="s">
        <v>239</v>
      </c>
      <c r="J135" s="33"/>
      <c r="K135" s="30" t="s">
        <v>53</v>
      </c>
      <c r="L135" s="33"/>
      <c r="M135" s="117" t="s">
        <v>488</v>
      </c>
      <c r="N135" s="30" t="s">
        <v>489</v>
      </c>
      <c r="O135" s="48" t="s">
        <v>55</v>
      </c>
      <c r="P135" s="30"/>
      <c r="Q135" s="30" t="s">
        <v>490</v>
      </c>
      <c r="R135" s="20" t="s">
        <v>244</v>
      </c>
      <c r="S135" s="30"/>
      <c r="T135" s="36">
        <v>46055</v>
      </c>
      <c r="U135" s="93">
        <v>46051</v>
      </c>
      <c r="V135" s="88">
        <v>46058</v>
      </c>
      <c r="W135" s="52"/>
      <c r="X135" s="30" t="s">
        <v>209</v>
      </c>
      <c r="Y135" s="30">
        <v>0.5</v>
      </c>
      <c r="Z135" s="30"/>
      <c r="AA135" s="36">
        <v>46051</v>
      </c>
      <c r="AB135" s="36">
        <v>46058</v>
      </c>
      <c r="AC135" s="30"/>
      <c r="AD135" s="56" t="s">
        <v>72</v>
      </c>
      <c r="AE135" s="33"/>
      <c r="AF135" s="43">
        <v>46064</v>
      </c>
      <c r="AG135" s="43">
        <v>46058</v>
      </c>
      <c r="AH135" s="43">
        <v>46066</v>
      </c>
      <c r="AI135" s="43">
        <v>46069</v>
      </c>
      <c r="AJ135" s="43"/>
      <c r="AK135" s="96">
        <v>46068</v>
      </c>
      <c r="AL135" s="91">
        <v>3050</v>
      </c>
      <c r="AM135" s="59"/>
      <c r="AN135" s="59"/>
      <c r="AO135" s="97"/>
      <c r="AP135" s="97"/>
      <c r="AQ135" s="33"/>
      <c r="AR135" s="30"/>
      <c r="AS135" s="33"/>
    </row>
    <row r="136" spans="1:45" ht="18.649999999999999" customHeight="1">
      <c r="A136" s="48"/>
      <c r="B136" s="30"/>
      <c r="C136" s="30"/>
      <c r="D136" s="48" t="s">
        <v>99</v>
      </c>
      <c r="E136" s="49" t="s">
        <v>236</v>
      </c>
      <c r="F136" s="49">
        <v>2000010595</v>
      </c>
      <c r="G136" s="33" t="s">
        <v>491</v>
      </c>
      <c r="H136" s="30">
        <v>300</v>
      </c>
      <c r="I136" s="48" t="s">
        <v>239</v>
      </c>
      <c r="J136" s="33"/>
      <c r="K136" s="30" t="s">
        <v>53</v>
      </c>
      <c r="L136" s="33"/>
      <c r="M136" s="117" t="s">
        <v>488</v>
      </c>
      <c r="N136" s="30" t="s">
        <v>489</v>
      </c>
      <c r="O136" s="48" t="s">
        <v>55</v>
      </c>
      <c r="P136" s="30"/>
      <c r="Q136" s="30" t="s">
        <v>490</v>
      </c>
      <c r="R136" s="20" t="s">
        <v>244</v>
      </c>
      <c r="S136" s="30"/>
      <c r="T136" s="36">
        <v>46055</v>
      </c>
      <c r="U136" s="93">
        <v>46051</v>
      </c>
      <c r="V136" s="88">
        <v>46058</v>
      </c>
      <c r="W136" s="52"/>
      <c r="X136" s="30" t="s">
        <v>209</v>
      </c>
      <c r="Y136" s="30">
        <v>0.5</v>
      </c>
      <c r="Z136" s="30"/>
      <c r="AA136" s="36">
        <v>46051</v>
      </c>
      <c r="AB136" s="36">
        <v>46058</v>
      </c>
      <c r="AC136" s="30"/>
      <c r="AD136" s="56" t="s">
        <v>72</v>
      </c>
      <c r="AE136" s="33"/>
      <c r="AF136" s="43">
        <v>46064</v>
      </c>
      <c r="AG136" s="43">
        <v>46058</v>
      </c>
      <c r="AH136" s="43">
        <v>46066</v>
      </c>
      <c r="AI136" s="43">
        <v>46069</v>
      </c>
      <c r="AJ136" s="43"/>
      <c r="AK136" s="96">
        <v>46068</v>
      </c>
      <c r="AL136" s="91">
        <v>2004</v>
      </c>
      <c r="AM136" s="59"/>
      <c r="AN136" s="59"/>
      <c r="AO136" s="97"/>
      <c r="AP136" s="97"/>
      <c r="AQ136" s="33"/>
      <c r="AR136" s="30"/>
      <c r="AS136" s="33"/>
    </row>
    <row r="137" spans="1:45" ht="18.649999999999999" customHeight="1">
      <c r="A137" s="48"/>
      <c r="B137" s="30"/>
      <c r="C137" s="30"/>
      <c r="D137" s="48" t="s">
        <v>160</v>
      </c>
      <c r="E137" s="49" t="s">
        <v>281</v>
      </c>
      <c r="F137" s="49">
        <v>1000019446</v>
      </c>
      <c r="G137" s="107" t="s">
        <v>293</v>
      </c>
      <c r="H137" s="108" t="s">
        <v>492</v>
      </c>
      <c r="I137" s="108" t="s">
        <v>85</v>
      </c>
      <c r="J137" s="33"/>
      <c r="K137" s="30" t="s">
        <v>53</v>
      </c>
      <c r="L137" s="33"/>
      <c r="M137" s="117" t="s">
        <v>493</v>
      </c>
      <c r="N137" s="30">
        <v>3710090960</v>
      </c>
      <c r="O137" s="30" t="s">
        <v>150</v>
      </c>
      <c r="P137" s="30"/>
      <c r="Q137" s="30" t="s">
        <v>494</v>
      </c>
      <c r="R137" s="48" t="s">
        <v>287</v>
      </c>
      <c r="S137" s="30" t="s">
        <v>495</v>
      </c>
      <c r="T137" s="36">
        <v>46054</v>
      </c>
      <c r="U137" s="93">
        <v>46054</v>
      </c>
      <c r="V137" s="88">
        <v>46057</v>
      </c>
      <c r="W137" s="52"/>
      <c r="X137" s="120" t="s">
        <v>58</v>
      </c>
      <c r="Y137" s="120">
        <v>1</v>
      </c>
      <c r="Z137" s="120"/>
      <c r="AA137" s="94">
        <v>46062</v>
      </c>
      <c r="AB137" s="94">
        <v>46065</v>
      </c>
      <c r="AC137" s="30"/>
      <c r="AD137" s="56" t="s">
        <v>72</v>
      </c>
      <c r="AE137" s="33"/>
      <c r="AF137" s="43">
        <v>46065</v>
      </c>
      <c r="AG137" s="43">
        <v>46065</v>
      </c>
      <c r="AH137" s="43">
        <v>46067</v>
      </c>
      <c r="AI137" s="43">
        <v>46070</v>
      </c>
      <c r="AJ137" s="43"/>
      <c r="AK137" s="44">
        <v>46047</v>
      </c>
      <c r="AL137" s="113">
        <v>443392</v>
      </c>
      <c r="AM137" s="59"/>
      <c r="AN137" s="59"/>
      <c r="AO137" s="59"/>
      <c r="AP137" s="59"/>
      <c r="AQ137" s="33" t="s">
        <v>53</v>
      </c>
      <c r="AR137" s="30">
        <v>9</v>
      </c>
      <c r="AS137" s="181" t="s">
        <v>496</v>
      </c>
    </row>
    <row r="138" spans="1:45" ht="18.649999999999999" customHeight="1">
      <c r="A138" s="48"/>
      <c r="B138" s="30"/>
      <c r="C138" s="30"/>
      <c r="D138" s="48" t="s">
        <v>48</v>
      </c>
      <c r="E138" s="49" t="s">
        <v>116</v>
      </c>
      <c r="F138" s="49">
        <v>2000011048</v>
      </c>
      <c r="G138" s="32" t="s">
        <v>117</v>
      </c>
      <c r="H138" s="86">
        <v>144</v>
      </c>
      <c r="I138" s="61" t="s">
        <v>85</v>
      </c>
      <c r="J138" s="33"/>
      <c r="K138" s="30"/>
      <c r="L138" s="33"/>
      <c r="M138" s="117" t="s">
        <v>497</v>
      </c>
      <c r="N138" s="30" t="s">
        <v>498</v>
      </c>
      <c r="O138" s="30" t="s">
        <v>120</v>
      </c>
      <c r="P138" s="30"/>
      <c r="Q138" s="30" t="s">
        <v>499</v>
      </c>
      <c r="R138" s="30" t="s">
        <v>122</v>
      </c>
      <c r="S138" s="30" t="s">
        <v>122</v>
      </c>
      <c r="T138" s="36">
        <v>46037</v>
      </c>
      <c r="U138" s="93">
        <v>46041</v>
      </c>
      <c r="V138" s="88">
        <v>46045</v>
      </c>
      <c r="W138" s="52"/>
      <c r="X138" s="30" t="s">
        <v>123</v>
      </c>
      <c r="Y138" s="30">
        <v>0.5</v>
      </c>
      <c r="Z138" s="93"/>
      <c r="AA138" s="36">
        <v>46052</v>
      </c>
      <c r="AB138" s="36">
        <v>46070</v>
      </c>
      <c r="AC138" s="30"/>
      <c r="AD138" s="90" t="s">
        <v>122</v>
      </c>
      <c r="AE138" s="33"/>
      <c r="AF138" s="43">
        <v>46066</v>
      </c>
      <c r="AG138" s="43">
        <v>46066</v>
      </c>
      <c r="AH138" s="43">
        <v>46069</v>
      </c>
      <c r="AI138" s="43">
        <v>46070</v>
      </c>
      <c r="AJ138" s="43"/>
      <c r="AK138" s="44">
        <v>46078</v>
      </c>
      <c r="AL138" s="91">
        <v>3693.6</v>
      </c>
      <c r="AM138" s="59"/>
      <c r="AN138" s="59"/>
      <c r="AO138" s="47">
        <v>0</v>
      </c>
      <c r="AP138" s="47" t="s">
        <v>61</v>
      </c>
      <c r="AQ138" s="33"/>
      <c r="AR138" s="30"/>
      <c r="AS138" s="33"/>
    </row>
    <row r="139" spans="1:45" ht="30.65" customHeight="1">
      <c r="A139" s="48"/>
      <c r="B139" s="30"/>
      <c r="C139" s="30"/>
      <c r="D139" s="48" t="s">
        <v>48</v>
      </c>
      <c r="E139" s="49" t="s">
        <v>116</v>
      </c>
      <c r="F139" s="49">
        <v>2000020375</v>
      </c>
      <c r="G139" s="32" t="s">
        <v>124</v>
      </c>
      <c r="H139" s="86">
        <v>288</v>
      </c>
      <c r="I139" s="61" t="s">
        <v>85</v>
      </c>
      <c r="J139" s="33"/>
      <c r="K139" s="30"/>
      <c r="L139" s="33"/>
      <c r="M139" s="117" t="s">
        <v>497</v>
      </c>
      <c r="N139" s="30" t="s">
        <v>498</v>
      </c>
      <c r="O139" s="30" t="s">
        <v>120</v>
      </c>
      <c r="P139" s="30"/>
      <c r="Q139" s="30" t="s">
        <v>499</v>
      </c>
      <c r="R139" s="30" t="s">
        <v>122</v>
      </c>
      <c r="S139" s="30" t="s">
        <v>122</v>
      </c>
      <c r="T139" s="36">
        <v>46037</v>
      </c>
      <c r="U139" s="93">
        <v>46041</v>
      </c>
      <c r="V139" s="88">
        <v>46045</v>
      </c>
      <c r="W139" s="52"/>
      <c r="X139" s="30" t="s">
        <v>123</v>
      </c>
      <c r="Y139" s="30">
        <v>0.5</v>
      </c>
      <c r="Z139" s="93"/>
      <c r="AA139" s="36">
        <v>46052</v>
      </c>
      <c r="AB139" s="36">
        <v>46070</v>
      </c>
      <c r="AC139" s="30"/>
      <c r="AD139" s="90" t="s">
        <v>122</v>
      </c>
      <c r="AE139" s="33"/>
      <c r="AF139" s="43">
        <v>46066</v>
      </c>
      <c r="AG139" s="43">
        <v>46066</v>
      </c>
      <c r="AH139" s="43">
        <v>46069</v>
      </c>
      <c r="AI139" s="43">
        <v>46070</v>
      </c>
      <c r="AJ139" s="43"/>
      <c r="AK139" s="44">
        <v>46078</v>
      </c>
      <c r="AL139" s="91">
        <v>9576</v>
      </c>
      <c r="AM139" s="59"/>
      <c r="AN139" s="59"/>
      <c r="AO139" s="47">
        <v>0</v>
      </c>
      <c r="AP139" s="47" t="s">
        <v>61</v>
      </c>
      <c r="AQ139" s="33"/>
      <c r="AR139" s="30"/>
      <c r="AS139" s="33"/>
    </row>
    <row r="140" spans="1:45" ht="30.65" customHeight="1">
      <c r="A140" s="48"/>
      <c r="B140" s="30"/>
      <c r="C140" s="30"/>
      <c r="D140" s="48" t="s">
        <v>48</v>
      </c>
      <c r="E140" s="49" t="s">
        <v>116</v>
      </c>
      <c r="F140" s="49">
        <v>2000006598</v>
      </c>
      <c r="G140" s="32" t="s">
        <v>126</v>
      </c>
      <c r="H140" s="86">
        <v>24</v>
      </c>
      <c r="I140" s="61" t="s">
        <v>85</v>
      </c>
      <c r="J140" s="33"/>
      <c r="K140" s="30"/>
      <c r="L140" s="33"/>
      <c r="M140" s="117" t="s">
        <v>497</v>
      </c>
      <c r="N140" s="30" t="s">
        <v>498</v>
      </c>
      <c r="O140" s="30" t="s">
        <v>120</v>
      </c>
      <c r="P140" s="30"/>
      <c r="Q140" s="30" t="s">
        <v>499</v>
      </c>
      <c r="R140" s="30" t="s">
        <v>122</v>
      </c>
      <c r="S140" s="30" t="s">
        <v>122</v>
      </c>
      <c r="T140" s="36">
        <v>46037</v>
      </c>
      <c r="U140" s="93">
        <v>46041</v>
      </c>
      <c r="V140" s="88">
        <v>46045</v>
      </c>
      <c r="W140" s="52"/>
      <c r="X140" s="30" t="s">
        <v>123</v>
      </c>
      <c r="Y140" s="30">
        <v>0.5</v>
      </c>
      <c r="Z140" s="93"/>
      <c r="AA140" s="36">
        <v>46052</v>
      </c>
      <c r="AB140" s="36">
        <v>46070</v>
      </c>
      <c r="AC140" s="30"/>
      <c r="AD140" s="90" t="s">
        <v>122</v>
      </c>
      <c r="AE140" s="33"/>
      <c r="AF140" s="43">
        <v>46066</v>
      </c>
      <c r="AG140" s="43">
        <v>46066</v>
      </c>
      <c r="AH140" s="43">
        <v>46069</v>
      </c>
      <c r="AI140" s="43">
        <v>46070</v>
      </c>
      <c r="AJ140" s="43"/>
      <c r="AK140" s="44">
        <v>46078</v>
      </c>
      <c r="AL140" s="135">
        <v>757.2</v>
      </c>
      <c r="AM140" s="59"/>
      <c r="AN140" s="59"/>
      <c r="AO140" s="47">
        <v>0</v>
      </c>
      <c r="AP140" s="47" t="s">
        <v>61</v>
      </c>
      <c r="AQ140" s="33"/>
      <c r="AR140" s="30"/>
      <c r="AS140" s="33"/>
    </row>
    <row r="141" spans="1:45" ht="18.649999999999999" customHeight="1">
      <c r="A141" s="48"/>
      <c r="B141" s="30"/>
      <c r="C141" s="30"/>
      <c r="D141" s="48" t="s">
        <v>48</v>
      </c>
      <c r="E141" s="49" t="s">
        <v>116</v>
      </c>
      <c r="F141" s="49">
        <v>2000011850</v>
      </c>
      <c r="G141" s="32" t="s">
        <v>127</v>
      </c>
      <c r="H141" s="86">
        <v>195</v>
      </c>
      <c r="I141" s="61" t="s">
        <v>85</v>
      </c>
      <c r="J141" s="33"/>
      <c r="K141" s="30"/>
      <c r="L141" s="33"/>
      <c r="M141" s="117" t="s">
        <v>497</v>
      </c>
      <c r="N141" s="30" t="s">
        <v>498</v>
      </c>
      <c r="O141" s="30" t="s">
        <v>120</v>
      </c>
      <c r="P141" s="30"/>
      <c r="Q141" s="30" t="s">
        <v>499</v>
      </c>
      <c r="R141" s="30" t="s">
        <v>122</v>
      </c>
      <c r="S141" s="30" t="s">
        <v>122</v>
      </c>
      <c r="T141" s="36">
        <v>46037</v>
      </c>
      <c r="U141" s="93">
        <v>46041</v>
      </c>
      <c r="V141" s="88">
        <v>46045</v>
      </c>
      <c r="W141" s="52"/>
      <c r="X141" s="30" t="s">
        <v>123</v>
      </c>
      <c r="Y141" s="30">
        <v>0.5</v>
      </c>
      <c r="Z141" s="93"/>
      <c r="AA141" s="36">
        <v>46052</v>
      </c>
      <c r="AB141" s="36">
        <v>46070</v>
      </c>
      <c r="AC141" s="30"/>
      <c r="AD141" s="90" t="s">
        <v>122</v>
      </c>
      <c r="AE141" s="33"/>
      <c r="AF141" s="43">
        <v>46066</v>
      </c>
      <c r="AG141" s="43">
        <v>46066</v>
      </c>
      <c r="AH141" s="43">
        <v>46069</v>
      </c>
      <c r="AI141" s="43">
        <v>46070</v>
      </c>
      <c r="AJ141" s="43"/>
      <c r="AK141" s="44">
        <v>46078</v>
      </c>
      <c r="AL141" s="91">
        <v>4524</v>
      </c>
      <c r="AM141" s="59"/>
      <c r="AN141" s="59"/>
      <c r="AO141" s="47">
        <v>0</v>
      </c>
      <c r="AP141" s="47" t="s">
        <v>61</v>
      </c>
      <c r="AQ141" s="33"/>
      <c r="AR141" s="30"/>
      <c r="AS141" s="33"/>
    </row>
    <row r="142" spans="1:45" ht="18.649999999999999" customHeight="1">
      <c r="A142" s="48"/>
      <c r="B142" s="30"/>
      <c r="C142" s="30"/>
      <c r="D142" s="48" t="s">
        <v>48</v>
      </c>
      <c r="E142" s="49" t="s">
        <v>116</v>
      </c>
      <c r="F142" s="49">
        <v>2000000418</v>
      </c>
      <c r="G142" s="32" t="s">
        <v>130</v>
      </c>
      <c r="H142" s="86">
        <v>225</v>
      </c>
      <c r="I142" s="61" t="s">
        <v>129</v>
      </c>
      <c r="J142" s="33"/>
      <c r="K142" s="30"/>
      <c r="L142" s="33"/>
      <c r="M142" s="117" t="s">
        <v>497</v>
      </c>
      <c r="N142" s="30" t="s">
        <v>498</v>
      </c>
      <c r="O142" s="30" t="s">
        <v>120</v>
      </c>
      <c r="P142" s="30"/>
      <c r="Q142" s="30" t="s">
        <v>499</v>
      </c>
      <c r="R142" s="30" t="s">
        <v>122</v>
      </c>
      <c r="S142" s="30" t="s">
        <v>122</v>
      </c>
      <c r="T142" s="36">
        <v>46037</v>
      </c>
      <c r="U142" s="93">
        <v>46041</v>
      </c>
      <c r="V142" s="88">
        <v>46045</v>
      </c>
      <c r="W142" s="52"/>
      <c r="X142" s="30" t="s">
        <v>123</v>
      </c>
      <c r="Y142" s="30">
        <v>0.5</v>
      </c>
      <c r="Z142" s="93"/>
      <c r="AA142" s="36">
        <v>46052</v>
      </c>
      <c r="AB142" s="36">
        <v>46070</v>
      </c>
      <c r="AC142" s="30"/>
      <c r="AD142" s="90" t="s">
        <v>122</v>
      </c>
      <c r="AE142" s="33"/>
      <c r="AF142" s="43">
        <v>46066</v>
      </c>
      <c r="AG142" s="43">
        <v>46066</v>
      </c>
      <c r="AH142" s="43">
        <v>46069</v>
      </c>
      <c r="AI142" s="43">
        <v>46070</v>
      </c>
      <c r="AJ142" s="43"/>
      <c r="AK142" s="44">
        <v>46078</v>
      </c>
      <c r="AL142" s="91">
        <v>2344.5</v>
      </c>
      <c r="AM142" s="59"/>
      <c r="AN142" s="59"/>
      <c r="AO142" s="47">
        <v>0</v>
      </c>
      <c r="AP142" s="47" t="s">
        <v>61</v>
      </c>
      <c r="AQ142" s="33"/>
      <c r="AR142" s="30"/>
      <c r="AS142" s="33"/>
    </row>
    <row r="143" spans="1:45" ht="18.649999999999999" customHeight="1">
      <c r="A143" s="48"/>
      <c r="B143" s="30"/>
      <c r="C143" s="30"/>
      <c r="D143" s="48" t="s">
        <v>48</v>
      </c>
      <c r="E143" s="49" t="s">
        <v>116</v>
      </c>
      <c r="F143" s="49">
        <v>2000003583</v>
      </c>
      <c r="G143" s="32" t="s">
        <v>131</v>
      </c>
      <c r="H143" s="86">
        <v>24</v>
      </c>
      <c r="I143" s="61" t="s">
        <v>85</v>
      </c>
      <c r="J143" s="33"/>
      <c r="K143" s="30"/>
      <c r="L143" s="33"/>
      <c r="M143" s="117" t="s">
        <v>497</v>
      </c>
      <c r="N143" s="30" t="s">
        <v>498</v>
      </c>
      <c r="O143" s="30" t="s">
        <v>120</v>
      </c>
      <c r="P143" s="30"/>
      <c r="Q143" s="30" t="s">
        <v>499</v>
      </c>
      <c r="R143" s="30" t="s">
        <v>122</v>
      </c>
      <c r="S143" s="30" t="s">
        <v>122</v>
      </c>
      <c r="T143" s="36">
        <v>46037</v>
      </c>
      <c r="U143" s="93">
        <v>46041</v>
      </c>
      <c r="V143" s="88">
        <v>46045</v>
      </c>
      <c r="W143" s="52"/>
      <c r="X143" s="30" t="s">
        <v>123</v>
      </c>
      <c r="Y143" s="30">
        <v>0.5</v>
      </c>
      <c r="Z143" s="93"/>
      <c r="AA143" s="36">
        <v>46052</v>
      </c>
      <c r="AB143" s="36">
        <v>46070</v>
      </c>
      <c r="AC143" s="30"/>
      <c r="AD143" s="90" t="s">
        <v>122</v>
      </c>
      <c r="AE143" s="33"/>
      <c r="AF143" s="43">
        <v>46066</v>
      </c>
      <c r="AG143" s="43">
        <v>46066</v>
      </c>
      <c r="AH143" s="43">
        <v>46069</v>
      </c>
      <c r="AI143" s="43">
        <v>46070</v>
      </c>
      <c r="AJ143" s="43"/>
      <c r="AK143" s="44">
        <v>46078</v>
      </c>
      <c r="AL143" s="91">
        <v>1804.8</v>
      </c>
      <c r="AM143" s="59"/>
      <c r="AN143" s="59"/>
      <c r="AO143" s="47">
        <v>0</v>
      </c>
      <c r="AP143" s="47" t="s">
        <v>61</v>
      </c>
      <c r="AQ143" s="33"/>
      <c r="AR143" s="30"/>
      <c r="AS143" s="33"/>
    </row>
    <row r="144" spans="1:45" ht="18.649999999999999" customHeight="1">
      <c r="A144" s="48"/>
      <c r="B144" s="30"/>
      <c r="C144" s="30"/>
      <c r="D144" s="48" t="s">
        <v>48</v>
      </c>
      <c r="E144" s="49" t="s">
        <v>418</v>
      </c>
      <c r="F144" s="49">
        <v>1000035381</v>
      </c>
      <c r="G144" s="107" t="s">
        <v>500</v>
      </c>
      <c r="H144" s="108">
        <v>540</v>
      </c>
      <c r="I144" s="108" t="s">
        <v>85</v>
      </c>
      <c r="J144" s="33" t="s">
        <v>501</v>
      </c>
      <c r="K144" s="182" t="s">
        <v>53</v>
      </c>
      <c r="L144" s="183"/>
      <c r="M144" s="34" t="s">
        <v>502</v>
      </c>
      <c r="N144" s="30" t="s">
        <v>503</v>
      </c>
      <c r="O144" s="30" t="s">
        <v>68</v>
      </c>
      <c r="P144" s="30"/>
      <c r="Q144" s="48" t="s">
        <v>504</v>
      </c>
      <c r="R144" s="30" t="s">
        <v>423</v>
      </c>
      <c r="S144" s="30" t="s">
        <v>505</v>
      </c>
      <c r="T144" s="36">
        <v>46054</v>
      </c>
      <c r="U144" s="93">
        <v>46048</v>
      </c>
      <c r="V144" s="88">
        <v>46065</v>
      </c>
      <c r="W144" s="52"/>
      <c r="X144" s="30" t="s">
        <v>309</v>
      </c>
      <c r="Y144" s="30">
        <v>1</v>
      </c>
      <c r="Z144" s="30"/>
      <c r="AA144" s="36">
        <v>46048</v>
      </c>
      <c r="AB144" s="36">
        <v>46067</v>
      </c>
      <c r="AC144" s="30"/>
      <c r="AD144" s="125" t="s">
        <v>59</v>
      </c>
      <c r="AE144" s="33"/>
      <c r="AF144" s="43">
        <v>46064</v>
      </c>
      <c r="AG144" s="43">
        <v>46059</v>
      </c>
      <c r="AH144" s="43">
        <v>46070</v>
      </c>
      <c r="AI144" s="43">
        <v>46071</v>
      </c>
      <c r="AJ144" s="43"/>
      <c r="AK144" s="44">
        <v>46068</v>
      </c>
      <c r="AL144" s="45">
        <v>18109.919999999998</v>
      </c>
      <c r="AM144" s="59"/>
      <c r="AN144" s="59"/>
      <c r="AO144" s="97"/>
      <c r="AP144" s="97"/>
      <c r="AQ144" s="33"/>
      <c r="AR144" s="30"/>
      <c r="AS144" s="33"/>
    </row>
    <row r="145" spans="1:45" ht="18.649999999999999" customHeight="1">
      <c r="B145" s="5"/>
      <c r="D145" s="20" t="s">
        <v>81</v>
      </c>
      <c r="E145" s="31" t="s">
        <v>506</v>
      </c>
      <c r="F145" s="31">
        <v>1000037957</v>
      </c>
      <c r="G145" s="31" t="s">
        <v>507</v>
      </c>
      <c r="H145" s="20">
        <v>1150</v>
      </c>
      <c r="I145" s="20" t="s">
        <v>85</v>
      </c>
      <c r="K145" s="21" t="s">
        <v>53</v>
      </c>
      <c r="M145" s="136" t="s">
        <v>508</v>
      </c>
      <c r="N145" s="21" t="s">
        <v>509</v>
      </c>
      <c r="O145" s="5" t="s">
        <v>150</v>
      </c>
      <c r="Q145" s="5">
        <v>2165939450</v>
      </c>
      <c r="R145" s="5" t="s">
        <v>168</v>
      </c>
      <c r="S145" s="5" t="s">
        <v>510</v>
      </c>
      <c r="T145" s="24">
        <v>46068</v>
      </c>
      <c r="U145" s="137">
        <v>46055</v>
      </c>
      <c r="V145" s="137">
        <v>46065</v>
      </c>
      <c r="X145" s="5" t="s">
        <v>309</v>
      </c>
      <c r="AA145" s="25">
        <v>46056</v>
      </c>
      <c r="AB145" s="25">
        <v>46065</v>
      </c>
      <c r="AD145" s="56" t="s">
        <v>72</v>
      </c>
      <c r="AE145" s="21"/>
      <c r="AF145" s="27">
        <v>46063</v>
      </c>
      <c r="AG145" s="27">
        <v>46063</v>
      </c>
      <c r="AH145" s="27">
        <v>46070</v>
      </c>
      <c r="AI145" s="27">
        <v>46071</v>
      </c>
      <c r="AJ145" s="27"/>
      <c r="AK145" s="178">
        <v>46068</v>
      </c>
      <c r="AL145" s="184">
        <v>13110</v>
      </c>
      <c r="AM145" s="58"/>
      <c r="AN145" s="58"/>
      <c r="AR145" s="21"/>
    </row>
    <row r="146" spans="1:45" ht="18.649999999999999" customHeight="1">
      <c r="A146" s="48"/>
      <c r="B146" s="30"/>
      <c r="C146" s="30"/>
      <c r="D146" s="48" t="s">
        <v>48</v>
      </c>
      <c r="E146" s="49" t="s">
        <v>210</v>
      </c>
      <c r="F146" s="185">
        <v>2000014162</v>
      </c>
      <c r="G146" s="107" t="s">
        <v>511</v>
      </c>
      <c r="H146" s="186">
        <v>20</v>
      </c>
      <c r="I146" s="107" t="s">
        <v>212</v>
      </c>
      <c r="J146" s="33"/>
      <c r="K146" s="30"/>
      <c r="L146" s="33"/>
      <c r="M146" s="34" t="s">
        <v>512</v>
      </c>
      <c r="N146" s="30">
        <v>28027407</v>
      </c>
      <c r="O146" s="30" t="s">
        <v>189</v>
      </c>
      <c r="P146" s="30"/>
      <c r="Q146" s="30">
        <v>4635232</v>
      </c>
      <c r="R146" s="30" t="s">
        <v>215</v>
      </c>
      <c r="S146" s="30" t="s">
        <v>513</v>
      </c>
      <c r="T146" s="36">
        <v>46023</v>
      </c>
      <c r="U146" s="37">
        <v>46062</v>
      </c>
      <c r="V146" s="51">
        <v>46067</v>
      </c>
      <c r="W146" s="52"/>
      <c r="X146" s="187" t="s">
        <v>514</v>
      </c>
      <c r="Y146" s="30">
        <v>0.5</v>
      </c>
      <c r="Z146" s="51"/>
      <c r="AA146" s="41">
        <v>46062</v>
      </c>
      <c r="AB146" s="41">
        <v>46067</v>
      </c>
      <c r="AC146" s="30"/>
      <c r="AD146" s="56" t="s">
        <v>72</v>
      </c>
      <c r="AE146" s="33"/>
      <c r="AF146" s="43">
        <v>46058</v>
      </c>
      <c r="AG146" s="43">
        <v>46058</v>
      </c>
      <c r="AH146" s="43">
        <v>46071</v>
      </c>
      <c r="AI146" s="43">
        <v>46072</v>
      </c>
      <c r="AJ146" s="43"/>
      <c r="AK146" s="165">
        <v>46016</v>
      </c>
      <c r="AL146" s="115">
        <v>128.5</v>
      </c>
      <c r="AM146" s="100">
        <v>46068</v>
      </c>
      <c r="AN146" s="115">
        <v>128.5</v>
      </c>
      <c r="AO146" s="47">
        <v>128.5</v>
      </c>
      <c r="AP146" s="47" t="s">
        <v>61</v>
      </c>
      <c r="AQ146" s="33"/>
      <c r="AR146" s="30"/>
      <c r="AS146" s="33"/>
    </row>
    <row r="147" spans="1:45" ht="18.649999999999999" customHeight="1">
      <c r="A147" s="48"/>
      <c r="B147" s="30"/>
      <c r="C147" s="30"/>
      <c r="D147" s="48" t="s">
        <v>48</v>
      </c>
      <c r="E147" s="49" t="s">
        <v>210</v>
      </c>
      <c r="F147" s="185">
        <v>2000015369</v>
      </c>
      <c r="G147" s="107" t="s">
        <v>515</v>
      </c>
      <c r="H147" s="186">
        <v>10</v>
      </c>
      <c r="I147" s="107" t="s">
        <v>212</v>
      </c>
      <c r="J147" s="33"/>
      <c r="K147" s="30"/>
      <c r="L147" s="33"/>
      <c r="M147" s="34" t="s">
        <v>512</v>
      </c>
      <c r="N147" s="30">
        <v>28027407</v>
      </c>
      <c r="O147" s="30" t="s">
        <v>189</v>
      </c>
      <c r="P147" s="30"/>
      <c r="Q147" s="30">
        <v>4635232</v>
      </c>
      <c r="R147" s="30" t="s">
        <v>215</v>
      </c>
      <c r="S147" s="30" t="s">
        <v>513</v>
      </c>
      <c r="T147" s="36">
        <v>46023</v>
      </c>
      <c r="U147" s="37">
        <v>46062</v>
      </c>
      <c r="V147" s="51">
        <v>46067</v>
      </c>
      <c r="W147" s="52"/>
      <c r="X147" s="187" t="s">
        <v>514</v>
      </c>
      <c r="Y147" s="30">
        <v>0.5</v>
      </c>
      <c r="Z147" s="51"/>
      <c r="AA147" s="41">
        <v>46062</v>
      </c>
      <c r="AB147" s="41">
        <v>46067</v>
      </c>
      <c r="AC147" s="30"/>
      <c r="AD147" s="56" t="s">
        <v>72</v>
      </c>
      <c r="AE147" s="33"/>
      <c r="AF147" s="43">
        <v>46058</v>
      </c>
      <c r="AG147" s="43">
        <v>46058</v>
      </c>
      <c r="AH147" s="43">
        <v>46071</v>
      </c>
      <c r="AI147" s="43">
        <v>46072</v>
      </c>
      <c r="AJ147" s="43"/>
      <c r="AK147" s="165">
        <v>46016</v>
      </c>
      <c r="AL147" s="115">
        <v>448.45</v>
      </c>
      <c r="AM147" s="100">
        <v>46068</v>
      </c>
      <c r="AN147" s="115">
        <v>448.45</v>
      </c>
      <c r="AO147" s="47">
        <v>448.45</v>
      </c>
      <c r="AP147" s="47" t="s">
        <v>61</v>
      </c>
      <c r="AQ147" s="33"/>
      <c r="AR147" s="30"/>
      <c r="AS147" s="33"/>
    </row>
    <row r="148" spans="1:45" ht="18.649999999999999" customHeight="1">
      <c r="A148" s="48"/>
      <c r="B148" s="30"/>
      <c r="C148" s="30"/>
      <c r="D148" s="48" t="s">
        <v>48</v>
      </c>
      <c r="E148" s="49" t="s">
        <v>210</v>
      </c>
      <c r="F148" s="185">
        <v>2000002429</v>
      </c>
      <c r="G148" s="107" t="s">
        <v>516</v>
      </c>
      <c r="H148" s="186">
        <v>15</v>
      </c>
      <c r="I148" s="107" t="s">
        <v>212</v>
      </c>
      <c r="J148" s="33"/>
      <c r="K148" s="30"/>
      <c r="L148" s="33"/>
      <c r="M148" s="34" t="s">
        <v>512</v>
      </c>
      <c r="N148" s="30">
        <v>28027407</v>
      </c>
      <c r="O148" s="30" t="s">
        <v>189</v>
      </c>
      <c r="P148" s="30"/>
      <c r="Q148" s="30">
        <v>4635232</v>
      </c>
      <c r="R148" s="30" t="s">
        <v>215</v>
      </c>
      <c r="S148" s="30" t="s">
        <v>513</v>
      </c>
      <c r="T148" s="36">
        <v>46023</v>
      </c>
      <c r="U148" s="37">
        <v>46062</v>
      </c>
      <c r="V148" s="51">
        <v>46067</v>
      </c>
      <c r="W148" s="52"/>
      <c r="X148" s="187" t="s">
        <v>514</v>
      </c>
      <c r="Y148" s="30">
        <v>0.5</v>
      </c>
      <c r="Z148" s="51"/>
      <c r="AA148" s="41">
        <v>46062</v>
      </c>
      <c r="AB148" s="41">
        <v>46067</v>
      </c>
      <c r="AC148" s="30"/>
      <c r="AD148" s="56" t="s">
        <v>72</v>
      </c>
      <c r="AE148" s="33"/>
      <c r="AF148" s="43">
        <v>46058</v>
      </c>
      <c r="AG148" s="43">
        <v>46058</v>
      </c>
      <c r="AH148" s="43">
        <v>46071</v>
      </c>
      <c r="AI148" s="43">
        <v>46072</v>
      </c>
      <c r="AJ148" s="43"/>
      <c r="AK148" s="165">
        <v>46016</v>
      </c>
      <c r="AL148" s="115">
        <v>49.05</v>
      </c>
      <c r="AM148" s="100">
        <v>46068</v>
      </c>
      <c r="AN148" s="115">
        <v>49.05</v>
      </c>
      <c r="AO148" s="47">
        <v>49.05</v>
      </c>
      <c r="AP148" s="47" t="s">
        <v>61</v>
      </c>
      <c r="AQ148" s="33"/>
      <c r="AR148" s="30"/>
      <c r="AS148" s="33"/>
    </row>
    <row r="149" spans="1:45" ht="18.649999999999999" customHeight="1">
      <c r="A149" s="48"/>
      <c r="B149" s="30"/>
      <c r="C149" s="30"/>
      <c r="D149" s="48" t="s">
        <v>48</v>
      </c>
      <c r="E149" s="49" t="s">
        <v>210</v>
      </c>
      <c r="F149" s="185">
        <v>2000018103</v>
      </c>
      <c r="G149" s="107" t="s">
        <v>517</v>
      </c>
      <c r="H149" s="186">
        <v>5</v>
      </c>
      <c r="I149" s="107" t="s">
        <v>212</v>
      </c>
      <c r="J149" s="33"/>
      <c r="K149" s="30"/>
      <c r="L149" s="33"/>
      <c r="M149" s="34" t="s">
        <v>512</v>
      </c>
      <c r="N149" s="30">
        <v>28027407</v>
      </c>
      <c r="O149" s="30" t="s">
        <v>189</v>
      </c>
      <c r="P149" s="30"/>
      <c r="Q149" s="30">
        <v>4635232</v>
      </c>
      <c r="R149" s="30" t="s">
        <v>215</v>
      </c>
      <c r="S149" s="30" t="s">
        <v>513</v>
      </c>
      <c r="T149" s="36">
        <v>46023</v>
      </c>
      <c r="U149" s="37">
        <v>46062</v>
      </c>
      <c r="V149" s="51">
        <v>46067</v>
      </c>
      <c r="W149" s="52"/>
      <c r="X149" s="187" t="s">
        <v>514</v>
      </c>
      <c r="Y149" s="30">
        <v>0.5</v>
      </c>
      <c r="Z149" s="51"/>
      <c r="AA149" s="41">
        <v>46062</v>
      </c>
      <c r="AB149" s="41">
        <v>46067</v>
      </c>
      <c r="AC149" s="30"/>
      <c r="AD149" s="56" t="s">
        <v>72</v>
      </c>
      <c r="AE149" s="33"/>
      <c r="AF149" s="43">
        <v>46058</v>
      </c>
      <c r="AG149" s="43">
        <v>46058</v>
      </c>
      <c r="AH149" s="43">
        <v>46071</v>
      </c>
      <c r="AI149" s="43">
        <v>46072</v>
      </c>
      <c r="AJ149" s="43"/>
      <c r="AK149" s="165">
        <v>46016</v>
      </c>
      <c r="AL149" s="115">
        <v>29.6</v>
      </c>
      <c r="AM149" s="100">
        <v>46068</v>
      </c>
      <c r="AN149" s="115">
        <v>29.6</v>
      </c>
      <c r="AO149" s="47">
        <v>29.6</v>
      </c>
      <c r="AP149" s="47" t="s">
        <v>61</v>
      </c>
      <c r="AQ149" s="33"/>
      <c r="AR149" s="30"/>
      <c r="AS149" s="33"/>
    </row>
    <row r="150" spans="1:45" ht="18.649999999999999" customHeight="1">
      <c r="A150" s="48"/>
      <c r="B150" s="30"/>
      <c r="C150" s="30"/>
      <c r="D150" s="48" t="s">
        <v>48</v>
      </c>
      <c r="E150" s="49" t="s">
        <v>210</v>
      </c>
      <c r="F150" s="185">
        <v>2000005878</v>
      </c>
      <c r="G150" s="107" t="s">
        <v>222</v>
      </c>
      <c r="H150" s="186">
        <v>85</v>
      </c>
      <c r="I150" s="107" t="s">
        <v>212</v>
      </c>
      <c r="J150" s="188" t="s">
        <v>53</v>
      </c>
      <c r="K150" s="30"/>
      <c r="L150" s="33"/>
      <c r="M150" s="34" t="s">
        <v>518</v>
      </c>
      <c r="N150" s="160">
        <v>28030664</v>
      </c>
      <c r="O150" s="30" t="s">
        <v>189</v>
      </c>
      <c r="P150" s="30"/>
      <c r="Q150" s="30">
        <v>4635232</v>
      </c>
      <c r="R150" s="30" t="s">
        <v>215</v>
      </c>
      <c r="S150" s="30" t="s">
        <v>513</v>
      </c>
      <c r="T150" s="36">
        <v>46023</v>
      </c>
      <c r="U150" s="37">
        <v>46062</v>
      </c>
      <c r="V150" s="51">
        <v>46067</v>
      </c>
      <c r="W150" s="52"/>
      <c r="X150" s="187" t="s">
        <v>514</v>
      </c>
      <c r="Y150" s="30">
        <v>0.5</v>
      </c>
      <c r="Z150" s="51"/>
      <c r="AA150" s="41">
        <v>46062</v>
      </c>
      <c r="AB150" s="41">
        <v>46067</v>
      </c>
      <c r="AC150" s="30"/>
      <c r="AD150" s="56" t="s">
        <v>72</v>
      </c>
      <c r="AE150" s="33"/>
      <c r="AF150" s="43">
        <v>46058</v>
      </c>
      <c r="AG150" s="43">
        <v>46058</v>
      </c>
      <c r="AH150" s="43">
        <v>46071</v>
      </c>
      <c r="AI150" s="43">
        <v>46072</v>
      </c>
      <c r="AJ150" s="43"/>
      <c r="AK150" s="165">
        <v>46016</v>
      </c>
      <c r="AL150" s="116">
        <v>136.42500000000001</v>
      </c>
      <c r="AM150" s="100">
        <v>46068</v>
      </c>
      <c r="AN150" s="116">
        <v>136.42500000000001</v>
      </c>
      <c r="AO150" s="47">
        <v>136.42500000000001</v>
      </c>
      <c r="AP150" s="47" t="s">
        <v>61</v>
      </c>
      <c r="AQ150" s="33"/>
      <c r="AR150" s="30"/>
      <c r="AS150" s="33"/>
    </row>
    <row r="151" spans="1:45" ht="18.649999999999999" customHeight="1">
      <c r="A151" s="48"/>
      <c r="B151" s="30"/>
      <c r="C151" s="30"/>
      <c r="D151" s="48" t="s">
        <v>48</v>
      </c>
      <c r="E151" s="49" t="s">
        <v>210</v>
      </c>
      <c r="F151" s="185">
        <v>2000003628</v>
      </c>
      <c r="G151" s="107" t="s">
        <v>519</v>
      </c>
      <c r="H151" s="186">
        <v>150</v>
      </c>
      <c r="I151" s="107" t="s">
        <v>520</v>
      </c>
      <c r="J151" s="33"/>
      <c r="K151" s="30"/>
      <c r="L151" s="33"/>
      <c r="M151" s="34" t="s">
        <v>512</v>
      </c>
      <c r="N151" s="189">
        <v>28027407</v>
      </c>
      <c r="O151" s="30" t="s">
        <v>189</v>
      </c>
      <c r="P151" s="30"/>
      <c r="Q151" s="30">
        <v>4635232</v>
      </c>
      <c r="R151" s="30" t="s">
        <v>215</v>
      </c>
      <c r="S151" s="30" t="s">
        <v>513</v>
      </c>
      <c r="T151" s="36">
        <v>46023</v>
      </c>
      <c r="U151" s="37">
        <v>46062</v>
      </c>
      <c r="V151" s="51">
        <v>46067</v>
      </c>
      <c r="W151" s="52"/>
      <c r="X151" s="187" t="s">
        <v>514</v>
      </c>
      <c r="Y151" s="30">
        <v>0.5</v>
      </c>
      <c r="Z151" s="51"/>
      <c r="AA151" s="41">
        <v>46062</v>
      </c>
      <c r="AB151" s="41">
        <v>46067</v>
      </c>
      <c r="AC151" s="30"/>
      <c r="AD151" s="56" t="s">
        <v>72</v>
      </c>
      <c r="AE151" s="33"/>
      <c r="AF151" s="43">
        <v>46058</v>
      </c>
      <c r="AG151" s="43">
        <v>46058</v>
      </c>
      <c r="AH151" s="43">
        <v>46071</v>
      </c>
      <c r="AI151" s="43">
        <v>46072</v>
      </c>
      <c r="AJ151" s="43"/>
      <c r="AK151" s="165">
        <v>46016</v>
      </c>
      <c r="AL151" s="115">
        <v>2526.75</v>
      </c>
      <c r="AM151" s="100">
        <v>46068</v>
      </c>
      <c r="AN151" s="115">
        <v>2526.75</v>
      </c>
      <c r="AO151" s="47">
        <v>2526.75</v>
      </c>
      <c r="AP151" s="47" t="s">
        <v>61</v>
      </c>
      <c r="AQ151" s="33"/>
      <c r="AR151" s="30"/>
      <c r="AS151" s="33"/>
    </row>
    <row r="152" spans="1:45" ht="18.649999999999999" customHeight="1">
      <c r="A152" s="48"/>
      <c r="B152" s="30"/>
      <c r="C152" s="30"/>
      <c r="D152" s="48" t="s">
        <v>48</v>
      </c>
      <c r="E152" s="49" t="s">
        <v>210</v>
      </c>
      <c r="F152" s="185">
        <v>2000003270</v>
      </c>
      <c r="G152" s="107" t="s">
        <v>521</v>
      </c>
      <c r="H152" s="186">
        <v>10</v>
      </c>
      <c r="I152" s="107" t="s">
        <v>212</v>
      </c>
      <c r="J152" s="33"/>
      <c r="K152" s="30"/>
      <c r="L152" s="33"/>
      <c r="M152" s="34" t="s">
        <v>512</v>
      </c>
      <c r="N152" s="30">
        <v>28027407</v>
      </c>
      <c r="O152" s="30" t="s">
        <v>189</v>
      </c>
      <c r="P152" s="30"/>
      <c r="Q152" s="30">
        <v>4635232</v>
      </c>
      <c r="R152" s="30" t="s">
        <v>215</v>
      </c>
      <c r="S152" s="30" t="s">
        <v>513</v>
      </c>
      <c r="T152" s="36">
        <v>46023</v>
      </c>
      <c r="U152" s="37">
        <v>46062</v>
      </c>
      <c r="V152" s="51">
        <v>46067</v>
      </c>
      <c r="W152" s="52"/>
      <c r="X152" s="187" t="s">
        <v>514</v>
      </c>
      <c r="Y152" s="30">
        <v>0.5</v>
      </c>
      <c r="Z152" s="51"/>
      <c r="AA152" s="41">
        <v>46062</v>
      </c>
      <c r="AB152" s="41">
        <v>46067</v>
      </c>
      <c r="AC152" s="30"/>
      <c r="AD152" s="56" t="s">
        <v>72</v>
      </c>
      <c r="AE152" s="33"/>
      <c r="AF152" s="43">
        <v>46058</v>
      </c>
      <c r="AG152" s="43">
        <v>46058</v>
      </c>
      <c r="AH152" s="43">
        <v>46071</v>
      </c>
      <c r="AI152" s="43">
        <v>46072</v>
      </c>
      <c r="AJ152" s="43"/>
      <c r="AK152" s="165">
        <v>46016</v>
      </c>
      <c r="AL152" s="115">
        <v>32.5</v>
      </c>
      <c r="AM152" s="100">
        <v>46068</v>
      </c>
      <c r="AN152" s="115">
        <v>32.5</v>
      </c>
      <c r="AO152" s="47">
        <v>32.5</v>
      </c>
      <c r="AP152" s="47" t="s">
        <v>61</v>
      </c>
      <c r="AQ152" s="33"/>
      <c r="AR152" s="30"/>
      <c r="AS152" s="33"/>
    </row>
    <row r="153" spans="1:45" ht="18.649999999999999" customHeight="1">
      <c r="A153" s="48"/>
      <c r="B153" s="30"/>
      <c r="C153" s="30"/>
      <c r="D153" s="48" t="s">
        <v>48</v>
      </c>
      <c r="E153" s="49" t="s">
        <v>210</v>
      </c>
      <c r="F153" s="185">
        <v>2000020846</v>
      </c>
      <c r="G153" s="107" t="s">
        <v>522</v>
      </c>
      <c r="H153" s="186">
        <v>30</v>
      </c>
      <c r="I153" s="107" t="s">
        <v>212</v>
      </c>
      <c r="J153" s="33"/>
      <c r="K153" s="30"/>
      <c r="L153" s="33"/>
      <c r="M153" s="34" t="s">
        <v>512</v>
      </c>
      <c r="N153" s="30">
        <v>28027407</v>
      </c>
      <c r="O153" s="30" t="s">
        <v>189</v>
      </c>
      <c r="P153" s="30"/>
      <c r="Q153" s="30">
        <v>4635232</v>
      </c>
      <c r="R153" s="30" t="s">
        <v>215</v>
      </c>
      <c r="S153" s="30" t="s">
        <v>513</v>
      </c>
      <c r="T153" s="36">
        <v>46023</v>
      </c>
      <c r="U153" s="37">
        <v>46062</v>
      </c>
      <c r="V153" s="51">
        <v>46067</v>
      </c>
      <c r="W153" s="52"/>
      <c r="X153" s="187" t="s">
        <v>514</v>
      </c>
      <c r="Y153" s="30">
        <v>0.5</v>
      </c>
      <c r="Z153" s="51"/>
      <c r="AA153" s="41">
        <v>46062</v>
      </c>
      <c r="AB153" s="41">
        <v>46067</v>
      </c>
      <c r="AC153" s="30"/>
      <c r="AD153" s="56" t="s">
        <v>72</v>
      </c>
      <c r="AE153" s="33"/>
      <c r="AF153" s="43">
        <v>46058</v>
      </c>
      <c r="AG153" s="43">
        <v>46058</v>
      </c>
      <c r="AH153" s="43">
        <v>46071</v>
      </c>
      <c r="AI153" s="43">
        <v>46072</v>
      </c>
      <c r="AJ153" s="43"/>
      <c r="AK153" s="165">
        <v>46016</v>
      </c>
      <c r="AL153" s="115">
        <v>181.35</v>
      </c>
      <c r="AM153" s="100">
        <v>46068</v>
      </c>
      <c r="AN153" s="115">
        <v>181.35</v>
      </c>
      <c r="AO153" s="47">
        <v>181.35</v>
      </c>
      <c r="AP153" s="47" t="s">
        <v>61</v>
      </c>
      <c r="AQ153" s="33"/>
      <c r="AR153" s="30"/>
      <c r="AS153" s="33"/>
    </row>
    <row r="154" spans="1:45" ht="18.649999999999999" customHeight="1">
      <c r="A154" s="48"/>
      <c r="B154" s="30"/>
      <c r="C154" s="30"/>
      <c r="D154" s="48" t="s">
        <v>48</v>
      </c>
      <c r="E154" s="49" t="s">
        <v>210</v>
      </c>
      <c r="F154" s="185">
        <v>2000006076</v>
      </c>
      <c r="G154" s="107" t="s">
        <v>523</v>
      </c>
      <c r="H154" s="186">
        <v>30</v>
      </c>
      <c r="I154" s="107" t="s">
        <v>524</v>
      </c>
      <c r="J154" s="33" t="s">
        <v>53</v>
      </c>
      <c r="K154" s="30"/>
      <c r="L154" s="33"/>
      <c r="M154" s="34" t="s">
        <v>512</v>
      </c>
      <c r="N154" s="30">
        <v>28027407</v>
      </c>
      <c r="O154" s="30" t="s">
        <v>189</v>
      </c>
      <c r="P154" s="30"/>
      <c r="Q154" s="30">
        <v>4635232</v>
      </c>
      <c r="R154" s="30" t="s">
        <v>215</v>
      </c>
      <c r="S154" s="30" t="s">
        <v>513</v>
      </c>
      <c r="T154" s="36">
        <v>46023</v>
      </c>
      <c r="U154" s="37">
        <v>46062</v>
      </c>
      <c r="V154" s="51">
        <v>46067</v>
      </c>
      <c r="W154" s="52"/>
      <c r="X154" s="187" t="s">
        <v>514</v>
      </c>
      <c r="Y154" s="30">
        <v>0.5</v>
      </c>
      <c r="Z154" s="51"/>
      <c r="AA154" s="41">
        <v>46062</v>
      </c>
      <c r="AB154" s="41">
        <v>46067</v>
      </c>
      <c r="AC154" s="30"/>
      <c r="AD154" s="56" t="s">
        <v>72</v>
      </c>
      <c r="AE154" s="33"/>
      <c r="AF154" s="43">
        <v>46058</v>
      </c>
      <c r="AG154" s="43">
        <v>46058</v>
      </c>
      <c r="AH154" s="43">
        <v>46071</v>
      </c>
      <c r="AI154" s="43">
        <v>46072</v>
      </c>
      <c r="AJ154" s="43"/>
      <c r="AK154" s="165">
        <v>46016</v>
      </c>
      <c r="AL154" s="115">
        <v>1009.5</v>
      </c>
      <c r="AM154" s="100">
        <v>46068</v>
      </c>
      <c r="AN154" s="115">
        <v>1009.5</v>
      </c>
      <c r="AO154" s="47">
        <v>1009.5</v>
      </c>
      <c r="AP154" s="47" t="s">
        <v>61</v>
      </c>
      <c r="AQ154" s="33"/>
      <c r="AR154" s="30"/>
      <c r="AS154" s="33"/>
    </row>
    <row r="155" spans="1:45" ht="18.649999999999999" customHeight="1">
      <c r="A155" s="48"/>
      <c r="B155" s="30"/>
      <c r="C155" s="30"/>
      <c r="D155" s="48" t="s">
        <v>48</v>
      </c>
      <c r="E155" s="49" t="s">
        <v>210</v>
      </c>
      <c r="F155" s="185">
        <v>2000011154</v>
      </c>
      <c r="G155" s="107" t="s">
        <v>525</v>
      </c>
      <c r="H155" s="186">
        <v>24</v>
      </c>
      <c r="I155" s="107" t="s">
        <v>212</v>
      </c>
      <c r="J155" s="102" t="s">
        <v>526</v>
      </c>
      <c r="K155" s="30"/>
      <c r="L155" s="33"/>
      <c r="M155" s="34" t="s">
        <v>512</v>
      </c>
      <c r="N155" s="30">
        <v>28027407</v>
      </c>
      <c r="O155" s="30" t="s">
        <v>189</v>
      </c>
      <c r="P155" s="30"/>
      <c r="Q155" s="30">
        <v>4635232</v>
      </c>
      <c r="R155" s="30" t="s">
        <v>215</v>
      </c>
      <c r="S155" s="30" t="s">
        <v>513</v>
      </c>
      <c r="T155" s="36">
        <v>46023</v>
      </c>
      <c r="U155" s="37">
        <v>46062</v>
      </c>
      <c r="V155" s="51">
        <v>46067</v>
      </c>
      <c r="W155" s="52"/>
      <c r="X155" s="187" t="s">
        <v>514</v>
      </c>
      <c r="Y155" s="30">
        <v>0.5</v>
      </c>
      <c r="Z155" s="51"/>
      <c r="AA155" s="41">
        <v>46062</v>
      </c>
      <c r="AB155" s="41">
        <v>46067</v>
      </c>
      <c r="AC155" s="30"/>
      <c r="AD155" s="56" t="s">
        <v>72</v>
      </c>
      <c r="AE155" s="33"/>
      <c r="AF155" s="43">
        <v>46058</v>
      </c>
      <c r="AG155" s="43">
        <v>46058</v>
      </c>
      <c r="AH155" s="43">
        <v>46071</v>
      </c>
      <c r="AI155" s="43">
        <v>46072</v>
      </c>
      <c r="AJ155" s="43"/>
      <c r="AK155" s="165">
        <v>46016</v>
      </c>
      <c r="AL155" s="115">
        <v>19.2</v>
      </c>
      <c r="AM155" s="100">
        <v>46068</v>
      </c>
      <c r="AN155" s="115">
        <v>19.2</v>
      </c>
      <c r="AO155" s="47">
        <v>19.2</v>
      </c>
      <c r="AP155" s="47" t="s">
        <v>61</v>
      </c>
      <c r="AQ155" s="33"/>
      <c r="AR155" s="30"/>
      <c r="AS155" s="33"/>
    </row>
    <row r="156" spans="1:45" ht="18.649999999999999" customHeight="1">
      <c r="A156" s="48"/>
      <c r="B156" s="30"/>
      <c r="C156" s="30"/>
      <c r="D156" s="48" t="s">
        <v>48</v>
      </c>
      <c r="E156" s="49" t="s">
        <v>210</v>
      </c>
      <c r="F156" s="185">
        <v>2000016899</v>
      </c>
      <c r="G156" s="107" t="s">
        <v>527</v>
      </c>
      <c r="H156" s="186">
        <v>120</v>
      </c>
      <c r="I156" s="107" t="s">
        <v>212</v>
      </c>
      <c r="J156" s="188" t="s">
        <v>53</v>
      </c>
      <c r="K156" s="30"/>
      <c r="L156" s="33"/>
      <c r="M156" s="34" t="s">
        <v>518</v>
      </c>
      <c r="N156" s="160">
        <v>28030664</v>
      </c>
      <c r="O156" s="30" t="s">
        <v>189</v>
      </c>
      <c r="P156" s="30"/>
      <c r="Q156" s="30">
        <v>4635232</v>
      </c>
      <c r="R156" s="30" t="s">
        <v>215</v>
      </c>
      <c r="S156" s="30" t="s">
        <v>513</v>
      </c>
      <c r="T156" s="36">
        <v>46023</v>
      </c>
      <c r="U156" s="37">
        <v>46062</v>
      </c>
      <c r="V156" s="51">
        <v>46067</v>
      </c>
      <c r="W156" s="52"/>
      <c r="X156" s="187" t="s">
        <v>514</v>
      </c>
      <c r="Y156" s="30">
        <v>0.5</v>
      </c>
      <c r="Z156" s="51"/>
      <c r="AA156" s="41">
        <v>46062</v>
      </c>
      <c r="AB156" s="41">
        <v>46067</v>
      </c>
      <c r="AC156" s="30"/>
      <c r="AD156" s="56" t="s">
        <v>72</v>
      </c>
      <c r="AE156" s="33"/>
      <c r="AF156" s="43">
        <v>46058</v>
      </c>
      <c r="AG156" s="43">
        <v>46058</v>
      </c>
      <c r="AH156" s="43">
        <v>46071</v>
      </c>
      <c r="AI156" s="43">
        <v>46072</v>
      </c>
      <c r="AJ156" s="43"/>
      <c r="AK156" s="165">
        <v>46016</v>
      </c>
      <c r="AL156" s="115">
        <v>4245.6000000000004</v>
      </c>
      <c r="AM156" s="100">
        <v>46068</v>
      </c>
      <c r="AN156" s="115">
        <v>4245.6000000000004</v>
      </c>
      <c r="AO156" s="47">
        <v>4245.6000000000004</v>
      </c>
      <c r="AP156" s="47" t="s">
        <v>61</v>
      </c>
      <c r="AQ156" s="33"/>
      <c r="AR156" s="30"/>
      <c r="AS156" s="33"/>
    </row>
    <row r="157" spans="1:45" ht="18.649999999999999" customHeight="1">
      <c r="A157" s="48"/>
      <c r="B157" s="30"/>
      <c r="C157" s="30"/>
      <c r="D157" s="48" t="s">
        <v>48</v>
      </c>
      <c r="E157" s="49" t="s">
        <v>210</v>
      </c>
      <c r="F157" s="185">
        <v>2000004007</v>
      </c>
      <c r="G157" s="107" t="s">
        <v>224</v>
      </c>
      <c r="H157" s="108">
        <v>100</v>
      </c>
      <c r="I157" s="107" t="s">
        <v>212</v>
      </c>
      <c r="J157" s="102" t="s">
        <v>528</v>
      </c>
      <c r="K157" s="30"/>
      <c r="L157" s="33"/>
      <c r="M157" s="34" t="s">
        <v>512</v>
      </c>
      <c r="N157" s="30">
        <v>28027407</v>
      </c>
      <c r="O157" s="30" t="s">
        <v>189</v>
      </c>
      <c r="P157" s="30"/>
      <c r="Q157" s="30">
        <v>4635232</v>
      </c>
      <c r="R157" s="30" t="s">
        <v>215</v>
      </c>
      <c r="S157" s="30" t="s">
        <v>513</v>
      </c>
      <c r="T157" s="36">
        <v>46023</v>
      </c>
      <c r="U157" s="37">
        <v>46062</v>
      </c>
      <c r="V157" s="51">
        <v>46067</v>
      </c>
      <c r="W157" s="52"/>
      <c r="X157" s="187" t="s">
        <v>514</v>
      </c>
      <c r="Y157" s="30">
        <v>0.5</v>
      </c>
      <c r="Z157" s="51"/>
      <c r="AA157" s="41">
        <v>46062</v>
      </c>
      <c r="AB157" s="41">
        <v>46067</v>
      </c>
      <c r="AC157" s="30"/>
      <c r="AD157" s="56" t="s">
        <v>72</v>
      </c>
      <c r="AE157" s="33"/>
      <c r="AF157" s="43">
        <v>46058</v>
      </c>
      <c r="AG157" s="43">
        <v>46058</v>
      </c>
      <c r="AH157" s="43">
        <v>46071</v>
      </c>
      <c r="AI157" s="43">
        <v>46072</v>
      </c>
      <c r="AJ157" s="43"/>
      <c r="AK157" s="165">
        <v>46016</v>
      </c>
      <c r="AL157" s="115">
        <v>81</v>
      </c>
      <c r="AM157" s="100">
        <v>46068</v>
      </c>
      <c r="AN157" s="115">
        <v>81</v>
      </c>
      <c r="AO157" s="47">
        <v>81</v>
      </c>
      <c r="AP157" s="47" t="s">
        <v>61</v>
      </c>
      <c r="AQ157" s="33"/>
      <c r="AR157" s="30"/>
      <c r="AS157" s="33"/>
    </row>
    <row r="158" spans="1:45" ht="18.649999999999999" customHeight="1">
      <c r="A158" s="48"/>
      <c r="B158" s="30"/>
      <c r="C158" s="30"/>
      <c r="D158" s="48" t="s">
        <v>48</v>
      </c>
      <c r="E158" s="49" t="s">
        <v>210</v>
      </c>
      <c r="F158" s="185">
        <v>2000016710</v>
      </c>
      <c r="G158" s="107" t="s">
        <v>529</v>
      </c>
      <c r="H158" s="108">
        <v>36</v>
      </c>
      <c r="I158" s="107" t="s">
        <v>212</v>
      </c>
      <c r="J158" s="102" t="s">
        <v>530</v>
      </c>
      <c r="K158" s="30"/>
      <c r="L158" s="33"/>
      <c r="M158" s="34" t="s">
        <v>512</v>
      </c>
      <c r="N158" s="30">
        <v>28027407</v>
      </c>
      <c r="O158" s="30" t="s">
        <v>189</v>
      </c>
      <c r="P158" s="30"/>
      <c r="Q158" s="30">
        <v>4635232</v>
      </c>
      <c r="R158" s="30" t="s">
        <v>215</v>
      </c>
      <c r="S158" s="30" t="s">
        <v>513</v>
      </c>
      <c r="T158" s="36">
        <v>46023</v>
      </c>
      <c r="U158" s="37">
        <v>46062</v>
      </c>
      <c r="V158" s="51">
        <v>46067</v>
      </c>
      <c r="W158" s="52"/>
      <c r="X158" s="187" t="s">
        <v>514</v>
      </c>
      <c r="Y158" s="30">
        <v>0.5</v>
      </c>
      <c r="Z158" s="51"/>
      <c r="AA158" s="41">
        <v>46062</v>
      </c>
      <c r="AB158" s="41">
        <v>46067</v>
      </c>
      <c r="AC158" s="30"/>
      <c r="AD158" s="56" t="s">
        <v>72</v>
      </c>
      <c r="AE158" s="33"/>
      <c r="AF158" s="43">
        <v>46058</v>
      </c>
      <c r="AG158" s="43">
        <v>46058</v>
      </c>
      <c r="AH158" s="43">
        <v>46071</v>
      </c>
      <c r="AI158" s="43">
        <v>46072</v>
      </c>
      <c r="AJ158" s="43"/>
      <c r="AK158" s="165">
        <v>46016</v>
      </c>
      <c r="AL158" s="115">
        <v>304.38</v>
      </c>
      <c r="AM158" s="100">
        <v>46068</v>
      </c>
      <c r="AN158" s="115">
        <v>304.38</v>
      </c>
      <c r="AO158" s="47">
        <v>304.38</v>
      </c>
      <c r="AP158" s="47" t="s">
        <v>61</v>
      </c>
      <c r="AQ158" s="33"/>
      <c r="AR158" s="30"/>
      <c r="AS158" s="33"/>
    </row>
    <row r="159" spans="1:45" ht="18.649999999999999" customHeight="1">
      <c r="A159" s="48"/>
      <c r="B159" s="30"/>
      <c r="C159" s="30"/>
      <c r="D159" s="48" t="s">
        <v>48</v>
      </c>
      <c r="E159" s="49" t="s">
        <v>210</v>
      </c>
      <c r="F159" s="185">
        <v>2000020397</v>
      </c>
      <c r="G159" s="107" t="s">
        <v>225</v>
      </c>
      <c r="H159" s="108">
        <v>40</v>
      </c>
      <c r="I159" s="107" t="s">
        <v>212</v>
      </c>
      <c r="J159" s="102" t="s">
        <v>526</v>
      </c>
      <c r="K159" s="30"/>
      <c r="L159" s="33"/>
      <c r="M159" s="34" t="s">
        <v>512</v>
      </c>
      <c r="N159" s="160">
        <v>28030664</v>
      </c>
      <c r="O159" s="30" t="s">
        <v>189</v>
      </c>
      <c r="P159" s="30"/>
      <c r="Q159" s="30">
        <v>4635232</v>
      </c>
      <c r="R159" s="30" t="s">
        <v>215</v>
      </c>
      <c r="S159" s="30" t="s">
        <v>513</v>
      </c>
      <c r="T159" s="36">
        <v>46023</v>
      </c>
      <c r="U159" s="37">
        <v>46062</v>
      </c>
      <c r="V159" s="51">
        <v>46067</v>
      </c>
      <c r="W159" s="52"/>
      <c r="X159" s="187" t="s">
        <v>514</v>
      </c>
      <c r="Y159" s="30">
        <v>0.5</v>
      </c>
      <c r="Z159" s="51"/>
      <c r="AA159" s="41">
        <v>46062</v>
      </c>
      <c r="AB159" s="41">
        <v>46067</v>
      </c>
      <c r="AC159" s="30"/>
      <c r="AD159" s="56" t="s">
        <v>72</v>
      </c>
      <c r="AE159" s="33"/>
      <c r="AF159" s="43">
        <v>46058</v>
      </c>
      <c r="AG159" s="43">
        <v>46058</v>
      </c>
      <c r="AH159" s="43">
        <v>46071</v>
      </c>
      <c r="AI159" s="43">
        <v>46072</v>
      </c>
      <c r="AJ159" s="43"/>
      <c r="AK159" s="165">
        <v>46016</v>
      </c>
      <c r="AL159" s="115">
        <v>370.4</v>
      </c>
      <c r="AM159" s="100">
        <v>46068</v>
      </c>
      <c r="AN159" s="115">
        <v>370.4</v>
      </c>
      <c r="AO159" s="47">
        <v>370.4</v>
      </c>
      <c r="AP159" s="47" t="s">
        <v>61</v>
      </c>
      <c r="AQ159" s="33"/>
      <c r="AR159" s="30"/>
      <c r="AS159" s="33"/>
    </row>
    <row r="160" spans="1:45" ht="18.649999999999999" customHeight="1">
      <c r="A160" s="48"/>
      <c r="B160" s="30"/>
      <c r="C160" s="30"/>
      <c r="D160" s="48" t="s">
        <v>48</v>
      </c>
      <c r="E160" s="49" t="s">
        <v>210</v>
      </c>
      <c r="F160" s="185">
        <v>2000007554</v>
      </c>
      <c r="G160" s="107" t="s">
        <v>228</v>
      </c>
      <c r="H160" s="108">
        <v>50</v>
      </c>
      <c r="I160" s="107" t="s">
        <v>212</v>
      </c>
      <c r="J160" s="33"/>
      <c r="K160" s="30"/>
      <c r="L160" s="33"/>
      <c r="M160" s="34" t="s">
        <v>512</v>
      </c>
      <c r="N160" s="30">
        <v>28027407</v>
      </c>
      <c r="O160" s="30" t="s">
        <v>189</v>
      </c>
      <c r="P160" s="30"/>
      <c r="Q160" s="30">
        <v>4635232</v>
      </c>
      <c r="R160" s="30" t="s">
        <v>215</v>
      </c>
      <c r="S160" s="30" t="s">
        <v>513</v>
      </c>
      <c r="T160" s="36">
        <v>46023</v>
      </c>
      <c r="U160" s="37">
        <v>46062</v>
      </c>
      <c r="V160" s="51">
        <v>46067</v>
      </c>
      <c r="W160" s="52"/>
      <c r="X160" s="187" t="s">
        <v>514</v>
      </c>
      <c r="Y160" s="30">
        <v>0.5</v>
      </c>
      <c r="Z160" s="51"/>
      <c r="AA160" s="41">
        <v>46062</v>
      </c>
      <c r="AB160" s="41">
        <v>46067</v>
      </c>
      <c r="AC160" s="30"/>
      <c r="AD160" s="56" t="s">
        <v>72</v>
      </c>
      <c r="AE160" s="33"/>
      <c r="AF160" s="43">
        <v>46058</v>
      </c>
      <c r="AG160" s="43">
        <v>46058</v>
      </c>
      <c r="AH160" s="43">
        <v>46071</v>
      </c>
      <c r="AI160" s="43">
        <v>46072</v>
      </c>
      <c r="AJ160" s="43"/>
      <c r="AK160" s="165">
        <v>46016</v>
      </c>
      <c r="AL160" s="115">
        <v>75.5</v>
      </c>
      <c r="AM160" s="100">
        <v>46068</v>
      </c>
      <c r="AN160" s="115">
        <v>75.5</v>
      </c>
      <c r="AO160" s="47">
        <v>75.5</v>
      </c>
      <c r="AP160" s="47" t="s">
        <v>61</v>
      </c>
      <c r="AQ160" s="33"/>
      <c r="AR160" s="30"/>
      <c r="AS160" s="33"/>
    </row>
    <row r="161" spans="1:45" ht="18.649999999999999" customHeight="1">
      <c r="A161" s="48"/>
      <c r="B161" s="30"/>
      <c r="C161" s="30"/>
      <c r="D161" s="48" t="s">
        <v>48</v>
      </c>
      <c r="E161" s="49" t="s">
        <v>210</v>
      </c>
      <c r="F161" s="185">
        <v>2000002343</v>
      </c>
      <c r="G161" s="107" t="s">
        <v>230</v>
      </c>
      <c r="H161" s="108">
        <v>2</v>
      </c>
      <c r="I161" s="107" t="s">
        <v>212</v>
      </c>
      <c r="J161" s="102" t="s">
        <v>530</v>
      </c>
      <c r="K161" s="30"/>
      <c r="L161" s="33"/>
      <c r="M161" s="34" t="s">
        <v>512</v>
      </c>
      <c r="N161" s="30">
        <v>28027407</v>
      </c>
      <c r="O161" s="30" t="s">
        <v>189</v>
      </c>
      <c r="P161" s="30"/>
      <c r="Q161" s="30">
        <v>4635232</v>
      </c>
      <c r="R161" s="30" t="s">
        <v>215</v>
      </c>
      <c r="S161" s="30" t="s">
        <v>513</v>
      </c>
      <c r="T161" s="36">
        <v>46023</v>
      </c>
      <c r="U161" s="37">
        <v>46062</v>
      </c>
      <c r="V161" s="51">
        <v>46067</v>
      </c>
      <c r="W161" s="52"/>
      <c r="X161" s="187" t="s">
        <v>514</v>
      </c>
      <c r="Y161" s="30">
        <v>0.5</v>
      </c>
      <c r="Z161" s="51"/>
      <c r="AA161" s="41">
        <v>46062</v>
      </c>
      <c r="AB161" s="41">
        <v>46067</v>
      </c>
      <c r="AC161" s="30"/>
      <c r="AD161" s="56" t="s">
        <v>72</v>
      </c>
      <c r="AE161" s="33"/>
      <c r="AF161" s="43">
        <v>46058</v>
      </c>
      <c r="AG161" s="43">
        <v>46058</v>
      </c>
      <c r="AH161" s="43">
        <v>46071</v>
      </c>
      <c r="AI161" s="43">
        <v>46072</v>
      </c>
      <c r="AJ161" s="43"/>
      <c r="AK161" s="165">
        <v>46016</v>
      </c>
      <c r="AL161" s="115">
        <v>3.35</v>
      </c>
      <c r="AM161" s="100">
        <v>46068</v>
      </c>
      <c r="AN161" s="115">
        <v>3.35</v>
      </c>
      <c r="AO161" s="47">
        <v>3.35</v>
      </c>
      <c r="AP161" s="47" t="s">
        <v>61</v>
      </c>
      <c r="AQ161" s="33"/>
      <c r="AR161" s="30"/>
      <c r="AS161" s="33"/>
    </row>
    <row r="162" spans="1:45" ht="18.649999999999999" customHeight="1">
      <c r="A162" s="48"/>
      <c r="B162" s="30"/>
      <c r="C162" s="30"/>
      <c r="D162" s="48" t="s">
        <v>48</v>
      </c>
      <c r="E162" s="49" t="s">
        <v>210</v>
      </c>
      <c r="F162" s="185">
        <v>2000008853</v>
      </c>
      <c r="G162" s="107" t="s">
        <v>231</v>
      </c>
      <c r="H162" s="108">
        <v>2</v>
      </c>
      <c r="I162" s="107" t="s">
        <v>212</v>
      </c>
      <c r="J162" s="102" t="s">
        <v>530</v>
      </c>
      <c r="K162" s="30"/>
      <c r="L162" s="33"/>
      <c r="M162" s="34" t="s">
        <v>512</v>
      </c>
      <c r="N162" s="30">
        <v>28027407</v>
      </c>
      <c r="O162" s="30" t="s">
        <v>189</v>
      </c>
      <c r="P162" s="30"/>
      <c r="Q162" s="30">
        <v>4635232</v>
      </c>
      <c r="R162" s="30" t="s">
        <v>215</v>
      </c>
      <c r="S162" s="30" t="s">
        <v>513</v>
      </c>
      <c r="T162" s="36">
        <v>46023</v>
      </c>
      <c r="U162" s="37">
        <v>46062</v>
      </c>
      <c r="V162" s="51">
        <v>46067</v>
      </c>
      <c r="W162" s="52"/>
      <c r="X162" s="187" t="s">
        <v>514</v>
      </c>
      <c r="Y162" s="30">
        <v>0.5</v>
      </c>
      <c r="Z162" s="51"/>
      <c r="AA162" s="41">
        <v>46062</v>
      </c>
      <c r="AB162" s="41">
        <v>46067</v>
      </c>
      <c r="AC162" s="30"/>
      <c r="AD162" s="56" t="s">
        <v>72</v>
      </c>
      <c r="AE162" s="33"/>
      <c r="AF162" s="43">
        <v>46058</v>
      </c>
      <c r="AG162" s="43">
        <v>46058</v>
      </c>
      <c r="AH162" s="43">
        <v>46071</v>
      </c>
      <c r="AI162" s="43">
        <v>46072</v>
      </c>
      <c r="AJ162" s="43"/>
      <c r="AK162" s="165">
        <v>46016</v>
      </c>
      <c r="AL162" s="115">
        <v>3.24</v>
      </c>
      <c r="AM162" s="100">
        <v>46068</v>
      </c>
      <c r="AN162" s="115">
        <v>3.24</v>
      </c>
      <c r="AO162" s="47">
        <v>3.24</v>
      </c>
      <c r="AP162" s="47" t="s">
        <v>61</v>
      </c>
      <c r="AQ162" s="33"/>
      <c r="AR162" s="30"/>
      <c r="AS162" s="33"/>
    </row>
    <row r="163" spans="1:45" ht="18.649999999999999" customHeight="1">
      <c r="A163" s="48"/>
      <c r="B163" s="30"/>
      <c r="C163" s="30"/>
      <c r="D163" s="48" t="s">
        <v>48</v>
      </c>
      <c r="E163" s="49" t="s">
        <v>210</v>
      </c>
      <c r="F163" s="185">
        <v>2000017797</v>
      </c>
      <c r="G163" s="107" t="s">
        <v>233</v>
      </c>
      <c r="H163" s="186">
        <v>25</v>
      </c>
      <c r="I163" s="107" t="s">
        <v>212</v>
      </c>
      <c r="J163" s="102" t="s">
        <v>526</v>
      </c>
      <c r="K163" s="30"/>
      <c r="L163" s="33"/>
      <c r="M163" s="34" t="s">
        <v>512</v>
      </c>
      <c r="N163" s="30">
        <v>28027407</v>
      </c>
      <c r="O163" s="30" t="s">
        <v>189</v>
      </c>
      <c r="P163" s="30"/>
      <c r="Q163" s="30">
        <v>4635232</v>
      </c>
      <c r="R163" s="30" t="s">
        <v>215</v>
      </c>
      <c r="S163" s="30" t="s">
        <v>513</v>
      </c>
      <c r="T163" s="36">
        <v>46023</v>
      </c>
      <c r="U163" s="37">
        <v>46062</v>
      </c>
      <c r="V163" s="51">
        <v>46067</v>
      </c>
      <c r="W163" s="52"/>
      <c r="X163" s="187" t="s">
        <v>514</v>
      </c>
      <c r="Y163" s="30">
        <v>0.5</v>
      </c>
      <c r="Z163" s="51"/>
      <c r="AA163" s="41">
        <v>46062</v>
      </c>
      <c r="AB163" s="41">
        <v>46067</v>
      </c>
      <c r="AC163" s="30"/>
      <c r="AD163" s="56" t="s">
        <v>72</v>
      </c>
      <c r="AE163" s="33"/>
      <c r="AF163" s="43">
        <v>46058</v>
      </c>
      <c r="AG163" s="43">
        <v>46058</v>
      </c>
      <c r="AH163" s="43">
        <v>46071</v>
      </c>
      <c r="AI163" s="43">
        <v>46072</v>
      </c>
      <c r="AJ163" s="43"/>
      <c r="AK163" s="165">
        <v>46016</v>
      </c>
      <c r="AL163" s="115">
        <v>916.75</v>
      </c>
      <c r="AM163" s="100">
        <v>46068</v>
      </c>
      <c r="AN163" s="115">
        <v>-115.5</v>
      </c>
      <c r="AO163" s="47">
        <v>916.75</v>
      </c>
      <c r="AP163" s="47" t="s">
        <v>61</v>
      </c>
      <c r="AQ163" s="33"/>
      <c r="AR163" s="30"/>
      <c r="AS163" s="33"/>
    </row>
    <row r="164" spans="1:45" ht="18.649999999999999" customHeight="1">
      <c r="A164" s="48"/>
      <c r="B164" s="30"/>
      <c r="C164" s="30"/>
      <c r="D164" s="48" t="s">
        <v>48</v>
      </c>
      <c r="E164" s="49" t="s">
        <v>171</v>
      </c>
      <c r="F164" s="49">
        <v>1000011836</v>
      </c>
      <c r="G164" s="107" t="s">
        <v>172</v>
      </c>
      <c r="H164" s="108">
        <v>150</v>
      </c>
      <c r="I164" s="108" t="s">
        <v>52</v>
      </c>
      <c r="J164" s="33" t="s">
        <v>531</v>
      </c>
      <c r="K164" s="30" t="s">
        <v>53</v>
      </c>
      <c r="L164" s="33"/>
      <c r="M164" s="34" t="s">
        <v>532</v>
      </c>
      <c r="N164" s="30" t="s">
        <v>533</v>
      </c>
      <c r="O164" s="30" t="s">
        <v>176</v>
      </c>
      <c r="P164" s="30"/>
      <c r="Q164" s="33" t="s">
        <v>534</v>
      </c>
      <c r="R164" s="52" t="s">
        <v>178</v>
      </c>
      <c r="S164" s="30" t="s">
        <v>535</v>
      </c>
      <c r="T164" s="36">
        <v>46062</v>
      </c>
      <c r="U164" s="93">
        <v>46047</v>
      </c>
      <c r="V164" s="98">
        <v>46062</v>
      </c>
      <c r="W164" s="52"/>
      <c r="X164" s="30" t="s">
        <v>309</v>
      </c>
      <c r="Y164" s="30">
        <v>0.5</v>
      </c>
      <c r="Z164" s="33"/>
      <c r="AA164" s="94">
        <v>46057</v>
      </c>
      <c r="AB164" s="190">
        <v>46069</v>
      </c>
      <c r="AC164" s="171">
        <f t="shared" ref="AC164:AC171" si="0">AB164-V164</f>
        <v>7</v>
      </c>
      <c r="AD164" s="42" t="s">
        <v>72</v>
      </c>
      <c r="AE164" s="33"/>
      <c r="AF164" s="43">
        <v>46063</v>
      </c>
      <c r="AG164" s="43">
        <v>46063</v>
      </c>
      <c r="AH164" s="43">
        <v>46071</v>
      </c>
      <c r="AI164" s="43">
        <v>46073</v>
      </c>
      <c r="AJ164" s="43"/>
      <c r="AK164" s="44">
        <v>46068</v>
      </c>
      <c r="AL164" s="45">
        <v>80489.5</v>
      </c>
      <c r="AM164" s="59"/>
      <c r="AN164" s="59"/>
      <c r="AO164" s="97"/>
      <c r="AP164" s="97"/>
      <c r="AQ164" s="33"/>
      <c r="AR164" s="30"/>
      <c r="AS164" s="33"/>
    </row>
    <row r="165" spans="1:45" ht="18.649999999999999" customHeight="1">
      <c r="A165" s="48"/>
      <c r="B165" s="30"/>
      <c r="C165" s="30"/>
      <c r="D165" s="48" t="s">
        <v>48</v>
      </c>
      <c r="E165" s="49" t="s">
        <v>171</v>
      </c>
      <c r="F165" s="49">
        <v>1000036622</v>
      </c>
      <c r="G165" s="107" t="s">
        <v>182</v>
      </c>
      <c r="H165" s="108">
        <v>500</v>
      </c>
      <c r="I165" s="108" t="s">
        <v>52</v>
      </c>
      <c r="J165" s="33" t="s">
        <v>536</v>
      </c>
      <c r="K165" s="30" t="s">
        <v>53</v>
      </c>
      <c r="L165" s="33"/>
      <c r="M165" s="34" t="s">
        <v>532</v>
      </c>
      <c r="N165" s="30" t="s">
        <v>533</v>
      </c>
      <c r="O165" s="30" t="s">
        <v>176</v>
      </c>
      <c r="P165" s="30"/>
      <c r="Q165" s="33" t="s">
        <v>534</v>
      </c>
      <c r="R165" s="52" t="s">
        <v>178</v>
      </c>
      <c r="S165" s="30" t="s">
        <v>535</v>
      </c>
      <c r="T165" s="36">
        <v>46062</v>
      </c>
      <c r="U165" s="93">
        <v>46047</v>
      </c>
      <c r="V165" s="98">
        <v>46062</v>
      </c>
      <c r="W165" s="52"/>
      <c r="X165" s="30" t="s">
        <v>309</v>
      </c>
      <c r="Y165" s="30">
        <v>0.5</v>
      </c>
      <c r="Z165" s="33"/>
      <c r="AA165" s="94">
        <v>46057</v>
      </c>
      <c r="AB165" s="190">
        <v>46069</v>
      </c>
      <c r="AC165" s="171">
        <f t="shared" si="0"/>
        <v>7</v>
      </c>
      <c r="AD165" s="42" t="s">
        <v>72</v>
      </c>
      <c r="AE165" s="33"/>
      <c r="AF165" s="43">
        <v>46063</v>
      </c>
      <c r="AG165" s="43">
        <v>46063</v>
      </c>
      <c r="AH165" s="43">
        <v>46071</v>
      </c>
      <c r="AI165" s="43">
        <v>46073</v>
      </c>
      <c r="AJ165" s="43"/>
      <c r="AK165" s="44">
        <v>46068</v>
      </c>
      <c r="AL165" s="45">
        <v>22938.25</v>
      </c>
      <c r="AM165" s="59"/>
      <c r="AN165" s="59"/>
      <c r="AO165" s="97"/>
      <c r="AP165" s="97"/>
      <c r="AQ165" s="33"/>
      <c r="AR165" s="30"/>
      <c r="AS165" s="33"/>
    </row>
    <row r="166" spans="1:45" ht="18.649999999999999" customHeight="1">
      <c r="A166" s="48"/>
      <c r="B166" s="30"/>
      <c r="C166" s="30"/>
      <c r="D166" s="48" t="s">
        <v>48</v>
      </c>
      <c r="E166" s="49" t="s">
        <v>171</v>
      </c>
      <c r="F166" s="49">
        <v>1000011836</v>
      </c>
      <c r="G166" s="33" t="s">
        <v>172</v>
      </c>
      <c r="H166" s="30">
        <v>100</v>
      </c>
      <c r="I166" s="169" t="s">
        <v>52</v>
      </c>
      <c r="J166" s="33" t="s">
        <v>537</v>
      </c>
      <c r="K166" s="30"/>
      <c r="L166" s="33"/>
      <c r="M166" s="34" t="s">
        <v>538</v>
      </c>
      <c r="N166" s="30" t="s">
        <v>539</v>
      </c>
      <c r="O166" s="20" t="s">
        <v>176</v>
      </c>
      <c r="P166" s="30"/>
      <c r="Q166" s="191" t="s">
        <v>540</v>
      </c>
      <c r="R166" s="52" t="s">
        <v>178</v>
      </c>
      <c r="S166" s="30" t="s">
        <v>541</v>
      </c>
      <c r="T166" s="36">
        <v>46069</v>
      </c>
      <c r="U166" s="93">
        <v>46054</v>
      </c>
      <c r="V166" s="98">
        <v>46069</v>
      </c>
      <c r="W166" s="52"/>
      <c r="X166" s="30" t="s">
        <v>58</v>
      </c>
      <c r="Y166" s="30">
        <v>0.5</v>
      </c>
      <c r="Z166" s="33"/>
      <c r="AA166" s="94">
        <v>46059</v>
      </c>
      <c r="AB166" s="190">
        <v>46072</v>
      </c>
      <c r="AC166" s="106">
        <f t="shared" si="0"/>
        <v>3</v>
      </c>
      <c r="AD166" s="42" t="s">
        <v>72</v>
      </c>
      <c r="AE166" s="33"/>
      <c r="AF166" s="43">
        <v>46065</v>
      </c>
      <c r="AG166" s="43">
        <v>46062</v>
      </c>
      <c r="AH166" s="43">
        <v>46076</v>
      </c>
      <c r="AI166" s="43">
        <v>46078</v>
      </c>
      <c r="AJ166" s="43"/>
      <c r="AK166" s="44">
        <v>46078</v>
      </c>
      <c r="AL166" s="91">
        <v>15528.8</v>
      </c>
      <c r="AM166" s="59"/>
      <c r="AN166" s="59"/>
      <c r="AO166" s="47">
        <v>0</v>
      </c>
      <c r="AP166" s="97" t="s">
        <v>61</v>
      </c>
      <c r="AQ166" s="33"/>
      <c r="AR166" s="30"/>
      <c r="AS166" s="33"/>
    </row>
    <row r="167" spans="1:45" ht="18.649999999999999" customHeight="1">
      <c r="A167" s="48"/>
      <c r="B167" s="30"/>
      <c r="C167" s="30"/>
      <c r="D167" s="48" t="s">
        <v>48</v>
      </c>
      <c r="E167" s="49" t="s">
        <v>171</v>
      </c>
      <c r="F167" s="49">
        <v>1000022205</v>
      </c>
      <c r="G167" s="33" t="s">
        <v>181</v>
      </c>
      <c r="H167" s="30">
        <v>430</v>
      </c>
      <c r="I167" s="169" t="s">
        <v>52</v>
      </c>
      <c r="J167" s="33" t="s">
        <v>537</v>
      </c>
      <c r="K167" s="30"/>
      <c r="L167" s="33"/>
      <c r="M167" s="34" t="s">
        <v>538</v>
      </c>
      <c r="N167" s="30" t="s">
        <v>539</v>
      </c>
      <c r="O167" s="20" t="s">
        <v>176</v>
      </c>
      <c r="P167" s="30"/>
      <c r="Q167" s="191" t="s">
        <v>540</v>
      </c>
      <c r="R167" s="52" t="s">
        <v>178</v>
      </c>
      <c r="S167" s="30" t="s">
        <v>541</v>
      </c>
      <c r="T167" s="36">
        <v>46069</v>
      </c>
      <c r="U167" s="93">
        <v>46054</v>
      </c>
      <c r="V167" s="98">
        <v>46069</v>
      </c>
      <c r="W167" s="52"/>
      <c r="X167" s="30" t="s">
        <v>58</v>
      </c>
      <c r="Y167" s="30">
        <v>0.5</v>
      </c>
      <c r="Z167" s="33"/>
      <c r="AA167" s="94">
        <v>46059</v>
      </c>
      <c r="AB167" s="190">
        <v>46072</v>
      </c>
      <c r="AC167" s="106">
        <f t="shared" si="0"/>
        <v>3</v>
      </c>
      <c r="AD167" s="42" t="s">
        <v>72</v>
      </c>
      <c r="AE167" s="33"/>
      <c r="AF167" s="43">
        <v>46065</v>
      </c>
      <c r="AG167" s="43">
        <v>46062</v>
      </c>
      <c r="AH167" s="43">
        <v>46076</v>
      </c>
      <c r="AI167" s="43">
        <v>46078</v>
      </c>
      <c r="AJ167" s="43"/>
      <c r="AK167" s="44">
        <v>46078</v>
      </c>
      <c r="AL167" s="91">
        <v>146201.4</v>
      </c>
      <c r="AM167" s="59"/>
      <c r="AN167" s="59"/>
      <c r="AO167" s="47">
        <v>0</v>
      </c>
      <c r="AP167" s="97" t="s">
        <v>180</v>
      </c>
      <c r="AQ167" s="33"/>
      <c r="AR167" s="30"/>
      <c r="AS167" s="33"/>
    </row>
    <row r="168" spans="1:45" ht="18.649999999999999" customHeight="1">
      <c r="A168" s="48"/>
      <c r="B168" s="30"/>
      <c r="C168" s="30"/>
      <c r="D168" s="48" t="s">
        <v>48</v>
      </c>
      <c r="E168" s="49" t="s">
        <v>171</v>
      </c>
      <c r="F168" s="49">
        <v>1000036622</v>
      </c>
      <c r="G168" s="33" t="s">
        <v>182</v>
      </c>
      <c r="H168" s="30">
        <v>900</v>
      </c>
      <c r="I168" s="169" t="s">
        <v>52</v>
      </c>
      <c r="J168" s="33" t="s">
        <v>537</v>
      </c>
      <c r="K168" s="30"/>
      <c r="L168" s="33"/>
      <c r="M168" s="34" t="s">
        <v>538</v>
      </c>
      <c r="N168" s="30" t="s">
        <v>539</v>
      </c>
      <c r="O168" s="20" t="s">
        <v>176</v>
      </c>
      <c r="P168" s="30"/>
      <c r="Q168" s="191" t="s">
        <v>540</v>
      </c>
      <c r="R168" s="52" t="s">
        <v>178</v>
      </c>
      <c r="S168" s="30" t="s">
        <v>541</v>
      </c>
      <c r="T168" s="36">
        <v>46069</v>
      </c>
      <c r="U168" s="93">
        <v>46054</v>
      </c>
      <c r="V168" s="98">
        <v>46069</v>
      </c>
      <c r="W168" s="52"/>
      <c r="X168" s="30" t="s">
        <v>58</v>
      </c>
      <c r="Y168" s="30">
        <v>0.5</v>
      </c>
      <c r="Z168" s="33"/>
      <c r="AA168" s="94">
        <v>46059</v>
      </c>
      <c r="AB168" s="190">
        <v>46072</v>
      </c>
      <c r="AC168" s="106">
        <f t="shared" si="0"/>
        <v>3</v>
      </c>
      <c r="AD168" s="42" t="s">
        <v>72</v>
      </c>
      <c r="AE168" s="33"/>
      <c r="AF168" s="43">
        <v>46065</v>
      </c>
      <c r="AG168" s="43">
        <v>46062</v>
      </c>
      <c r="AH168" s="43">
        <v>46076</v>
      </c>
      <c r="AI168" s="43">
        <v>46078</v>
      </c>
      <c r="AJ168" s="43"/>
      <c r="AK168" s="44">
        <v>46078</v>
      </c>
      <c r="AL168" s="91">
        <v>70708.77</v>
      </c>
      <c r="AM168" s="59"/>
      <c r="AN168" s="59"/>
      <c r="AO168" s="47">
        <v>0</v>
      </c>
      <c r="AP168" s="97" t="s">
        <v>180</v>
      </c>
      <c r="AQ168" s="33"/>
      <c r="AR168" s="30"/>
      <c r="AS168" s="33"/>
    </row>
    <row r="169" spans="1:45" ht="18.649999999999999" customHeight="1">
      <c r="A169" s="48"/>
      <c r="B169" s="30"/>
      <c r="C169" s="30"/>
      <c r="D169" s="48" t="s">
        <v>48</v>
      </c>
      <c r="E169" s="49" t="s">
        <v>171</v>
      </c>
      <c r="F169" s="49">
        <v>1000011836</v>
      </c>
      <c r="G169" s="33" t="s">
        <v>172</v>
      </c>
      <c r="H169" s="30">
        <v>180</v>
      </c>
      <c r="I169" s="61" t="s">
        <v>52</v>
      </c>
      <c r="J169" s="102" t="s">
        <v>542</v>
      </c>
      <c r="K169" s="30"/>
      <c r="L169" s="33"/>
      <c r="M169" s="34" t="s">
        <v>543</v>
      </c>
      <c r="N169" s="30" t="s">
        <v>544</v>
      </c>
      <c r="O169" s="20" t="s">
        <v>176</v>
      </c>
      <c r="P169" s="30"/>
      <c r="Q169" s="33" t="s">
        <v>545</v>
      </c>
      <c r="R169" s="52" t="s">
        <v>178</v>
      </c>
      <c r="S169" s="30" t="s">
        <v>546</v>
      </c>
      <c r="T169" s="36">
        <v>46076</v>
      </c>
      <c r="U169" s="93">
        <v>46061</v>
      </c>
      <c r="V169" s="98">
        <v>46076</v>
      </c>
      <c r="W169" s="52"/>
      <c r="X169" s="30" t="s">
        <v>309</v>
      </c>
      <c r="Y169" s="30">
        <v>0.5</v>
      </c>
      <c r="Z169" s="33"/>
      <c r="AA169" s="94">
        <v>46059</v>
      </c>
      <c r="AB169" s="190">
        <v>46072</v>
      </c>
      <c r="AC169" s="171">
        <f t="shared" si="0"/>
        <v>-4</v>
      </c>
      <c r="AD169" s="42" t="s">
        <v>72</v>
      </c>
      <c r="AE169" s="192" t="s">
        <v>547</v>
      </c>
      <c r="AF169" s="43">
        <v>46065</v>
      </c>
      <c r="AG169" s="43">
        <v>46062</v>
      </c>
      <c r="AH169" s="43">
        <v>46076</v>
      </c>
      <c r="AI169" s="43">
        <v>46078</v>
      </c>
      <c r="AJ169" s="43"/>
      <c r="AK169" s="44">
        <v>46078</v>
      </c>
      <c r="AL169" s="91">
        <v>24665.85</v>
      </c>
      <c r="AM169" s="59"/>
      <c r="AN169" s="59"/>
      <c r="AO169" s="47">
        <v>0</v>
      </c>
      <c r="AP169" s="97" t="s">
        <v>180</v>
      </c>
      <c r="AQ169" s="33"/>
      <c r="AR169" s="30"/>
      <c r="AS169" s="33"/>
    </row>
    <row r="170" spans="1:45" ht="18.649999999999999" customHeight="1">
      <c r="A170" s="48"/>
      <c r="B170" s="30"/>
      <c r="C170" s="30"/>
      <c r="D170" s="48" t="s">
        <v>48</v>
      </c>
      <c r="E170" s="49" t="s">
        <v>171</v>
      </c>
      <c r="F170" s="49">
        <v>1000022205</v>
      </c>
      <c r="G170" s="33" t="s">
        <v>181</v>
      </c>
      <c r="H170" s="30">
        <v>150</v>
      </c>
      <c r="I170" s="61" t="s">
        <v>52</v>
      </c>
      <c r="J170" s="102" t="s">
        <v>542</v>
      </c>
      <c r="K170" s="30"/>
      <c r="L170" s="33"/>
      <c r="M170" s="34" t="s">
        <v>543</v>
      </c>
      <c r="N170" s="30" t="s">
        <v>544</v>
      </c>
      <c r="O170" s="20" t="s">
        <v>176</v>
      </c>
      <c r="P170" s="30"/>
      <c r="Q170" s="33" t="s">
        <v>545</v>
      </c>
      <c r="R170" s="52" t="s">
        <v>178</v>
      </c>
      <c r="S170" s="30" t="s">
        <v>546</v>
      </c>
      <c r="T170" s="36">
        <v>46076</v>
      </c>
      <c r="U170" s="93">
        <v>46061</v>
      </c>
      <c r="V170" s="98">
        <v>46076</v>
      </c>
      <c r="W170" s="52"/>
      <c r="X170" s="30" t="s">
        <v>309</v>
      </c>
      <c r="Y170" s="30">
        <v>0.5</v>
      </c>
      <c r="Z170" s="33"/>
      <c r="AA170" s="94">
        <v>46059</v>
      </c>
      <c r="AB170" s="190">
        <v>46072</v>
      </c>
      <c r="AC170" s="171">
        <f t="shared" si="0"/>
        <v>-4</v>
      </c>
      <c r="AD170" s="42" t="s">
        <v>72</v>
      </c>
      <c r="AE170" s="192" t="s">
        <v>547</v>
      </c>
      <c r="AF170" s="43">
        <v>46065</v>
      </c>
      <c r="AG170" s="43">
        <v>46062</v>
      </c>
      <c r="AH170" s="43">
        <v>46076</v>
      </c>
      <c r="AI170" s="43">
        <v>46078</v>
      </c>
      <c r="AJ170" s="43"/>
      <c r="AK170" s="44">
        <v>46078</v>
      </c>
      <c r="AL170" s="91">
        <v>51982.720000000001</v>
      </c>
      <c r="AM170" s="59"/>
      <c r="AN170" s="59"/>
      <c r="AO170" s="47">
        <v>0</v>
      </c>
      <c r="AP170" s="97" t="s">
        <v>180</v>
      </c>
      <c r="AQ170" s="33"/>
      <c r="AR170" s="30"/>
      <c r="AS170" s="33"/>
    </row>
    <row r="171" spans="1:45" ht="18.649999999999999" customHeight="1">
      <c r="A171" s="48"/>
      <c r="B171" s="30"/>
      <c r="C171" s="30"/>
      <c r="D171" s="48" t="s">
        <v>48</v>
      </c>
      <c r="E171" s="49" t="s">
        <v>171</v>
      </c>
      <c r="F171" s="49">
        <v>1000036622</v>
      </c>
      <c r="G171" s="33" t="s">
        <v>182</v>
      </c>
      <c r="H171" s="30">
        <v>320</v>
      </c>
      <c r="I171" s="61" t="s">
        <v>52</v>
      </c>
      <c r="J171" s="102" t="s">
        <v>542</v>
      </c>
      <c r="K171" s="30"/>
      <c r="L171" s="33"/>
      <c r="M171" s="34" t="s">
        <v>543</v>
      </c>
      <c r="N171" s="30" t="s">
        <v>544</v>
      </c>
      <c r="O171" s="20" t="s">
        <v>176</v>
      </c>
      <c r="P171" s="30"/>
      <c r="Q171" s="33" t="s">
        <v>545</v>
      </c>
      <c r="R171" s="52" t="s">
        <v>178</v>
      </c>
      <c r="S171" s="30" t="s">
        <v>546</v>
      </c>
      <c r="T171" s="36">
        <v>46076</v>
      </c>
      <c r="U171" s="93">
        <v>46061</v>
      </c>
      <c r="V171" s="98">
        <v>46076</v>
      </c>
      <c r="W171" s="52"/>
      <c r="X171" s="30" t="s">
        <v>309</v>
      </c>
      <c r="Y171" s="30">
        <v>0.5</v>
      </c>
      <c r="Z171" s="33"/>
      <c r="AA171" s="94">
        <v>46059</v>
      </c>
      <c r="AB171" s="190">
        <v>46072</v>
      </c>
      <c r="AC171" s="171">
        <f t="shared" si="0"/>
        <v>-4</v>
      </c>
      <c r="AD171" s="42" t="s">
        <v>72</v>
      </c>
      <c r="AE171" s="192" t="s">
        <v>547</v>
      </c>
      <c r="AF171" s="43">
        <v>46065</v>
      </c>
      <c r="AG171" s="43">
        <v>46062</v>
      </c>
      <c r="AH171" s="43">
        <v>46076</v>
      </c>
      <c r="AI171" s="43">
        <v>46078</v>
      </c>
      <c r="AJ171" s="43"/>
      <c r="AK171" s="44">
        <v>46078</v>
      </c>
      <c r="AL171" s="91">
        <v>27951.84</v>
      </c>
      <c r="AM171" s="59"/>
      <c r="AN171" s="59"/>
      <c r="AO171" s="47">
        <v>0</v>
      </c>
      <c r="AP171" s="97" t="s">
        <v>180</v>
      </c>
      <c r="AQ171" s="33"/>
      <c r="AR171" s="30"/>
      <c r="AS171" s="33"/>
    </row>
    <row r="172" spans="1:45" ht="18.649999999999999" customHeight="1">
      <c r="A172" s="48"/>
      <c r="B172" s="30"/>
      <c r="C172" s="30"/>
      <c r="D172" s="20" t="s">
        <v>160</v>
      </c>
      <c r="E172" s="31" t="s">
        <v>548</v>
      </c>
      <c r="F172" s="49">
        <v>1000033875</v>
      </c>
      <c r="G172" s="61" t="s">
        <v>549</v>
      </c>
      <c r="H172" s="48">
        <v>3000</v>
      </c>
      <c r="I172" s="48" t="s">
        <v>85</v>
      </c>
      <c r="J172" s="33"/>
      <c r="K172" s="30" t="s">
        <v>53</v>
      </c>
      <c r="L172" s="33"/>
      <c r="M172" s="34" t="s">
        <v>550</v>
      </c>
      <c r="N172" s="35" t="s">
        <v>551</v>
      </c>
      <c r="O172" s="48" t="s">
        <v>55</v>
      </c>
      <c r="P172" s="30" t="s">
        <v>552</v>
      </c>
      <c r="Q172" s="30">
        <v>2317883330</v>
      </c>
      <c r="R172" s="30" t="s">
        <v>168</v>
      </c>
      <c r="S172" s="30" t="s">
        <v>553</v>
      </c>
      <c r="T172" s="36">
        <v>46054</v>
      </c>
      <c r="U172" s="37">
        <v>46035</v>
      </c>
      <c r="V172" s="51">
        <v>46065</v>
      </c>
      <c r="W172" s="52"/>
      <c r="X172" s="120" t="s">
        <v>58</v>
      </c>
      <c r="Y172" s="120">
        <v>1</v>
      </c>
      <c r="Z172" s="120"/>
      <c r="AA172" s="80">
        <v>46035</v>
      </c>
      <c r="AB172" s="173">
        <v>46072</v>
      </c>
      <c r="AC172" s="85"/>
      <c r="AD172" s="56" t="s">
        <v>72</v>
      </c>
      <c r="AE172" s="33"/>
      <c r="AF172" s="43">
        <v>46049</v>
      </c>
      <c r="AG172" s="43">
        <v>46042</v>
      </c>
      <c r="AH172" s="43">
        <v>46077</v>
      </c>
      <c r="AI172" s="43">
        <v>46079</v>
      </c>
      <c r="AJ172" s="43"/>
      <c r="AK172" s="44">
        <v>46006</v>
      </c>
      <c r="AL172" s="45">
        <v>125958</v>
      </c>
      <c r="AM172" s="46"/>
      <c r="AN172" s="193"/>
      <c r="AO172" s="47">
        <v>125958</v>
      </c>
      <c r="AP172" s="47" t="s">
        <v>61</v>
      </c>
      <c r="AQ172" s="33"/>
      <c r="AR172" s="30"/>
      <c r="AS172" s="33"/>
    </row>
    <row r="173" spans="1:45" ht="18.649999999999999" customHeight="1">
      <c r="A173" s="48"/>
      <c r="B173" s="30"/>
      <c r="C173" s="30"/>
      <c r="D173" s="48" t="s">
        <v>48</v>
      </c>
      <c r="E173" s="49" t="s">
        <v>116</v>
      </c>
      <c r="F173" s="49">
        <v>2000011048</v>
      </c>
      <c r="G173" s="107" t="s">
        <v>117</v>
      </c>
      <c r="H173" s="108">
        <v>90</v>
      </c>
      <c r="I173" s="108" t="s">
        <v>85</v>
      </c>
      <c r="J173" s="33"/>
      <c r="K173" s="30"/>
      <c r="L173" s="33"/>
      <c r="M173" s="117" t="s">
        <v>554</v>
      </c>
      <c r="N173" s="30" t="s">
        <v>555</v>
      </c>
      <c r="O173" s="30" t="s">
        <v>120</v>
      </c>
      <c r="P173" s="30"/>
      <c r="Q173" s="30" t="s">
        <v>499</v>
      </c>
      <c r="R173" s="30" t="s">
        <v>122</v>
      </c>
      <c r="S173" s="30" t="s">
        <v>122</v>
      </c>
      <c r="T173" s="36">
        <v>46054</v>
      </c>
      <c r="U173" s="93">
        <v>46066</v>
      </c>
      <c r="V173" s="88">
        <v>46071</v>
      </c>
      <c r="W173" s="52"/>
      <c r="X173" s="30" t="s">
        <v>123</v>
      </c>
      <c r="Y173" s="30">
        <v>0.5</v>
      </c>
      <c r="Z173" s="30"/>
      <c r="AA173" s="36">
        <v>46066</v>
      </c>
      <c r="AB173" s="36">
        <v>46074</v>
      </c>
      <c r="AC173" s="30"/>
      <c r="AD173" s="90" t="s">
        <v>122</v>
      </c>
      <c r="AE173" s="33"/>
      <c r="AF173" s="43">
        <v>46076</v>
      </c>
      <c r="AG173" s="43">
        <v>46070</v>
      </c>
      <c r="AH173" s="43">
        <v>46078</v>
      </c>
      <c r="AI173" s="43">
        <v>46078</v>
      </c>
      <c r="AJ173" s="43"/>
      <c r="AK173" s="44">
        <v>46078</v>
      </c>
      <c r="AL173" s="45">
        <v>2308.5</v>
      </c>
      <c r="AM173" s="59"/>
      <c r="AN173" s="59"/>
      <c r="AO173" s="97"/>
      <c r="AP173" s="97"/>
      <c r="AQ173" s="33"/>
      <c r="AR173" s="30"/>
      <c r="AS173" s="33"/>
    </row>
    <row r="174" spans="1:45" ht="18.649999999999999" customHeight="1">
      <c r="A174" s="48"/>
      <c r="B174" s="30"/>
      <c r="C174" s="30"/>
      <c r="D174" s="48" t="s">
        <v>48</v>
      </c>
      <c r="E174" s="49" t="s">
        <v>116</v>
      </c>
      <c r="F174" s="49">
        <v>2000020375</v>
      </c>
      <c r="G174" s="107" t="s">
        <v>124</v>
      </c>
      <c r="H174" s="108">
        <v>90</v>
      </c>
      <c r="I174" s="108" t="s">
        <v>85</v>
      </c>
      <c r="J174" s="33"/>
      <c r="K174" s="30"/>
      <c r="L174" s="33"/>
      <c r="M174" s="117" t="s">
        <v>556</v>
      </c>
      <c r="N174" s="30" t="s">
        <v>555</v>
      </c>
      <c r="O174" s="30" t="s">
        <v>120</v>
      </c>
      <c r="P174" s="30"/>
      <c r="Q174" s="30" t="s">
        <v>557</v>
      </c>
      <c r="R174" s="30" t="s">
        <v>122</v>
      </c>
      <c r="S174" s="30" t="s">
        <v>122</v>
      </c>
      <c r="T174" s="36">
        <v>46054</v>
      </c>
      <c r="U174" s="93">
        <v>46066</v>
      </c>
      <c r="V174" s="88">
        <v>46071</v>
      </c>
      <c r="W174" s="52"/>
      <c r="X174" s="30" t="s">
        <v>123</v>
      </c>
      <c r="Y174" s="30">
        <v>0.5</v>
      </c>
      <c r="Z174" s="30"/>
      <c r="AA174" s="36">
        <v>46066</v>
      </c>
      <c r="AB174" s="36">
        <v>46074</v>
      </c>
      <c r="AC174" s="30"/>
      <c r="AD174" s="90" t="s">
        <v>122</v>
      </c>
      <c r="AE174" s="33"/>
      <c r="AF174" s="43">
        <v>46076</v>
      </c>
      <c r="AG174" s="43">
        <v>46070</v>
      </c>
      <c r="AH174" s="43">
        <v>46078</v>
      </c>
      <c r="AI174" s="43">
        <v>46078</v>
      </c>
      <c r="AJ174" s="43"/>
      <c r="AK174" s="44">
        <v>46078</v>
      </c>
      <c r="AL174" s="45">
        <v>2992.5</v>
      </c>
      <c r="AM174" s="59"/>
      <c r="AN174" s="59"/>
      <c r="AO174" s="97"/>
      <c r="AP174" s="97"/>
      <c r="AQ174" s="33"/>
      <c r="AR174" s="30"/>
      <c r="AS174" s="33"/>
    </row>
    <row r="175" spans="1:45" ht="18.649999999999999" customHeight="1">
      <c r="A175" s="48"/>
      <c r="B175" s="30"/>
      <c r="C175" s="30"/>
      <c r="D175" s="48" t="s">
        <v>48</v>
      </c>
      <c r="E175" s="49" t="s">
        <v>116</v>
      </c>
      <c r="F175" s="49">
        <v>2000006598</v>
      </c>
      <c r="G175" s="107" t="s">
        <v>126</v>
      </c>
      <c r="H175" s="108">
        <v>48</v>
      </c>
      <c r="I175" s="108" t="s">
        <v>85</v>
      </c>
      <c r="J175" s="33"/>
      <c r="K175" s="30"/>
      <c r="L175" s="33"/>
      <c r="M175" s="117" t="s">
        <v>556</v>
      </c>
      <c r="N175" s="30" t="s">
        <v>555</v>
      </c>
      <c r="O175" s="30" t="s">
        <v>120</v>
      </c>
      <c r="P175" s="30"/>
      <c r="Q175" s="30" t="s">
        <v>557</v>
      </c>
      <c r="R175" s="30" t="s">
        <v>122</v>
      </c>
      <c r="S175" s="30" t="s">
        <v>122</v>
      </c>
      <c r="T175" s="36">
        <v>46054</v>
      </c>
      <c r="U175" s="93">
        <v>46066</v>
      </c>
      <c r="V175" s="88">
        <v>46071</v>
      </c>
      <c r="W175" s="52"/>
      <c r="X175" s="30" t="s">
        <v>123</v>
      </c>
      <c r="Y175" s="30">
        <v>0.5</v>
      </c>
      <c r="Z175" s="30"/>
      <c r="AA175" s="36">
        <v>46066</v>
      </c>
      <c r="AB175" s="36">
        <v>46074</v>
      </c>
      <c r="AC175" s="30"/>
      <c r="AD175" s="90" t="s">
        <v>122</v>
      </c>
      <c r="AE175" s="33"/>
      <c r="AF175" s="43">
        <v>46076</v>
      </c>
      <c r="AG175" s="43">
        <v>46070</v>
      </c>
      <c r="AH175" s="43">
        <v>46078</v>
      </c>
      <c r="AI175" s="43">
        <v>46078</v>
      </c>
      <c r="AJ175" s="43"/>
      <c r="AK175" s="44">
        <v>46078</v>
      </c>
      <c r="AL175" s="45">
        <v>1514.4</v>
      </c>
      <c r="AM175" s="59"/>
      <c r="AN175" s="59"/>
      <c r="AO175" s="97"/>
      <c r="AP175" s="97"/>
      <c r="AQ175" s="33"/>
      <c r="AR175" s="30"/>
      <c r="AS175" s="33"/>
    </row>
    <row r="176" spans="1:45" ht="18.649999999999999" customHeight="1">
      <c r="A176" s="48"/>
      <c r="B176" s="30"/>
      <c r="C176" s="30"/>
      <c r="D176" s="48" t="s">
        <v>48</v>
      </c>
      <c r="E176" s="49" t="s">
        <v>116</v>
      </c>
      <c r="F176" s="49">
        <v>2000021255</v>
      </c>
      <c r="G176" s="107" t="s">
        <v>558</v>
      </c>
      <c r="H176" s="108">
        <v>24</v>
      </c>
      <c r="I176" s="108" t="s">
        <v>85</v>
      </c>
      <c r="J176" s="33"/>
      <c r="K176" s="30"/>
      <c r="L176" s="33"/>
      <c r="M176" s="117" t="s">
        <v>556</v>
      </c>
      <c r="N176" s="30" t="s">
        <v>555</v>
      </c>
      <c r="O176" s="30" t="s">
        <v>120</v>
      </c>
      <c r="P176" s="30"/>
      <c r="Q176" s="30" t="s">
        <v>557</v>
      </c>
      <c r="R176" s="30" t="s">
        <v>122</v>
      </c>
      <c r="S176" s="30" t="s">
        <v>122</v>
      </c>
      <c r="T176" s="36">
        <v>46054</v>
      </c>
      <c r="U176" s="93">
        <v>46066</v>
      </c>
      <c r="V176" s="88">
        <v>46071</v>
      </c>
      <c r="W176" s="52"/>
      <c r="X176" s="30" t="s">
        <v>123</v>
      </c>
      <c r="Y176" s="30">
        <v>0.5</v>
      </c>
      <c r="Z176" s="30"/>
      <c r="AA176" s="36">
        <v>46066</v>
      </c>
      <c r="AB176" s="36">
        <v>46074</v>
      </c>
      <c r="AC176" s="30"/>
      <c r="AD176" s="90" t="s">
        <v>122</v>
      </c>
      <c r="AE176" s="33"/>
      <c r="AF176" s="43">
        <v>46076</v>
      </c>
      <c r="AG176" s="43">
        <v>46070</v>
      </c>
      <c r="AH176" s="43">
        <v>46078</v>
      </c>
      <c r="AI176" s="43">
        <v>46078</v>
      </c>
      <c r="AJ176" s="43"/>
      <c r="AK176" s="44">
        <v>46078</v>
      </c>
      <c r="AL176" s="45">
        <v>844.8</v>
      </c>
      <c r="AM176" s="59"/>
      <c r="AN176" s="59"/>
      <c r="AO176" s="97"/>
      <c r="AP176" s="97"/>
      <c r="AQ176" s="33"/>
      <c r="AR176" s="30"/>
      <c r="AS176" s="33"/>
    </row>
    <row r="177" spans="1:45" ht="18.649999999999999" customHeight="1">
      <c r="A177" s="48"/>
      <c r="B177" s="30"/>
      <c r="C177" s="30"/>
      <c r="D177" s="48" t="s">
        <v>48</v>
      </c>
      <c r="E177" s="49" t="s">
        <v>116</v>
      </c>
      <c r="F177" s="49">
        <v>2000011850</v>
      </c>
      <c r="G177" s="107" t="s">
        <v>127</v>
      </c>
      <c r="H177" s="108" t="s">
        <v>559</v>
      </c>
      <c r="I177" s="108" t="s">
        <v>85</v>
      </c>
      <c r="J177" s="33"/>
      <c r="K177" s="30"/>
      <c r="L177" s="33"/>
      <c r="M177" s="117" t="s">
        <v>556</v>
      </c>
      <c r="N177" s="30" t="s">
        <v>555</v>
      </c>
      <c r="O177" s="30" t="s">
        <v>120</v>
      </c>
      <c r="P177" s="30"/>
      <c r="Q177" s="30" t="s">
        <v>557</v>
      </c>
      <c r="R177" s="30" t="s">
        <v>122</v>
      </c>
      <c r="S177" s="30" t="s">
        <v>122</v>
      </c>
      <c r="T177" s="36">
        <v>46054</v>
      </c>
      <c r="U177" s="93">
        <v>46066</v>
      </c>
      <c r="V177" s="88">
        <v>46071</v>
      </c>
      <c r="W177" s="52"/>
      <c r="X177" s="30" t="s">
        <v>123</v>
      </c>
      <c r="Y177" s="30">
        <v>0.5</v>
      </c>
      <c r="Z177" s="30"/>
      <c r="AA177" s="36">
        <v>46066</v>
      </c>
      <c r="AB177" s="36">
        <v>46074</v>
      </c>
      <c r="AC177" s="30"/>
      <c r="AD177" s="90" t="s">
        <v>122</v>
      </c>
      <c r="AE177" s="33"/>
      <c r="AF177" s="43">
        <v>46076</v>
      </c>
      <c r="AG177" s="43">
        <v>46070</v>
      </c>
      <c r="AH177" s="43">
        <v>46078</v>
      </c>
      <c r="AI177" s="43">
        <v>46078</v>
      </c>
      <c r="AJ177" s="43"/>
      <c r="AK177" s="44">
        <v>46078</v>
      </c>
      <c r="AL177" s="45">
        <v>6612</v>
      </c>
      <c r="AM177" s="59"/>
      <c r="AN177" s="59"/>
      <c r="AO177" s="97"/>
      <c r="AP177" s="97"/>
      <c r="AQ177" s="33"/>
      <c r="AR177" s="30"/>
      <c r="AS177" s="33"/>
    </row>
    <row r="178" spans="1:45" ht="18.649999999999999" customHeight="1">
      <c r="A178" s="48"/>
      <c r="B178" s="30"/>
      <c r="C178" s="30"/>
      <c r="D178" s="48" t="s">
        <v>48</v>
      </c>
      <c r="E178" s="49" t="s">
        <v>116</v>
      </c>
      <c r="F178" s="49">
        <v>2000020394</v>
      </c>
      <c r="G178" s="107" t="s">
        <v>560</v>
      </c>
      <c r="H178" s="108">
        <v>45</v>
      </c>
      <c r="I178" s="108" t="s">
        <v>85</v>
      </c>
      <c r="J178" s="33"/>
      <c r="K178" s="30"/>
      <c r="L178" s="33"/>
      <c r="M178" s="117" t="s">
        <v>556</v>
      </c>
      <c r="N178" s="30" t="s">
        <v>555</v>
      </c>
      <c r="O178" s="30" t="s">
        <v>120</v>
      </c>
      <c r="P178" s="30"/>
      <c r="Q178" s="30" t="s">
        <v>557</v>
      </c>
      <c r="R178" s="30" t="s">
        <v>122</v>
      </c>
      <c r="S178" s="30" t="s">
        <v>122</v>
      </c>
      <c r="T178" s="36">
        <v>46054</v>
      </c>
      <c r="U178" s="93">
        <v>46066</v>
      </c>
      <c r="V178" s="88">
        <v>46071</v>
      </c>
      <c r="W178" s="52"/>
      <c r="X178" s="30" t="s">
        <v>123</v>
      </c>
      <c r="Y178" s="30">
        <v>0.5</v>
      </c>
      <c r="Z178" s="30"/>
      <c r="AA178" s="36">
        <v>46066</v>
      </c>
      <c r="AB178" s="36">
        <v>46074</v>
      </c>
      <c r="AC178" s="30"/>
      <c r="AD178" s="90" t="s">
        <v>122</v>
      </c>
      <c r="AE178" s="33"/>
      <c r="AF178" s="43">
        <v>46076</v>
      </c>
      <c r="AG178" s="43">
        <v>46070</v>
      </c>
      <c r="AH178" s="43">
        <v>46078</v>
      </c>
      <c r="AI178" s="43">
        <v>46078</v>
      </c>
      <c r="AJ178" s="43"/>
      <c r="AK178" s="44">
        <v>46078</v>
      </c>
      <c r="AL178" s="45">
        <v>1123.2</v>
      </c>
      <c r="AM178" s="59"/>
      <c r="AN178" s="59"/>
      <c r="AO178" s="97"/>
      <c r="AP178" s="97"/>
      <c r="AQ178" s="33"/>
      <c r="AR178" s="30"/>
      <c r="AS178" s="33"/>
    </row>
    <row r="179" spans="1:45" ht="18.649999999999999" customHeight="1">
      <c r="A179" s="48"/>
      <c r="B179" s="30"/>
      <c r="C179" s="30"/>
      <c r="D179" s="48" t="s">
        <v>48</v>
      </c>
      <c r="E179" s="49" t="s">
        <v>116</v>
      </c>
      <c r="F179" s="49">
        <v>2000019417</v>
      </c>
      <c r="G179" s="107" t="s">
        <v>128</v>
      </c>
      <c r="H179" s="108">
        <v>275</v>
      </c>
      <c r="I179" s="108" t="s">
        <v>129</v>
      </c>
      <c r="J179" s="33"/>
      <c r="K179" s="30"/>
      <c r="L179" s="33"/>
      <c r="M179" s="117" t="s">
        <v>556</v>
      </c>
      <c r="N179" s="30" t="s">
        <v>555</v>
      </c>
      <c r="O179" s="30" t="s">
        <v>120</v>
      </c>
      <c r="P179" s="30"/>
      <c r="Q179" s="30" t="s">
        <v>557</v>
      </c>
      <c r="R179" s="30" t="s">
        <v>122</v>
      </c>
      <c r="S179" s="30" t="s">
        <v>122</v>
      </c>
      <c r="T179" s="36">
        <v>46054</v>
      </c>
      <c r="U179" s="93">
        <v>46066</v>
      </c>
      <c r="V179" s="88">
        <v>46071</v>
      </c>
      <c r="W179" s="52"/>
      <c r="X179" s="30" t="s">
        <v>123</v>
      </c>
      <c r="Y179" s="30">
        <v>0.5</v>
      </c>
      <c r="Z179" s="30"/>
      <c r="AA179" s="36">
        <v>46066</v>
      </c>
      <c r="AB179" s="36">
        <v>46074</v>
      </c>
      <c r="AC179" s="30"/>
      <c r="AD179" s="90" t="s">
        <v>122</v>
      </c>
      <c r="AE179" s="33"/>
      <c r="AF179" s="43">
        <v>46076</v>
      </c>
      <c r="AG179" s="43">
        <v>46070</v>
      </c>
      <c r="AH179" s="43">
        <v>46078</v>
      </c>
      <c r="AI179" s="43">
        <v>46078</v>
      </c>
      <c r="AJ179" s="43"/>
      <c r="AK179" s="44">
        <v>46078</v>
      </c>
      <c r="AL179" s="45">
        <v>2417.25</v>
      </c>
      <c r="AM179" s="59"/>
      <c r="AN179" s="59"/>
      <c r="AO179" s="97"/>
      <c r="AP179" s="97"/>
      <c r="AQ179" s="33"/>
      <c r="AR179" s="30"/>
      <c r="AS179" s="33"/>
    </row>
    <row r="180" spans="1:45" ht="18.649999999999999" customHeight="1">
      <c r="A180" s="48"/>
      <c r="B180" s="30"/>
      <c r="C180" s="30"/>
      <c r="D180" s="48" t="s">
        <v>48</v>
      </c>
      <c r="E180" s="49" t="s">
        <v>116</v>
      </c>
      <c r="F180" s="49">
        <v>2000000418</v>
      </c>
      <c r="G180" s="107" t="s">
        <v>130</v>
      </c>
      <c r="H180" s="108">
        <v>450</v>
      </c>
      <c r="I180" s="108" t="s">
        <v>129</v>
      </c>
      <c r="J180" s="33"/>
      <c r="K180" s="30"/>
      <c r="L180" s="33"/>
      <c r="M180" s="117" t="s">
        <v>556</v>
      </c>
      <c r="N180" s="30" t="s">
        <v>555</v>
      </c>
      <c r="O180" s="30" t="s">
        <v>120</v>
      </c>
      <c r="P180" s="30"/>
      <c r="Q180" s="30" t="s">
        <v>557</v>
      </c>
      <c r="R180" s="30" t="s">
        <v>122</v>
      </c>
      <c r="S180" s="30" t="s">
        <v>122</v>
      </c>
      <c r="T180" s="36">
        <v>46054</v>
      </c>
      <c r="U180" s="93">
        <v>46066</v>
      </c>
      <c r="V180" s="88">
        <v>46071</v>
      </c>
      <c r="W180" s="52"/>
      <c r="X180" s="30" t="s">
        <v>123</v>
      </c>
      <c r="Y180" s="30">
        <v>0.5</v>
      </c>
      <c r="Z180" s="30"/>
      <c r="AA180" s="36">
        <v>46066</v>
      </c>
      <c r="AB180" s="36">
        <v>46074</v>
      </c>
      <c r="AC180" s="30"/>
      <c r="AD180" s="90" t="s">
        <v>122</v>
      </c>
      <c r="AE180" s="33"/>
      <c r="AF180" s="43">
        <v>46076</v>
      </c>
      <c r="AG180" s="43">
        <v>46070</v>
      </c>
      <c r="AH180" s="43">
        <v>46078</v>
      </c>
      <c r="AI180" s="43">
        <v>46078</v>
      </c>
      <c r="AJ180" s="43"/>
      <c r="AK180" s="44">
        <v>46078</v>
      </c>
      <c r="AL180" s="45">
        <v>4689</v>
      </c>
      <c r="AM180" s="59"/>
      <c r="AN180" s="59"/>
      <c r="AO180" s="97"/>
      <c r="AP180" s="97"/>
      <c r="AQ180" s="33"/>
      <c r="AR180" s="30"/>
      <c r="AS180" s="33"/>
    </row>
    <row r="181" spans="1:45" ht="18.649999999999999" customHeight="1">
      <c r="A181" s="48"/>
      <c r="B181" s="30"/>
      <c r="C181" s="30"/>
      <c r="D181" s="48" t="s">
        <v>48</v>
      </c>
      <c r="E181" s="49" t="s">
        <v>116</v>
      </c>
      <c r="F181" s="49">
        <v>2000003583</v>
      </c>
      <c r="G181" s="107" t="s">
        <v>131</v>
      </c>
      <c r="H181" s="108">
        <v>24</v>
      </c>
      <c r="I181" s="108" t="s">
        <v>85</v>
      </c>
      <c r="J181" s="33"/>
      <c r="K181" s="30"/>
      <c r="L181" s="33"/>
      <c r="M181" s="117" t="s">
        <v>556</v>
      </c>
      <c r="N181" s="30" t="s">
        <v>555</v>
      </c>
      <c r="O181" s="30" t="s">
        <v>120</v>
      </c>
      <c r="P181" s="30"/>
      <c r="Q181" s="30" t="s">
        <v>557</v>
      </c>
      <c r="R181" s="30" t="s">
        <v>122</v>
      </c>
      <c r="S181" s="30" t="s">
        <v>122</v>
      </c>
      <c r="T181" s="36">
        <v>46054</v>
      </c>
      <c r="U181" s="93">
        <v>46066</v>
      </c>
      <c r="V181" s="88">
        <v>46071</v>
      </c>
      <c r="W181" s="52"/>
      <c r="X181" s="30" t="s">
        <v>123</v>
      </c>
      <c r="Y181" s="30">
        <v>0.5</v>
      </c>
      <c r="Z181" s="30"/>
      <c r="AA181" s="36">
        <v>46066</v>
      </c>
      <c r="AB181" s="36">
        <v>46074</v>
      </c>
      <c r="AC181" s="30"/>
      <c r="AD181" s="90" t="s">
        <v>122</v>
      </c>
      <c r="AE181" s="33"/>
      <c r="AF181" s="43">
        <v>46076</v>
      </c>
      <c r="AG181" s="43">
        <v>46070</v>
      </c>
      <c r="AH181" s="43">
        <v>46078</v>
      </c>
      <c r="AI181" s="43">
        <v>46078</v>
      </c>
      <c r="AJ181" s="43"/>
      <c r="AK181" s="44">
        <v>46078</v>
      </c>
      <c r="AL181" s="45">
        <v>1804.8</v>
      </c>
      <c r="AM181" s="59"/>
      <c r="AN181" s="59"/>
      <c r="AO181" s="97"/>
      <c r="AP181" s="97"/>
      <c r="AQ181" s="33"/>
      <c r="AR181" s="30"/>
      <c r="AS181" s="33"/>
    </row>
    <row r="182" spans="1:45" ht="18.649999999999999" customHeight="1">
      <c r="A182" s="48"/>
      <c r="B182" s="30"/>
      <c r="C182" s="30"/>
      <c r="D182" s="48" t="s">
        <v>48</v>
      </c>
      <c r="E182" s="49" t="s">
        <v>116</v>
      </c>
      <c r="F182" s="49">
        <v>2000021031</v>
      </c>
      <c r="G182" s="107" t="s">
        <v>132</v>
      </c>
      <c r="H182" s="108">
        <v>60</v>
      </c>
      <c r="I182" s="108" t="s">
        <v>85</v>
      </c>
      <c r="J182" s="33"/>
      <c r="K182" s="30"/>
      <c r="L182" s="33"/>
      <c r="M182" s="117" t="s">
        <v>556</v>
      </c>
      <c r="N182" s="30" t="s">
        <v>555</v>
      </c>
      <c r="O182" s="30" t="s">
        <v>120</v>
      </c>
      <c r="P182" s="30"/>
      <c r="Q182" s="30" t="s">
        <v>557</v>
      </c>
      <c r="R182" s="30" t="s">
        <v>122</v>
      </c>
      <c r="S182" s="30" t="s">
        <v>122</v>
      </c>
      <c r="T182" s="36">
        <v>46054</v>
      </c>
      <c r="U182" s="93">
        <v>46066</v>
      </c>
      <c r="V182" s="88">
        <v>46071</v>
      </c>
      <c r="W182" s="52"/>
      <c r="X182" s="30" t="s">
        <v>123</v>
      </c>
      <c r="Y182" s="30">
        <v>0.5</v>
      </c>
      <c r="Z182" s="30"/>
      <c r="AA182" s="36">
        <v>46066</v>
      </c>
      <c r="AB182" s="36">
        <v>46074</v>
      </c>
      <c r="AC182" s="30"/>
      <c r="AD182" s="90" t="s">
        <v>122</v>
      </c>
      <c r="AE182" s="33"/>
      <c r="AF182" s="43">
        <v>46076</v>
      </c>
      <c r="AG182" s="43">
        <v>46070</v>
      </c>
      <c r="AH182" s="43">
        <v>46078</v>
      </c>
      <c r="AI182" s="43">
        <v>46078</v>
      </c>
      <c r="AJ182" s="43"/>
      <c r="AK182" s="44">
        <v>46078</v>
      </c>
      <c r="AL182" s="45">
        <v>5780.5</v>
      </c>
      <c r="AM182" s="59"/>
      <c r="AN182" s="59"/>
      <c r="AO182" s="97"/>
      <c r="AP182" s="97"/>
      <c r="AQ182" s="33"/>
      <c r="AR182" s="30"/>
      <c r="AS182" s="33"/>
    </row>
    <row r="183" spans="1:45" ht="18.649999999999999" customHeight="1">
      <c r="A183" s="48"/>
      <c r="B183" s="30"/>
      <c r="C183" s="30"/>
      <c r="D183" s="48" t="s">
        <v>48</v>
      </c>
      <c r="E183" s="49" t="s">
        <v>116</v>
      </c>
      <c r="F183" s="49">
        <v>2000008060</v>
      </c>
      <c r="G183" s="107" t="s">
        <v>133</v>
      </c>
      <c r="H183" s="108">
        <v>110</v>
      </c>
      <c r="I183" s="108" t="s">
        <v>85</v>
      </c>
      <c r="J183" s="33"/>
      <c r="K183" s="30"/>
      <c r="L183" s="33"/>
      <c r="M183" s="117" t="s">
        <v>556</v>
      </c>
      <c r="N183" s="30" t="s">
        <v>555</v>
      </c>
      <c r="O183" s="30" t="s">
        <v>120</v>
      </c>
      <c r="P183" s="30"/>
      <c r="Q183" s="30" t="s">
        <v>557</v>
      </c>
      <c r="R183" s="30" t="s">
        <v>122</v>
      </c>
      <c r="S183" s="30" t="s">
        <v>122</v>
      </c>
      <c r="T183" s="36">
        <v>46054</v>
      </c>
      <c r="U183" s="93">
        <v>46066</v>
      </c>
      <c r="V183" s="88">
        <v>46071</v>
      </c>
      <c r="W183" s="52"/>
      <c r="X183" s="30" t="s">
        <v>123</v>
      </c>
      <c r="Y183" s="30">
        <v>0.5</v>
      </c>
      <c r="Z183" s="30"/>
      <c r="AA183" s="36">
        <v>46066</v>
      </c>
      <c r="AB183" s="36">
        <v>46074</v>
      </c>
      <c r="AC183" s="30"/>
      <c r="AD183" s="90" t="s">
        <v>122</v>
      </c>
      <c r="AE183" s="33"/>
      <c r="AF183" s="43">
        <v>46076</v>
      </c>
      <c r="AG183" s="43">
        <v>46070</v>
      </c>
      <c r="AH183" s="43">
        <v>46078</v>
      </c>
      <c r="AI183" s="43">
        <v>46078</v>
      </c>
      <c r="AJ183" s="43"/>
      <c r="AK183" s="44">
        <v>46078</v>
      </c>
      <c r="AL183" s="45">
        <v>2691</v>
      </c>
      <c r="AM183" s="59"/>
      <c r="AN183" s="59"/>
      <c r="AO183" s="97"/>
      <c r="AP183" s="97"/>
      <c r="AQ183" s="33"/>
      <c r="AR183" s="30"/>
      <c r="AS183" s="33"/>
    </row>
    <row r="184" spans="1:45" ht="18.649999999999999" customHeight="1">
      <c r="A184" s="48"/>
      <c r="B184" s="30"/>
      <c r="C184" s="30"/>
      <c r="D184" s="48" t="s">
        <v>194</v>
      </c>
      <c r="E184" s="49" t="s">
        <v>195</v>
      </c>
      <c r="F184" s="49" t="s">
        <v>346</v>
      </c>
      <c r="G184" s="107" t="s">
        <v>196</v>
      </c>
      <c r="H184" s="108">
        <v>1500</v>
      </c>
      <c r="I184" s="108" t="s">
        <v>85</v>
      </c>
      <c r="J184" s="33" t="s">
        <v>561</v>
      </c>
      <c r="K184" s="30" t="s">
        <v>53</v>
      </c>
      <c r="L184" s="33"/>
      <c r="M184" s="34" t="s">
        <v>562</v>
      </c>
      <c r="N184" s="30" t="s">
        <v>563</v>
      </c>
      <c r="O184" s="48" t="s">
        <v>68</v>
      </c>
      <c r="P184" s="30"/>
      <c r="Q184" s="30" t="s">
        <v>564</v>
      </c>
      <c r="R184" s="30" t="s">
        <v>287</v>
      </c>
      <c r="S184" s="30" t="s">
        <v>565</v>
      </c>
      <c r="T184" s="180">
        <v>46069</v>
      </c>
      <c r="U184" s="93">
        <v>46068</v>
      </c>
      <c r="V184" s="88">
        <v>46076</v>
      </c>
      <c r="W184" s="52"/>
      <c r="X184" s="30" t="s">
        <v>123</v>
      </c>
      <c r="Y184" s="30">
        <v>1</v>
      </c>
      <c r="Z184" s="30"/>
      <c r="AA184" s="36">
        <v>46065</v>
      </c>
      <c r="AB184" s="36">
        <v>46075</v>
      </c>
      <c r="AC184" s="30"/>
      <c r="AD184" s="56" t="s">
        <v>72</v>
      </c>
      <c r="AE184" s="33"/>
      <c r="AF184" s="43">
        <v>46070</v>
      </c>
      <c r="AG184" s="43">
        <v>46067</v>
      </c>
      <c r="AH184" s="43">
        <v>46079</v>
      </c>
      <c r="AI184" s="43">
        <v>46080</v>
      </c>
      <c r="AJ184" s="43"/>
      <c r="AK184" s="44">
        <v>46078</v>
      </c>
      <c r="AL184" s="113">
        <v>46560</v>
      </c>
      <c r="AM184" s="59"/>
      <c r="AN184" s="59"/>
      <c r="AO184" s="97"/>
      <c r="AP184" s="97"/>
      <c r="AQ184" s="33"/>
      <c r="AR184" s="30" t="s">
        <v>53</v>
      </c>
      <c r="AS184" s="33" t="s">
        <v>53</v>
      </c>
    </row>
    <row r="185" spans="1:45" ht="18.649999999999999" customHeight="1">
      <c r="A185" s="48"/>
      <c r="B185" s="30"/>
      <c r="C185" s="30"/>
      <c r="D185" s="48" t="s">
        <v>194</v>
      </c>
      <c r="E185" s="49" t="s">
        <v>195</v>
      </c>
      <c r="F185" s="49" t="s">
        <v>346</v>
      </c>
      <c r="G185" s="107" t="s">
        <v>196</v>
      </c>
      <c r="H185" s="108">
        <v>1500</v>
      </c>
      <c r="I185" s="108" t="s">
        <v>85</v>
      </c>
      <c r="J185" s="33" t="s">
        <v>566</v>
      </c>
      <c r="K185" s="30" t="s">
        <v>53</v>
      </c>
      <c r="L185" s="33"/>
      <c r="M185" s="34" t="s">
        <v>567</v>
      </c>
      <c r="N185" s="30" t="s">
        <v>568</v>
      </c>
      <c r="O185" s="48" t="s">
        <v>68</v>
      </c>
      <c r="P185" s="30"/>
      <c r="Q185" s="30" t="s">
        <v>569</v>
      </c>
      <c r="R185" s="30" t="s">
        <v>287</v>
      </c>
      <c r="S185" s="30" t="s">
        <v>565</v>
      </c>
      <c r="T185" s="194">
        <v>46069</v>
      </c>
      <c r="U185" s="93">
        <v>46068</v>
      </c>
      <c r="V185" s="88">
        <v>46076</v>
      </c>
      <c r="W185" s="52"/>
      <c r="X185" s="30" t="s">
        <v>123</v>
      </c>
      <c r="Y185" s="30">
        <v>1</v>
      </c>
      <c r="Z185" s="30"/>
      <c r="AA185" s="36">
        <v>46065</v>
      </c>
      <c r="AB185" s="36">
        <v>46075</v>
      </c>
      <c r="AC185" s="30"/>
      <c r="AD185" s="56" t="s">
        <v>72</v>
      </c>
      <c r="AE185" s="33"/>
      <c r="AF185" s="43">
        <v>46070</v>
      </c>
      <c r="AG185" s="43">
        <v>46067</v>
      </c>
      <c r="AH185" s="43">
        <v>46080</v>
      </c>
      <c r="AI185" s="43">
        <v>46083</v>
      </c>
      <c r="AJ185" s="43"/>
      <c r="AK185" s="44">
        <v>46078</v>
      </c>
      <c r="AL185" s="113">
        <v>46560</v>
      </c>
      <c r="AM185" s="59"/>
      <c r="AN185" s="59"/>
      <c r="AO185" s="97"/>
      <c r="AP185" s="97"/>
      <c r="AQ185" s="33"/>
      <c r="AR185" s="30"/>
      <c r="AS185" s="33"/>
    </row>
    <row r="186" spans="1:45" ht="18.649999999999999" customHeight="1">
      <c r="A186" s="48"/>
      <c r="B186" s="30"/>
      <c r="C186" s="30"/>
      <c r="D186" s="20" t="s">
        <v>275</v>
      </c>
      <c r="E186" s="31" t="s">
        <v>319</v>
      </c>
      <c r="F186" s="31">
        <v>1000030433</v>
      </c>
      <c r="G186" s="107" t="s">
        <v>320</v>
      </c>
      <c r="H186" s="108">
        <v>1008</v>
      </c>
      <c r="I186" s="108" t="s">
        <v>85</v>
      </c>
      <c r="J186" s="33" t="s">
        <v>53</v>
      </c>
      <c r="K186" s="30"/>
      <c r="L186" s="33"/>
      <c r="M186" s="34" t="s">
        <v>570</v>
      </c>
      <c r="N186" s="30" t="s">
        <v>571</v>
      </c>
      <c r="O186" s="30" t="s">
        <v>189</v>
      </c>
      <c r="P186" s="30"/>
      <c r="Q186" s="195" t="s">
        <v>572</v>
      </c>
      <c r="R186" s="30" t="s">
        <v>79</v>
      </c>
      <c r="S186" s="30" t="s">
        <v>573</v>
      </c>
      <c r="T186" s="36">
        <v>46079</v>
      </c>
      <c r="U186" s="93">
        <v>46064</v>
      </c>
      <c r="V186" s="88">
        <v>46074</v>
      </c>
      <c r="W186" s="52"/>
      <c r="X186" s="30" t="s">
        <v>123</v>
      </c>
      <c r="Y186" s="30">
        <v>0.5</v>
      </c>
      <c r="Z186" s="30"/>
      <c r="AA186" s="36">
        <v>46068</v>
      </c>
      <c r="AB186" s="36">
        <v>46076</v>
      </c>
      <c r="AC186" s="30"/>
      <c r="AD186" s="56" t="s">
        <v>72</v>
      </c>
      <c r="AE186" s="33"/>
      <c r="AF186" s="43">
        <v>46076</v>
      </c>
      <c r="AG186" s="27">
        <v>46070</v>
      </c>
      <c r="AH186" s="43">
        <v>46080</v>
      </c>
      <c r="AI186" s="27">
        <v>46086</v>
      </c>
      <c r="AJ186" s="27"/>
      <c r="AK186" s="44">
        <v>46068</v>
      </c>
      <c r="AL186" s="91">
        <v>201600</v>
      </c>
      <c r="AM186" s="59"/>
      <c r="AN186" s="59"/>
      <c r="AO186" s="97"/>
      <c r="AP186" s="97"/>
      <c r="AQ186" s="33"/>
      <c r="AR186" s="30"/>
      <c r="AS186" s="33"/>
    </row>
    <row r="187" spans="1:45" ht="18.649999999999999" customHeight="1">
      <c r="A187" s="48"/>
      <c r="B187" s="30"/>
      <c r="C187" s="30"/>
      <c r="D187" s="20" t="s">
        <v>275</v>
      </c>
      <c r="E187" s="31" t="s">
        <v>319</v>
      </c>
      <c r="F187" s="31">
        <v>1000024287</v>
      </c>
      <c r="G187" s="107" t="s">
        <v>326</v>
      </c>
      <c r="H187" s="108">
        <v>882</v>
      </c>
      <c r="I187" s="108" t="s">
        <v>85</v>
      </c>
      <c r="J187" s="33" t="s">
        <v>53</v>
      </c>
      <c r="K187" s="30"/>
      <c r="L187" s="33"/>
      <c r="M187" s="34" t="s">
        <v>570</v>
      </c>
      <c r="N187" s="30" t="s">
        <v>571</v>
      </c>
      <c r="O187" s="30" t="s">
        <v>189</v>
      </c>
      <c r="P187" s="30"/>
      <c r="Q187" s="195" t="s">
        <v>572</v>
      </c>
      <c r="R187" s="30" t="s">
        <v>79</v>
      </c>
      <c r="S187" s="30" t="s">
        <v>573</v>
      </c>
      <c r="T187" s="36">
        <v>46079</v>
      </c>
      <c r="U187" s="93">
        <v>46064</v>
      </c>
      <c r="V187" s="88">
        <v>46074</v>
      </c>
      <c r="W187" s="52"/>
      <c r="X187" s="30" t="s">
        <v>123</v>
      </c>
      <c r="Y187" s="30">
        <v>0.5</v>
      </c>
      <c r="Z187" s="30"/>
      <c r="AA187" s="36">
        <v>46068</v>
      </c>
      <c r="AB187" s="36">
        <v>46076</v>
      </c>
      <c r="AC187" s="30"/>
      <c r="AD187" s="56" t="s">
        <v>72</v>
      </c>
      <c r="AE187" s="33"/>
      <c r="AF187" s="43">
        <v>46076</v>
      </c>
      <c r="AG187" s="27">
        <v>46070</v>
      </c>
      <c r="AH187" s="43">
        <v>46080</v>
      </c>
      <c r="AI187" s="27">
        <v>46086</v>
      </c>
      <c r="AJ187" s="27"/>
      <c r="AK187" s="44">
        <v>46068</v>
      </c>
      <c r="AL187" s="91">
        <v>176400</v>
      </c>
      <c r="AM187" s="59"/>
      <c r="AN187" s="59"/>
      <c r="AO187" s="97"/>
      <c r="AP187" s="97"/>
      <c r="AQ187" s="33"/>
      <c r="AR187" s="30"/>
      <c r="AS187" s="33"/>
    </row>
    <row r="188" spans="1:45" ht="18.649999999999999" customHeight="1">
      <c r="A188" s="48"/>
      <c r="B188" s="30"/>
      <c r="C188" s="30"/>
      <c r="D188" s="20" t="s">
        <v>275</v>
      </c>
      <c r="E188" s="31" t="s">
        <v>319</v>
      </c>
      <c r="F188" s="49">
        <v>2000023239</v>
      </c>
      <c r="G188" s="107" t="s">
        <v>332</v>
      </c>
      <c r="H188" s="108">
        <v>25</v>
      </c>
      <c r="I188" s="108" t="s">
        <v>239</v>
      </c>
      <c r="J188" s="33" t="s">
        <v>53</v>
      </c>
      <c r="K188" s="30"/>
      <c r="L188" s="33"/>
      <c r="M188" s="34" t="s">
        <v>570</v>
      </c>
      <c r="N188" s="30" t="s">
        <v>571</v>
      </c>
      <c r="O188" s="30" t="s">
        <v>189</v>
      </c>
      <c r="P188" s="30"/>
      <c r="Q188" s="195" t="s">
        <v>572</v>
      </c>
      <c r="R188" s="30" t="s">
        <v>79</v>
      </c>
      <c r="S188" s="30" t="s">
        <v>573</v>
      </c>
      <c r="T188" s="36">
        <v>46079</v>
      </c>
      <c r="U188" s="93">
        <v>46064</v>
      </c>
      <c r="V188" s="88">
        <v>46074</v>
      </c>
      <c r="W188" s="52"/>
      <c r="X188" s="30" t="s">
        <v>123</v>
      </c>
      <c r="Y188" s="30">
        <v>0.5</v>
      </c>
      <c r="Z188" s="30"/>
      <c r="AA188" s="36">
        <v>46068</v>
      </c>
      <c r="AB188" s="36">
        <v>46076</v>
      </c>
      <c r="AC188" s="30"/>
      <c r="AD188" s="56" t="s">
        <v>72</v>
      </c>
      <c r="AE188" s="33"/>
      <c r="AF188" s="43">
        <v>46076</v>
      </c>
      <c r="AG188" s="27">
        <v>46070</v>
      </c>
      <c r="AH188" s="43">
        <v>46080</v>
      </c>
      <c r="AI188" s="27">
        <v>46086</v>
      </c>
      <c r="AJ188" s="27"/>
      <c r="AK188" s="44">
        <v>46068</v>
      </c>
      <c r="AL188" s="135">
        <v>262.5</v>
      </c>
      <c r="AM188" s="59"/>
      <c r="AN188" s="59"/>
      <c r="AO188" s="97"/>
      <c r="AP188" s="97"/>
      <c r="AQ188" s="33"/>
      <c r="AR188" s="30"/>
      <c r="AS188" s="33"/>
    </row>
    <row r="189" spans="1:45" ht="18.649999999999999" customHeight="1">
      <c r="A189" s="48"/>
      <c r="B189" s="30"/>
      <c r="C189" s="30"/>
      <c r="D189" s="48" t="s">
        <v>81</v>
      </c>
      <c r="E189" s="49" t="s">
        <v>262</v>
      </c>
      <c r="F189" s="49" t="s">
        <v>299</v>
      </c>
      <c r="G189" s="107" t="s">
        <v>300</v>
      </c>
      <c r="H189" s="108">
        <v>4476</v>
      </c>
      <c r="I189" s="108" t="s">
        <v>85</v>
      </c>
      <c r="J189" s="33" t="s">
        <v>53</v>
      </c>
      <c r="K189" s="30" t="s">
        <v>53</v>
      </c>
      <c r="L189" s="33"/>
      <c r="M189" s="34" t="s">
        <v>574</v>
      </c>
      <c r="N189" s="30">
        <v>90475314</v>
      </c>
      <c r="O189" s="30" t="s">
        <v>68</v>
      </c>
      <c r="P189" s="30"/>
      <c r="Q189" s="30" t="s">
        <v>575</v>
      </c>
      <c r="R189" s="30" t="s">
        <v>266</v>
      </c>
      <c r="S189" s="30" t="s">
        <v>576</v>
      </c>
      <c r="T189" s="36">
        <v>46079</v>
      </c>
      <c r="U189" s="93">
        <v>46062</v>
      </c>
      <c r="V189" s="88">
        <v>46066</v>
      </c>
      <c r="W189" s="52"/>
      <c r="X189" s="48" t="s">
        <v>170</v>
      </c>
      <c r="Y189" s="48">
        <v>4</v>
      </c>
      <c r="Z189" s="48"/>
      <c r="AA189" s="36">
        <v>46062</v>
      </c>
      <c r="AB189" s="36">
        <v>46071</v>
      </c>
      <c r="AC189" s="30"/>
      <c r="AD189" s="42" t="s">
        <v>59</v>
      </c>
      <c r="AE189" s="33"/>
      <c r="AF189" s="43">
        <v>46076</v>
      </c>
      <c r="AG189" s="27">
        <v>46070</v>
      </c>
      <c r="AH189" s="43">
        <v>46080</v>
      </c>
      <c r="AI189" s="43">
        <v>46083</v>
      </c>
      <c r="AJ189" s="43"/>
      <c r="AK189" s="44">
        <v>46078</v>
      </c>
      <c r="AL189" s="45">
        <v>93996</v>
      </c>
      <c r="AM189" s="59"/>
      <c r="AN189" s="59"/>
      <c r="AO189" s="59"/>
      <c r="AP189" s="59"/>
      <c r="AQ189" s="33"/>
      <c r="AR189" s="30">
        <v>1</v>
      </c>
      <c r="AS189" s="33" t="s">
        <v>577</v>
      </c>
    </row>
    <row r="190" spans="1:45" ht="18.649999999999999" customHeight="1">
      <c r="A190" s="48"/>
      <c r="B190" s="30"/>
      <c r="C190" s="30"/>
      <c r="D190" s="48" t="s">
        <v>48</v>
      </c>
      <c r="E190" s="49" t="s">
        <v>63</v>
      </c>
      <c r="F190" s="49">
        <v>1000038424</v>
      </c>
      <c r="G190" s="107" t="s">
        <v>64</v>
      </c>
      <c r="H190" s="108">
        <v>2814</v>
      </c>
      <c r="I190" s="108" t="s">
        <v>65</v>
      </c>
      <c r="J190" s="33"/>
      <c r="K190" s="30" t="s">
        <v>53</v>
      </c>
      <c r="L190" s="33"/>
      <c r="M190" s="34" t="s">
        <v>578</v>
      </c>
      <c r="N190" s="30" t="s">
        <v>579</v>
      </c>
      <c r="O190" s="30" t="s">
        <v>68</v>
      </c>
      <c r="P190" s="30"/>
      <c r="Q190" s="48">
        <v>7266143080</v>
      </c>
      <c r="R190" s="48" t="s">
        <v>365</v>
      </c>
      <c r="S190" s="30" t="s">
        <v>580</v>
      </c>
      <c r="T190" s="36">
        <v>46082</v>
      </c>
      <c r="U190" s="93">
        <v>46062</v>
      </c>
      <c r="V190" s="88">
        <v>46073</v>
      </c>
      <c r="W190" s="52"/>
      <c r="X190" s="30" t="s">
        <v>58</v>
      </c>
      <c r="Y190" s="30">
        <v>2</v>
      </c>
      <c r="Z190" s="30"/>
      <c r="AA190" s="36">
        <v>46062</v>
      </c>
      <c r="AB190" s="94">
        <v>46079</v>
      </c>
      <c r="AC190" s="30"/>
      <c r="AD190" s="42" t="s">
        <v>72</v>
      </c>
      <c r="AE190" s="33"/>
      <c r="AF190" s="43">
        <v>46065</v>
      </c>
      <c r="AG190" s="43">
        <v>46065</v>
      </c>
      <c r="AH190" s="43">
        <v>46081</v>
      </c>
      <c r="AI190" s="43">
        <v>46083</v>
      </c>
      <c r="AJ190" s="43"/>
      <c r="AK190" s="44">
        <v>46078</v>
      </c>
      <c r="AL190" s="45">
        <v>51591.75</v>
      </c>
      <c r="AM190" s="59"/>
      <c r="AN190" s="59"/>
      <c r="AO190" s="97"/>
      <c r="AP190" s="97"/>
      <c r="AQ190" s="33"/>
      <c r="AR190" s="30"/>
      <c r="AS190" s="33"/>
    </row>
    <row r="191" spans="1:45" ht="18.649999999999999" customHeight="1">
      <c r="A191" s="48"/>
      <c r="B191" s="30"/>
      <c r="C191" s="30"/>
      <c r="D191" s="48" t="s">
        <v>48</v>
      </c>
      <c r="E191" s="49" t="s">
        <v>82</v>
      </c>
      <c r="F191" s="49">
        <v>1000015487</v>
      </c>
      <c r="G191" s="107" t="s">
        <v>109</v>
      </c>
      <c r="H191" s="108">
        <v>675</v>
      </c>
      <c r="I191" s="108" t="s">
        <v>110</v>
      </c>
      <c r="J191" s="33" t="s">
        <v>393</v>
      </c>
      <c r="K191" s="30"/>
      <c r="L191" s="33"/>
      <c r="M191" s="34" t="s">
        <v>581</v>
      </c>
      <c r="N191" s="30">
        <v>2245280087</v>
      </c>
      <c r="O191" s="20" t="s">
        <v>68</v>
      </c>
      <c r="P191" s="30"/>
      <c r="Q191" s="30">
        <v>721256567</v>
      </c>
      <c r="R191" s="36" t="s">
        <v>88</v>
      </c>
      <c r="S191" s="30" t="s">
        <v>582</v>
      </c>
      <c r="T191" s="36">
        <v>46083</v>
      </c>
      <c r="U191" s="93">
        <v>46048</v>
      </c>
      <c r="V191" s="88">
        <v>46078</v>
      </c>
      <c r="W191" s="52"/>
      <c r="X191" s="30" t="s">
        <v>309</v>
      </c>
      <c r="Y191" s="30">
        <v>0.5</v>
      </c>
      <c r="Z191" s="30"/>
      <c r="AA191" s="36">
        <v>46049</v>
      </c>
      <c r="AB191" s="36">
        <v>46079</v>
      </c>
      <c r="AC191" s="30"/>
      <c r="AD191" s="56" t="s">
        <v>72</v>
      </c>
      <c r="AE191" s="33"/>
      <c r="AF191" s="43">
        <v>46056</v>
      </c>
      <c r="AG191" s="43">
        <v>46050</v>
      </c>
      <c r="AH191" s="43">
        <v>46081</v>
      </c>
      <c r="AI191" s="43">
        <v>46083</v>
      </c>
      <c r="AJ191" s="43"/>
      <c r="AK191" s="44">
        <v>46068</v>
      </c>
      <c r="AL191" s="91">
        <v>52584.6</v>
      </c>
      <c r="AM191" s="59"/>
      <c r="AN191" s="59"/>
      <c r="AO191" s="97"/>
      <c r="AP191" s="97"/>
      <c r="AQ191" s="33"/>
      <c r="AR191" s="30"/>
      <c r="AS191" s="33"/>
    </row>
    <row r="192" spans="1:45" ht="18.649999999999999" customHeight="1">
      <c r="A192" s="48"/>
      <c r="B192" s="30"/>
      <c r="C192" s="30"/>
      <c r="D192" s="48" t="s">
        <v>48</v>
      </c>
      <c r="E192" s="49" t="s">
        <v>82</v>
      </c>
      <c r="F192" s="49">
        <v>1000001464</v>
      </c>
      <c r="G192" s="107" t="s">
        <v>114</v>
      </c>
      <c r="H192" s="108">
        <v>135</v>
      </c>
      <c r="I192" s="108" t="s">
        <v>110</v>
      </c>
      <c r="J192" s="33" t="s">
        <v>393</v>
      </c>
      <c r="K192" s="30"/>
      <c r="L192" s="33"/>
      <c r="M192" s="34" t="s">
        <v>583</v>
      </c>
      <c r="N192" s="30">
        <v>2245280087</v>
      </c>
      <c r="O192" s="20" t="s">
        <v>68</v>
      </c>
      <c r="P192" s="30"/>
      <c r="Q192" s="30">
        <v>721256567</v>
      </c>
      <c r="R192" s="36" t="s">
        <v>88</v>
      </c>
      <c r="S192" s="30" t="s">
        <v>582</v>
      </c>
      <c r="T192" s="36">
        <v>46083</v>
      </c>
      <c r="U192" s="93">
        <v>46048</v>
      </c>
      <c r="V192" s="88">
        <v>46078</v>
      </c>
      <c r="W192" s="52"/>
      <c r="X192" s="30" t="s">
        <v>309</v>
      </c>
      <c r="Y192" s="30">
        <v>0.5</v>
      </c>
      <c r="Z192" s="30"/>
      <c r="AA192" s="36">
        <v>46049</v>
      </c>
      <c r="AB192" s="36">
        <v>46079</v>
      </c>
      <c r="AC192" s="30"/>
      <c r="AD192" s="56" t="s">
        <v>72</v>
      </c>
      <c r="AE192" s="33"/>
      <c r="AF192" s="43">
        <v>46056</v>
      </c>
      <c r="AG192" s="43">
        <v>46050</v>
      </c>
      <c r="AH192" s="43">
        <v>46081</v>
      </c>
      <c r="AI192" s="43">
        <v>46083</v>
      </c>
      <c r="AJ192" s="43"/>
      <c r="AK192" s="44">
        <v>46068</v>
      </c>
      <c r="AL192" s="91">
        <v>13003.55</v>
      </c>
      <c r="AM192" s="59"/>
      <c r="AN192" s="59"/>
      <c r="AO192" s="97"/>
      <c r="AP192" s="97"/>
      <c r="AQ192" s="33"/>
      <c r="AR192" s="30"/>
      <c r="AS192" s="33"/>
    </row>
    <row r="193" spans="1:45" ht="18.649999999999999" customHeight="1">
      <c r="B193" s="5"/>
      <c r="D193" s="48" t="s">
        <v>48</v>
      </c>
      <c r="E193" s="49" t="s">
        <v>584</v>
      </c>
      <c r="F193" s="49">
        <v>1000039335</v>
      </c>
      <c r="G193" s="49" t="s">
        <v>585</v>
      </c>
      <c r="H193" s="48">
        <v>50</v>
      </c>
      <c r="I193" s="48" t="s">
        <v>52</v>
      </c>
      <c r="K193" s="21" t="s">
        <v>53</v>
      </c>
      <c r="M193" s="136" t="s">
        <v>586</v>
      </c>
      <c r="N193" s="21">
        <v>647709</v>
      </c>
      <c r="O193" s="5" t="s">
        <v>68</v>
      </c>
      <c r="Q193" s="21" t="s">
        <v>587</v>
      </c>
      <c r="R193" s="21" t="s">
        <v>588</v>
      </c>
      <c r="S193" s="5" t="s">
        <v>589</v>
      </c>
      <c r="T193" s="24">
        <v>46061</v>
      </c>
      <c r="U193" s="137">
        <v>46079</v>
      </c>
      <c r="V193" s="137">
        <v>46079</v>
      </c>
      <c r="X193" s="5" t="s">
        <v>217</v>
      </c>
      <c r="Y193" s="5">
        <v>1</v>
      </c>
      <c r="AA193" s="24">
        <v>46079</v>
      </c>
      <c r="AB193" s="24">
        <v>46079</v>
      </c>
      <c r="AD193" s="56" t="s">
        <v>72</v>
      </c>
      <c r="AE193" s="21"/>
      <c r="AF193" s="27">
        <v>46080</v>
      </c>
      <c r="AG193" s="27">
        <v>46080</v>
      </c>
      <c r="AH193" s="27">
        <v>46081</v>
      </c>
      <c r="AI193" s="27">
        <v>46083</v>
      </c>
      <c r="AJ193" s="27"/>
      <c r="AK193" s="196">
        <v>46096</v>
      </c>
      <c r="AL193" s="184">
        <v>2792</v>
      </c>
      <c r="AM193" s="58"/>
      <c r="AN193" s="58"/>
      <c r="AR193" s="21"/>
    </row>
    <row r="194" spans="1:45" ht="21">
      <c r="B194" s="5"/>
      <c r="D194" s="48" t="s">
        <v>81</v>
      </c>
      <c r="E194" s="49" t="s">
        <v>590</v>
      </c>
      <c r="F194" s="49">
        <v>1000016271</v>
      </c>
      <c r="G194" s="49" t="s">
        <v>591</v>
      </c>
      <c r="H194" s="48">
        <v>3000</v>
      </c>
      <c r="I194" s="48" t="s">
        <v>85</v>
      </c>
      <c r="J194" s="48"/>
      <c r="K194" s="21" t="s">
        <v>53</v>
      </c>
      <c r="M194" s="136" t="s">
        <v>592</v>
      </c>
      <c r="N194" s="21">
        <v>8000133532</v>
      </c>
      <c r="O194" s="48" t="s">
        <v>55</v>
      </c>
      <c r="Q194" s="20" t="s">
        <v>593</v>
      </c>
      <c r="R194" s="5" t="s">
        <v>423</v>
      </c>
      <c r="S194" s="63" t="s">
        <v>594</v>
      </c>
      <c r="T194" s="24">
        <v>46082</v>
      </c>
      <c r="U194" s="137">
        <v>46065</v>
      </c>
      <c r="V194" s="137">
        <v>46079</v>
      </c>
      <c r="X194" s="5" t="s">
        <v>170</v>
      </c>
      <c r="Y194" s="5">
        <v>3</v>
      </c>
      <c r="AA194" s="25">
        <v>46065</v>
      </c>
      <c r="AB194" s="25">
        <v>46078</v>
      </c>
      <c r="AD194" s="56" t="s">
        <v>72</v>
      </c>
      <c r="AE194" s="21"/>
      <c r="AF194" s="27">
        <v>46080</v>
      </c>
      <c r="AG194" s="27">
        <v>46072</v>
      </c>
      <c r="AH194" s="25">
        <v>46086</v>
      </c>
      <c r="AI194" s="27">
        <v>46087</v>
      </c>
      <c r="AJ194" s="27"/>
      <c r="AK194" s="178">
        <v>46078</v>
      </c>
      <c r="AL194" s="184">
        <v>61824.5</v>
      </c>
      <c r="AM194" s="58"/>
      <c r="AN194" s="58"/>
      <c r="AR194" s="5">
        <v>1</v>
      </c>
      <c r="AS194" s="33" t="s">
        <v>595</v>
      </c>
    </row>
    <row r="195" spans="1:45" ht="18.649999999999999" customHeight="1">
      <c r="B195" s="5"/>
      <c r="D195" s="20" t="s">
        <v>352</v>
      </c>
      <c r="E195" s="49" t="s">
        <v>74</v>
      </c>
      <c r="F195" s="49">
        <v>1000031958</v>
      </c>
      <c r="G195" s="33" t="s">
        <v>353</v>
      </c>
      <c r="H195" s="30">
        <v>3640</v>
      </c>
      <c r="I195" s="48" t="s">
        <v>52</v>
      </c>
      <c r="J195" s="33" t="s">
        <v>53</v>
      </c>
      <c r="K195" s="21"/>
      <c r="M195" s="34" t="s">
        <v>355</v>
      </c>
      <c r="N195" s="30" t="s">
        <v>596</v>
      </c>
      <c r="O195" s="30" t="s">
        <v>68</v>
      </c>
      <c r="Q195" s="197" t="s">
        <v>597</v>
      </c>
      <c r="R195" s="30" t="s">
        <v>79</v>
      </c>
      <c r="S195" s="5" t="s">
        <v>598</v>
      </c>
      <c r="T195" s="36">
        <v>46023</v>
      </c>
      <c r="U195" s="137">
        <v>46066</v>
      </c>
      <c r="V195" s="137">
        <v>46080</v>
      </c>
      <c r="X195" s="40" t="s">
        <v>58</v>
      </c>
      <c r="Y195" s="40">
        <v>2</v>
      </c>
      <c r="Z195" s="40"/>
      <c r="AA195" s="25">
        <v>46067</v>
      </c>
      <c r="AB195" s="128">
        <v>46082</v>
      </c>
      <c r="AD195" s="90" t="s">
        <v>599</v>
      </c>
      <c r="AE195" s="21"/>
      <c r="AF195" s="25">
        <v>46077</v>
      </c>
      <c r="AG195" s="25">
        <v>46073</v>
      </c>
      <c r="AH195" s="25">
        <v>46085</v>
      </c>
      <c r="AI195" s="27">
        <v>46086</v>
      </c>
      <c r="AJ195" s="27"/>
      <c r="AK195" s="178">
        <v>46078</v>
      </c>
      <c r="AL195" s="184">
        <v>21600.62</v>
      </c>
      <c r="AM195" s="58"/>
      <c r="AN195" s="58"/>
      <c r="AR195" s="21"/>
    </row>
    <row r="196" spans="1:45" ht="18.649999999999999" customHeight="1">
      <c r="A196" s="48"/>
      <c r="B196" s="30"/>
      <c r="C196" s="30"/>
      <c r="D196" s="48" t="s">
        <v>81</v>
      </c>
      <c r="E196" s="49" t="s">
        <v>600</v>
      </c>
      <c r="F196" s="49">
        <v>1000014362</v>
      </c>
      <c r="G196" s="107" t="s">
        <v>601</v>
      </c>
      <c r="H196" s="108" t="s">
        <v>602</v>
      </c>
      <c r="I196" s="108" t="s">
        <v>52</v>
      </c>
      <c r="J196" s="33" t="s">
        <v>603</v>
      </c>
      <c r="K196" s="30" t="s">
        <v>53</v>
      </c>
      <c r="L196" s="33"/>
      <c r="M196" s="117" t="s">
        <v>604</v>
      </c>
      <c r="N196" s="30">
        <v>91476769</v>
      </c>
      <c r="O196" s="20" t="s">
        <v>68</v>
      </c>
      <c r="P196" s="30"/>
      <c r="Q196" s="48" t="s">
        <v>605</v>
      </c>
      <c r="R196" s="30" t="s">
        <v>423</v>
      </c>
      <c r="S196" s="5" t="s">
        <v>606</v>
      </c>
      <c r="T196" s="36">
        <v>46082</v>
      </c>
      <c r="U196" s="93">
        <v>46044</v>
      </c>
      <c r="V196" s="88">
        <v>46075</v>
      </c>
      <c r="W196" s="52"/>
      <c r="X196" s="20" t="s">
        <v>58</v>
      </c>
      <c r="Y196" s="20">
        <v>1</v>
      </c>
      <c r="Z196" s="20"/>
      <c r="AA196" s="25">
        <v>46044</v>
      </c>
      <c r="AB196" s="25">
        <v>46080</v>
      </c>
      <c r="AC196" s="30"/>
      <c r="AD196" s="42" t="s">
        <v>72</v>
      </c>
      <c r="AE196" s="33"/>
      <c r="AF196" s="43">
        <v>46065</v>
      </c>
      <c r="AG196" s="43">
        <v>46065</v>
      </c>
      <c r="AH196" s="36">
        <v>46085</v>
      </c>
      <c r="AI196" s="43">
        <v>46086</v>
      </c>
      <c r="AJ196" s="43"/>
      <c r="AK196" s="44">
        <v>46068</v>
      </c>
      <c r="AL196" s="45">
        <v>88755.48</v>
      </c>
      <c r="AM196" s="59"/>
      <c r="AN196" s="59"/>
      <c r="AO196" s="97"/>
      <c r="AP196" s="97"/>
      <c r="AQ196" s="33"/>
      <c r="AR196" s="30"/>
      <c r="AS196" s="33"/>
    </row>
    <row r="197" spans="1:45" ht="18.649999999999999" customHeight="1">
      <c r="B197" s="5"/>
      <c r="D197" s="48" t="s">
        <v>81</v>
      </c>
      <c r="E197" s="49" t="s">
        <v>144</v>
      </c>
      <c r="F197" s="49" t="s">
        <v>607</v>
      </c>
      <c r="G197" s="49" t="s">
        <v>145</v>
      </c>
      <c r="H197" s="108">
        <v>11200</v>
      </c>
      <c r="I197" s="48" t="s">
        <v>146</v>
      </c>
      <c r="K197" s="21" t="s">
        <v>53</v>
      </c>
      <c r="M197" s="136" t="s">
        <v>608</v>
      </c>
      <c r="N197" s="21" t="s">
        <v>609</v>
      </c>
      <c r="O197" s="5" t="s">
        <v>150</v>
      </c>
      <c r="Q197" s="20">
        <v>7266362340</v>
      </c>
      <c r="R197" s="20" t="s">
        <v>365</v>
      </c>
      <c r="S197" s="5" t="s">
        <v>610</v>
      </c>
      <c r="T197" s="24">
        <v>46068</v>
      </c>
      <c r="U197" s="137">
        <v>46065</v>
      </c>
      <c r="V197" s="137">
        <v>46077</v>
      </c>
      <c r="X197" s="5" t="s">
        <v>58</v>
      </c>
      <c r="Y197" s="5">
        <v>2</v>
      </c>
      <c r="AA197" s="36">
        <v>46068</v>
      </c>
      <c r="AB197" s="94">
        <v>46084</v>
      </c>
      <c r="AD197" s="56" t="s">
        <v>72</v>
      </c>
      <c r="AE197" s="21"/>
      <c r="AF197" s="36">
        <v>46083</v>
      </c>
      <c r="AG197" s="25">
        <v>46070</v>
      </c>
      <c r="AH197" s="25">
        <v>46087</v>
      </c>
      <c r="AI197" s="27">
        <v>46090</v>
      </c>
      <c r="AJ197" s="27"/>
      <c r="AK197" s="178">
        <v>46056</v>
      </c>
      <c r="AL197" s="184">
        <v>99680</v>
      </c>
      <c r="AM197" s="58"/>
      <c r="AN197" s="58"/>
      <c r="AR197" s="21"/>
    </row>
    <row r="198" spans="1:45" ht="18.649999999999999" customHeight="1">
      <c r="B198" s="5"/>
      <c r="D198" s="48" t="s">
        <v>611</v>
      </c>
      <c r="E198" s="49" t="s">
        <v>612</v>
      </c>
      <c r="F198" s="49">
        <v>1000033050</v>
      </c>
      <c r="G198" s="49" t="s">
        <v>613</v>
      </c>
      <c r="H198" s="48">
        <v>2518</v>
      </c>
      <c r="I198" s="48" t="s">
        <v>614</v>
      </c>
      <c r="K198" s="21" t="s">
        <v>53</v>
      </c>
      <c r="M198" s="136" t="s">
        <v>615</v>
      </c>
      <c r="N198" s="21" t="s">
        <v>616</v>
      </c>
      <c r="O198" s="5" t="s">
        <v>150</v>
      </c>
      <c r="Q198" s="20" t="s">
        <v>617</v>
      </c>
      <c r="R198" s="5" t="s">
        <v>476</v>
      </c>
      <c r="S198" s="5" t="s">
        <v>618</v>
      </c>
      <c r="T198" s="24">
        <v>46068</v>
      </c>
      <c r="U198" s="137">
        <v>46066</v>
      </c>
      <c r="V198" s="137">
        <v>46076</v>
      </c>
      <c r="X198" s="5" t="s">
        <v>170</v>
      </c>
      <c r="Y198" s="5">
        <v>2</v>
      </c>
      <c r="AA198" s="25">
        <v>46068</v>
      </c>
      <c r="AB198" s="25">
        <v>46079</v>
      </c>
      <c r="AD198" s="56" t="s">
        <v>72</v>
      </c>
      <c r="AE198" s="21"/>
      <c r="AF198" s="43">
        <v>46083</v>
      </c>
      <c r="AG198" s="27">
        <v>46070</v>
      </c>
      <c r="AH198" s="25">
        <v>46087</v>
      </c>
      <c r="AI198" s="27">
        <v>46090</v>
      </c>
      <c r="AJ198" s="27"/>
      <c r="AK198" s="178">
        <v>46047</v>
      </c>
      <c r="AL198" s="179">
        <v>27194.399999999998</v>
      </c>
      <c r="AM198" s="198">
        <v>46068</v>
      </c>
      <c r="AN198" s="184">
        <v>63453.599999999999</v>
      </c>
      <c r="AR198" s="21"/>
    </row>
    <row r="199" spans="1:45" ht="18.649999999999999" customHeight="1">
      <c r="A199" s="48"/>
      <c r="B199" s="30"/>
      <c r="C199" s="30"/>
      <c r="D199" s="20" t="s">
        <v>160</v>
      </c>
      <c r="E199" s="31" t="s">
        <v>548</v>
      </c>
      <c r="F199" s="49">
        <v>1000033875</v>
      </c>
      <c r="G199" s="61" t="s">
        <v>549</v>
      </c>
      <c r="H199" s="48">
        <v>1500</v>
      </c>
      <c r="I199" s="48" t="s">
        <v>85</v>
      </c>
      <c r="J199" s="33"/>
      <c r="K199" s="30" t="s">
        <v>53</v>
      </c>
      <c r="L199" s="33"/>
      <c r="M199" s="34" t="s">
        <v>619</v>
      </c>
      <c r="N199" s="35" t="s">
        <v>620</v>
      </c>
      <c r="O199" s="48" t="s">
        <v>55</v>
      </c>
      <c r="P199" s="30"/>
      <c r="Q199" s="48" t="s">
        <v>621</v>
      </c>
      <c r="R199" s="30" t="s">
        <v>622</v>
      </c>
      <c r="S199" s="92" t="s">
        <v>623</v>
      </c>
      <c r="T199" s="36">
        <v>46082</v>
      </c>
      <c r="U199" s="93">
        <v>46058</v>
      </c>
      <c r="V199" s="88">
        <v>46084</v>
      </c>
      <c r="W199" s="52"/>
      <c r="X199" s="120" t="s">
        <v>58</v>
      </c>
      <c r="Y199" s="120">
        <v>1</v>
      </c>
      <c r="Z199" s="120"/>
      <c r="AA199" s="36">
        <v>46058</v>
      </c>
      <c r="AB199" s="94">
        <v>46085</v>
      </c>
      <c r="AC199" s="30"/>
      <c r="AD199" s="56" t="s">
        <v>72</v>
      </c>
      <c r="AE199" s="33"/>
      <c r="AF199" s="36">
        <v>46071</v>
      </c>
      <c r="AG199" s="36">
        <v>46067</v>
      </c>
      <c r="AH199" s="36">
        <v>46091</v>
      </c>
      <c r="AI199" s="43">
        <v>46093</v>
      </c>
      <c r="AJ199" s="43"/>
      <c r="AK199" s="44">
        <v>46037</v>
      </c>
      <c r="AL199" s="45">
        <v>63000</v>
      </c>
      <c r="AM199" s="59"/>
      <c r="AN199" s="59"/>
      <c r="AO199" s="47">
        <v>0</v>
      </c>
      <c r="AP199" s="47" t="s">
        <v>61</v>
      </c>
      <c r="AQ199" s="33"/>
      <c r="AR199" s="30"/>
      <c r="AS199" s="33"/>
    </row>
    <row r="200" spans="1:45" ht="18.649999999999999" customHeight="1">
      <c r="A200" s="48" t="s">
        <v>624</v>
      </c>
      <c r="B200" s="199" t="s">
        <v>625</v>
      </c>
      <c r="C200" s="30"/>
      <c r="D200" s="48" t="s">
        <v>99</v>
      </c>
      <c r="E200" s="31" t="s">
        <v>626</v>
      </c>
      <c r="F200" s="49">
        <v>1000032969</v>
      </c>
      <c r="G200" s="33" t="s">
        <v>270</v>
      </c>
      <c r="H200" s="30">
        <v>900</v>
      </c>
      <c r="I200" s="61" t="s">
        <v>85</v>
      </c>
      <c r="J200" s="33"/>
      <c r="K200" s="30" t="s">
        <v>53</v>
      </c>
      <c r="L200" s="33"/>
      <c r="M200" s="34" t="s">
        <v>627</v>
      </c>
      <c r="N200" s="30" t="s">
        <v>628</v>
      </c>
      <c r="O200" s="20" t="s">
        <v>68</v>
      </c>
      <c r="P200" s="30"/>
      <c r="Q200" s="48">
        <v>6440134800</v>
      </c>
      <c r="R200" s="48" t="s">
        <v>365</v>
      </c>
      <c r="S200" s="200" t="s">
        <v>629</v>
      </c>
      <c r="T200" s="43">
        <v>46082</v>
      </c>
      <c r="U200" s="93">
        <v>46047</v>
      </c>
      <c r="V200" s="98">
        <v>46081</v>
      </c>
      <c r="W200" s="52"/>
      <c r="X200" s="20" t="s">
        <v>170</v>
      </c>
      <c r="Y200" s="20">
        <v>1</v>
      </c>
      <c r="Z200" s="20"/>
      <c r="AA200" s="36">
        <v>46059</v>
      </c>
      <c r="AB200" s="25">
        <v>46108</v>
      </c>
      <c r="AC200" s="71"/>
      <c r="AD200" s="56" t="s">
        <v>72</v>
      </c>
      <c r="AE200" s="33"/>
      <c r="AF200" s="36">
        <v>46070</v>
      </c>
      <c r="AG200" s="36">
        <v>46064</v>
      </c>
      <c r="AH200" s="36">
        <v>46114</v>
      </c>
      <c r="AI200" s="43">
        <v>46115</v>
      </c>
      <c r="AJ200" s="43"/>
      <c r="AK200" s="44">
        <v>46068</v>
      </c>
      <c r="AL200" s="45">
        <v>41148</v>
      </c>
      <c r="AM200" s="59"/>
      <c r="AN200" s="59"/>
      <c r="AO200" s="47">
        <v>0</v>
      </c>
      <c r="AP200" s="47" t="s">
        <v>61</v>
      </c>
      <c r="AQ200" s="33"/>
      <c r="AR200" s="30"/>
      <c r="AS200" s="33"/>
    </row>
    <row r="201" spans="1:45" ht="18.649999999999999" customHeight="1">
      <c r="A201" s="48" t="s">
        <v>624</v>
      </c>
      <c r="B201" s="199" t="s">
        <v>625</v>
      </c>
      <c r="C201" s="30"/>
      <c r="D201" s="48" t="s">
        <v>99</v>
      </c>
      <c r="E201" s="31" t="s">
        <v>626</v>
      </c>
      <c r="F201" s="49">
        <v>1000032969</v>
      </c>
      <c r="G201" s="33" t="s">
        <v>270</v>
      </c>
      <c r="H201" s="30">
        <v>1800</v>
      </c>
      <c r="I201" s="61" t="s">
        <v>85</v>
      </c>
      <c r="J201" s="33"/>
      <c r="K201" s="30" t="s">
        <v>53</v>
      </c>
      <c r="L201" s="33"/>
      <c r="M201" s="34" t="s">
        <v>630</v>
      </c>
      <c r="N201" s="30" t="s">
        <v>631</v>
      </c>
      <c r="O201" s="20" t="s">
        <v>68</v>
      </c>
      <c r="P201" s="30"/>
      <c r="Q201" s="48">
        <v>6442516620</v>
      </c>
      <c r="R201" s="48" t="s">
        <v>365</v>
      </c>
      <c r="S201" s="30" t="s">
        <v>632</v>
      </c>
      <c r="T201" s="43">
        <v>46113</v>
      </c>
      <c r="U201" s="93">
        <v>46070</v>
      </c>
      <c r="V201" s="88">
        <v>46102</v>
      </c>
      <c r="W201" s="52"/>
      <c r="X201" s="20" t="s">
        <v>170</v>
      </c>
      <c r="Y201" s="20">
        <v>2</v>
      </c>
      <c r="Z201" s="20"/>
      <c r="AA201" s="36">
        <v>46071</v>
      </c>
      <c r="AB201" s="25">
        <v>46108</v>
      </c>
      <c r="AC201" s="30"/>
      <c r="AD201" s="56" t="s">
        <v>72</v>
      </c>
      <c r="AE201" s="33"/>
      <c r="AF201" s="36">
        <v>46079</v>
      </c>
      <c r="AG201" s="36">
        <v>46079</v>
      </c>
      <c r="AH201" s="36">
        <v>46114</v>
      </c>
      <c r="AI201" s="43">
        <v>46115</v>
      </c>
      <c r="AJ201" s="43"/>
      <c r="AK201" s="44">
        <v>46078</v>
      </c>
      <c r="AL201" s="45">
        <v>82296</v>
      </c>
      <c r="AM201" s="59"/>
      <c r="AN201" s="59"/>
      <c r="AO201" s="47">
        <v>0</v>
      </c>
      <c r="AP201" s="47" t="s">
        <v>61</v>
      </c>
      <c r="AQ201" s="33"/>
      <c r="AR201" s="30"/>
      <c r="AS201" s="33"/>
    </row>
    <row r="202" spans="1:45" ht="18.649999999999999" customHeight="1">
      <c r="A202" s="48" t="s">
        <v>633</v>
      </c>
      <c r="B202" s="199" t="s">
        <v>625</v>
      </c>
      <c r="C202" s="30"/>
      <c r="D202" s="48" t="s">
        <v>81</v>
      </c>
      <c r="E202" s="49" t="s">
        <v>82</v>
      </c>
      <c r="F202" s="49" t="s">
        <v>154</v>
      </c>
      <c r="G202" s="107" t="s">
        <v>155</v>
      </c>
      <c r="H202" s="108">
        <v>6048</v>
      </c>
      <c r="I202" s="108" t="s">
        <v>85</v>
      </c>
      <c r="J202" s="33" t="s">
        <v>634</v>
      </c>
      <c r="K202" s="30" t="s">
        <v>53</v>
      </c>
      <c r="L202" s="177">
        <v>46064</v>
      </c>
      <c r="M202" s="34" t="s">
        <v>635</v>
      </c>
      <c r="N202" s="30">
        <v>2245341181</v>
      </c>
      <c r="O202" s="48" t="s">
        <v>55</v>
      </c>
      <c r="P202" s="30"/>
      <c r="Q202" s="48">
        <v>721279825</v>
      </c>
      <c r="R202" s="48" t="s">
        <v>88</v>
      </c>
      <c r="S202" s="30" t="s">
        <v>636</v>
      </c>
      <c r="T202" s="36">
        <v>46082</v>
      </c>
      <c r="U202" s="93">
        <v>46062</v>
      </c>
      <c r="V202" s="88">
        <v>46094</v>
      </c>
      <c r="W202" s="52"/>
      <c r="X202" s="30" t="s">
        <v>58</v>
      </c>
      <c r="Y202" s="30">
        <v>3</v>
      </c>
      <c r="Z202" s="30"/>
      <c r="AA202" s="36">
        <v>46062</v>
      </c>
      <c r="AB202" s="36">
        <v>46098</v>
      </c>
      <c r="AC202" s="30"/>
      <c r="AD202" s="56" t="s">
        <v>72</v>
      </c>
      <c r="AE202" s="65">
        <v>46070</v>
      </c>
      <c r="AF202" s="36">
        <v>46073</v>
      </c>
      <c r="AG202" s="36">
        <v>46064</v>
      </c>
      <c r="AH202" s="25">
        <v>46102</v>
      </c>
      <c r="AI202" s="43">
        <v>46104</v>
      </c>
      <c r="AJ202" s="43"/>
      <c r="AK202" s="57"/>
      <c r="AL202" s="46"/>
      <c r="AM202" s="59"/>
      <c r="AN202" s="59"/>
      <c r="AO202" s="97"/>
      <c r="AP202" s="97"/>
      <c r="AQ202" s="33"/>
      <c r="AR202" s="30"/>
      <c r="AS202" s="33"/>
    </row>
    <row r="203" spans="1:45" ht="36.65" customHeight="1">
      <c r="A203" s="201" t="s">
        <v>633</v>
      </c>
      <c r="B203" s="60" t="s">
        <v>625</v>
      </c>
      <c r="D203" s="48" t="s">
        <v>81</v>
      </c>
      <c r="E203" s="49" t="s">
        <v>600</v>
      </c>
      <c r="F203" s="49">
        <v>1000014362</v>
      </c>
      <c r="G203" s="107" t="s">
        <v>601</v>
      </c>
      <c r="H203" s="108" t="s">
        <v>637</v>
      </c>
      <c r="I203" s="108" t="s">
        <v>52</v>
      </c>
      <c r="J203" s="33" t="s">
        <v>638</v>
      </c>
      <c r="K203" s="21"/>
      <c r="M203" s="202" t="s">
        <v>639</v>
      </c>
      <c r="N203" s="203" t="s">
        <v>640</v>
      </c>
      <c r="O203" s="20" t="s">
        <v>68</v>
      </c>
      <c r="Q203" s="20" t="s">
        <v>641</v>
      </c>
      <c r="R203" s="48" t="s">
        <v>423</v>
      </c>
      <c r="S203" s="5" t="s">
        <v>642</v>
      </c>
      <c r="T203" s="36">
        <v>46082</v>
      </c>
      <c r="U203" s="65">
        <v>46058</v>
      </c>
      <c r="V203" s="65">
        <v>46096</v>
      </c>
      <c r="X203" s="20" t="s">
        <v>58</v>
      </c>
      <c r="Y203" s="5">
        <v>3</v>
      </c>
      <c r="AA203" s="25">
        <v>46058</v>
      </c>
      <c r="AB203" s="25">
        <v>46095</v>
      </c>
      <c r="AD203" s="56" t="s">
        <v>72</v>
      </c>
      <c r="AE203" s="21"/>
      <c r="AF203" s="25">
        <v>46066</v>
      </c>
      <c r="AG203" s="25">
        <v>46065</v>
      </c>
      <c r="AH203" s="25">
        <v>46099</v>
      </c>
      <c r="AI203" s="27">
        <v>46100</v>
      </c>
      <c r="AJ203" s="27"/>
      <c r="AK203" s="44">
        <v>46068</v>
      </c>
      <c r="AL203" s="179">
        <v>266266.44</v>
      </c>
      <c r="AM203" s="58"/>
      <c r="AN203" s="58"/>
      <c r="AR203" s="5">
        <v>3</v>
      </c>
      <c r="AS203" s="28" t="s">
        <v>643</v>
      </c>
    </row>
    <row r="204" spans="1:45" ht="18.649999999999999" customHeight="1">
      <c r="A204" s="201" t="s">
        <v>633</v>
      </c>
      <c r="B204" s="199" t="s">
        <v>625</v>
      </c>
      <c r="C204" s="30"/>
      <c r="D204" s="48" t="s">
        <v>48</v>
      </c>
      <c r="E204" s="31" t="s">
        <v>360</v>
      </c>
      <c r="F204" s="49" t="s">
        <v>361</v>
      </c>
      <c r="G204" s="33" t="s">
        <v>362</v>
      </c>
      <c r="H204" s="48">
        <v>2030</v>
      </c>
      <c r="I204" s="61" t="s">
        <v>110</v>
      </c>
      <c r="J204" s="33" t="s">
        <v>644</v>
      </c>
      <c r="K204" s="30" t="s">
        <v>53</v>
      </c>
      <c r="L204" s="33"/>
      <c r="M204" s="34" t="s">
        <v>645</v>
      </c>
      <c r="N204" s="30" t="s">
        <v>646</v>
      </c>
      <c r="O204" s="30" t="s">
        <v>68</v>
      </c>
      <c r="P204" s="30"/>
      <c r="Q204" s="48">
        <v>7266716270</v>
      </c>
      <c r="R204" s="48" t="s">
        <v>365</v>
      </c>
      <c r="S204" s="30" t="s">
        <v>647</v>
      </c>
      <c r="T204" s="36">
        <v>46082</v>
      </c>
      <c r="U204" s="93">
        <v>46080</v>
      </c>
      <c r="V204" s="88">
        <v>46091</v>
      </c>
      <c r="W204" s="52"/>
      <c r="X204" s="20" t="s">
        <v>58</v>
      </c>
      <c r="Y204" s="20">
        <v>1</v>
      </c>
      <c r="Z204" s="20"/>
      <c r="AA204" s="36">
        <v>46081</v>
      </c>
      <c r="AB204" s="36">
        <v>46092</v>
      </c>
      <c r="AC204" s="30"/>
      <c r="AD204" s="56" t="s">
        <v>59</v>
      </c>
      <c r="AE204" s="33"/>
      <c r="AF204" s="36">
        <v>46086</v>
      </c>
      <c r="AG204" s="36">
        <v>46085</v>
      </c>
      <c r="AH204" s="36">
        <v>46092</v>
      </c>
      <c r="AI204" s="43">
        <v>46093</v>
      </c>
      <c r="AJ204" s="43"/>
      <c r="AK204" s="44">
        <v>46096</v>
      </c>
      <c r="AL204" s="45">
        <v>29638</v>
      </c>
      <c r="AM204" s="59"/>
      <c r="AN204" s="59"/>
      <c r="AO204" s="47">
        <v>0</v>
      </c>
      <c r="AP204" s="47" t="s">
        <v>61</v>
      </c>
      <c r="AQ204" s="33"/>
      <c r="AR204" s="30"/>
      <c r="AS204" s="33"/>
    </row>
    <row r="205" spans="1:45" ht="18.649999999999999" customHeight="1">
      <c r="A205" s="201" t="s">
        <v>633</v>
      </c>
      <c r="B205" s="199" t="s">
        <v>625</v>
      </c>
      <c r="C205" s="30"/>
      <c r="D205" s="48" t="s">
        <v>48</v>
      </c>
      <c r="E205" s="49" t="s">
        <v>171</v>
      </c>
      <c r="F205" s="49">
        <v>1000011836</v>
      </c>
      <c r="G205" s="33" t="s">
        <v>172</v>
      </c>
      <c r="H205" s="30">
        <v>150</v>
      </c>
      <c r="I205" s="61" t="s">
        <v>52</v>
      </c>
      <c r="J205" s="33" t="s">
        <v>648</v>
      </c>
      <c r="K205" s="30"/>
      <c r="L205" s="33"/>
      <c r="M205" s="34" t="s">
        <v>649</v>
      </c>
      <c r="N205" s="30" t="s">
        <v>650</v>
      </c>
      <c r="O205" s="20" t="s">
        <v>176</v>
      </c>
      <c r="P205" s="30"/>
      <c r="Q205" s="204" t="s">
        <v>651</v>
      </c>
      <c r="R205" s="52" t="s">
        <v>178</v>
      </c>
      <c r="S205" s="30" t="s">
        <v>652</v>
      </c>
      <c r="T205" s="36">
        <v>46083</v>
      </c>
      <c r="U205" s="93">
        <v>46068</v>
      </c>
      <c r="V205" s="98">
        <v>46083</v>
      </c>
      <c r="W205" s="52"/>
      <c r="X205" s="30" t="s">
        <v>58</v>
      </c>
      <c r="Y205" s="30">
        <v>0.5</v>
      </c>
      <c r="Z205" s="33"/>
      <c r="AA205" s="128">
        <v>46072</v>
      </c>
      <c r="AB205" s="128">
        <v>46085</v>
      </c>
      <c r="AC205" s="106">
        <f t="shared" ref="AC205:AC216" si="1">AB205-V205</f>
        <v>2</v>
      </c>
      <c r="AD205" s="42" t="s">
        <v>72</v>
      </c>
      <c r="AE205" s="33"/>
      <c r="AF205" s="36">
        <v>46076</v>
      </c>
      <c r="AG205" s="36">
        <v>46073</v>
      </c>
      <c r="AH205" s="36">
        <v>46087</v>
      </c>
      <c r="AI205" s="43">
        <v>46091</v>
      </c>
      <c r="AJ205" s="43"/>
      <c r="AK205" s="44">
        <v>46096</v>
      </c>
      <c r="AL205" s="45">
        <v>121684.86</v>
      </c>
      <c r="AM205" s="59"/>
      <c r="AN205" s="59"/>
      <c r="AO205" s="47">
        <v>0</v>
      </c>
      <c r="AP205" s="97" t="s">
        <v>180</v>
      </c>
      <c r="AQ205" s="33"/>
      <c r="AR205" s="30"/>
      <c r="AS205" s="33"/>
    </row>
    <row r="206" spans="1:45" ht="18.649999999999999" customHeight="1">
      <c r="A206" s="201" t="s">
        <v>633</v>
      </c>
      <c r="B206" s="199" t="s">
        <v>625</v>
      </c>
      <c r="C206" s="30"/>
      <c r="D206" s="48" t="s">
        <v>48</v>
      </c>
      <c r="E206" s="49" t="s">
        <v>171</v>
      </c>
      <c r="F206" s="49">
        <v>1000022205</v>
      </c>
      <c r="G206" s="33" t="s">
        <v>181</v>
      </c>
      <c r="H206" s="30">
        <v>740</v>
      </c>
      <c r="I206" s="61" t="s">
        <v>52</v>
      </c>
      <c r="J206" s="33" t="s">
        <v>653</v>
      </c>
      <c r="K206" s="30"/>
      <c r="L206" s="33"/>
      <c r="M206" s="34" t="s">
        <v>649</v>
      </c>
      <c r="N206" s="30" t="s">
        <v>650</v>
      </c>
      <c r="O206" s="20" t="s">
        <v>176</v>
      </c>
      <c r="P206" s="30"/>
      <c r="Q206" s="204" t="s">
        <v>651</v>
      </c>
      <c r="R206" s="52" t="s">
        <v>178</v>
      </c>
      <c r="S206" s="30" t="s">
        <v>652</v>
      </c>
      <c r="T206" s="36">
        <v>46083</v>
      </c>
      <c r="U206" s="93">
        <v>46068</v>
      </c>
      <c r="V206" s="98">
        <v>46083</v>
      </c>
      <c r="W206" s="52"/>
      <c r="X206" s="30" t="s">
        <v>58</v>
      </c>
      <c r="Y206" s="30">
        <v>0.5</v>
      </c>
      <c r="Z206" s="33"/>
      <c r="AA206" s="128">
        <v>46072</v>
      </c>
      <c r="AB206" s="128">
        <v>46085</v>
      </c>
      <c r="AC206" s="106">
        <f t="shared" si="1"/>
        <v>2</v>
      </c>
      <c r="AD206" s="42" t="s">
        <v>72</v>
      </c>
      <c r="AE206" s="33"/>
      <c r="AF206" s="36">
        <v>46076</v>
      </c>
      <c r="AG206" s="36">
        <v>46073</v>
      </c>
      <c r="AH206" s="36">
        <v>46087</v>
      </c>
      <c r="AI206" s="43">
        <v>46091</v>
      </c>
      <c r="AJ206" s="43"/>
      <c r="AK206" s="44">
        <v>46096</v>
      </c>
      <c r="AL206" s="45">
        <v>87720.84</v>
      </c>
      <c r="AM206" s="59"/>
      <c r="AN206" s="59"/>
      <c r="AO206" s="47">
        <v>0</v>
      </c>
      <c r="AP206" s="97" t="s">
        <v>180</v>
      </c>
      <c r="AQ206" s="33"/>
      <c r="AR206" s="30"/>
      <c r="AS206" s="33"/>
    </row>
    <row r="207" spans="1:45" ht="10.5">
      <c r="A207" s="201" t="s">
        <v>633</v>
      </c>
      <c r="B207" s="199" t="s">
        <v>625</v>
      </c>
      <c r="C207" s="30"/>
      <c r="D207" s="48" t="s">
        <v>48</v>
      </c>
      <c r="E207" s="49" t="s">
        <v>171</v>
      </c>
      <c r="F207" s="49">
        <v>1000036622</v>
      </c>
      <c r="G207" s="33" t="s">
        <v>182</v>
      </c>
      <c r="H207" s="30">
        <v>540</v>
      </c>
      <c r="I207" s="61" t="s">
        <v>52</v>
      </c>
      <c r="J207" s="33" t="s">
        <v>653</v>
      </c>
      <c r="K207" s="30"/>
      <c r="L207" s="33"/>
      <c r="M207" s="34" t="s">
        <v>649</v>
      </c>
      <c r="N207" s="30" t="s">
        <v>650</v>
      </c>
      <c r="O207" s="20" t="s">
        <v>176</v>
      </c>
      <c r="P207" s="30"/>
      <c r="Q207" s="204" t="s">
        <v>651</v>
      </c>
      <c r="R207" s="52" t="s">
        <v>178</v>
      </c>
      <c r="S207" s="30" t="s">
        <v>308</v>
      </c>
      <c r="T207" s="36">
        <v>46083</v>
      </c>
      <c r="U207" s="93">
        <v>46068</v>
      </c>
      <c r="V207" s="98">
        <v>46083</v>
      </c>
      <c r="W207" s="52"/>
      <c r="X207" s="30" t="s">
        <v>58</v>
      </c>
      <c r="Y207" s="30">
        <v>0.5</v>
      </c>
      <c r="Z207" s="33"/>
      <c r="AA207" s="128">
        <v>46072</v>
      </c>
      <c r="AB207" s="128">
        <v>46085</v>
      </c>
      <c r="AC207" s="106">
        <f t="shared" si="1"/>
        <v>2</v>
      </c>
      <c r="AD207" s="42" t="s">
        <v>72</v>
      </c>
      <c r="AE207" s="33"/>
      <c r="AF207" s="36">
        <v>46076</v>
      </c>
      <c r="AG207" s="36">
        <v>46073</v>
      </c>
      <c r="AH207" s="36">
        <v>46087</v>
      </c>
      <c r="AI207" s="43">
        <v>46091</v>
      </c>
      <c r="AJ207" s="43"/>
      <c r="AK207" s="44">
        <v>46096</v>
      </c>
      <c r="AL207" s="45">
        <v>23293.200000000001</v>
      </c>
      <c r="AM207" s="59"/>
      <c r="AN207" s="59"/>
      <c r="AO207" s="47">
        <v>0</v>
      </c>
      <c r="AP207" s="97" t="s">
        <v>180</v>
      </c>
      <c r="AQ207" s="33"/>
      <c r="AR207" s="30">
        <v>1</v>
      </c>
      <c r="AS207" s="33" t="s">
        <v>654</v>
      </c>
    </row>
    <row r="208" spans="1:45" ht="31.5">
      <c r="A208" s="48" t="s">
        <v>633</v>
      </c>
      <c r="B208" s="199" t="s">
        <v>625</v>
      </c>
      <c r="C208" s="30"/>
      <c r="D208" s="48" t="s">
        <v>48</v>
      </c>
      <c r="E208" s="49" t="s">
        <v>171</v>
      </c>
      <c r="F208" s="49">
        <v>1000011836</v>
      </c>
      <c r="G208" s="33" t="s">
        <v>172</v>
      </c>
      <c r="H208" s="205">
        <v>100</v>
      </c>
      <c r="I208" s="61" t="s">
        <v>52</v>
      </c>
      <c r="J208" s="33" t="s">
        <v>655</v>
      </c>
      <c r="K208" s="33"/>
      <c r="L208" s="177">
        <v>46066</v>
      </c>
      <c r="M208" s="34" t="s">
        <v>656</v>
      </c>
      <c r="N208" s="30" t="s">
        <v>657</v>
      </c>
      <c r="O208" s="20" t="s">
        <v>176</v>
      </c>
      <c r="P208" s="30"/>
      <c r="Q208" s="206" t="s">
        <v>658</v>
      </c>
      <c r="R208" s="48" t="s">
        <v>178</v>
      </c>
      <c r="S208" s="30" t="s">
        <v>463</v>
      </c>
      <c r="T208" s="36">
        <v>46097</v>
      </c>
      <c r="U208" s="93">
        <v>46082</v>
      </c>
      <c r="V208" s="98">
        <v>46097</v>
      </c>
      <c r="W208" s="52"/>
      <c r="X208" s="30" t="s">
        <v>309</v>
      </c>
      <c r="Y208" s="30">
        <v>0.5</v>
      </c>
      <c r="Z208" s="33"/>
      <c r="AA208" s="94">
        <v>46085</v>
      </c>
      <c r="AB208" s="94">
        <v>46097</v>
      </c>
      <c r="AC208" s="106">
        <f t="shared" si="1"/>
        <v>0</v>
      </c>
      <c r="AD208" s="42" t="s">
        <v>72</v>
      </c>
      <c r="AE208" s="207" t="s">
        <v>659</v>
      </c>
      <c r="AF208" s="36">
        <v>46090</v>
      </c>
      <c r="AG208" s="36">
        <v>46086</v>
      </c>
      <c r="AH208" s="36">
        <v>46099</v>
      </c>
      <c r="AI208" s="43">
        <v>46104</v>
      </c>
      <c r="AJ208" s="43"/>
      <c r="AK208" s="44">
        <v>46096</v>
      </c>
      <c r="AL208" s="45">
        <v>24665.85</v>
      </c>
      <c r="AM208" s="59"/>
      <c r="AN208" s="59"/>
      <c r="AO208" s="47">
        <v>0</v>
      </c>
      <c r="AP208" s="97" t="s">
        <v>180</v>
      </c>
      <c r="AQ208" s="33"/>
      <c r="AR208" s="30"/>
      <c r="AS208" s="33"/>
    </row>
    <row r="209" spans="1:45" ht="31.5">
      <c r="A209" s="48" t="s">
        <v>633</v>
      </c>
      <c r="B209" s="199" t="s">
        <v>625</v>
      </c>
      <c r="C209" s="30"/>
      <c r="D209" s="48" t="s">
        <v>48</v>
      </c>
      <c r="E209" s="49" t="s">
        <v>171</v>
      </c>
      <c r="F209" s="49">
        <v>1000022205</v>
      </c>
      <c r="G209" s="33" t="s">
        <v>181</v>
      </c>
      <c r="H209" s="205">
        <v>150</v>
      </c>
      <c r="I209" s="61" t="s">
        <v>52</v>
      </c>
      <c r="J209" s="33" t="s">
        <v>660</v>
      </c>
      <c r="K209" s="33"/>
      <c r="L209" s="177">
        <v>46066</v>
      </c>
      <c r="M209" s="34" t="s">
        <v>656</v>
      </c>
      <c r="N209" s="30" t="s">
        <v>657</v>
      </c>
      <c r="O209" s="20" t="s">
        <v>176</v>
      </c>
      <c r="P209" s="30"/>
      <c r="Q209" s="206" t="s">
        <v>658</v>
      </c>
      <c r="R209" s="48" t="s">
        <v>178</v>
      </c>
      <c r="S209" s="30" t="s">
        <v>463</v>
      </c>
      <c r="T209" s="36">
        <v>46097</v>
      </c>
      <c r="U209" s="93">
        <v>46082</v>
      </c>
      <c r="V209" s="98">
        <v>46097</v>
      </c>
      <c r="W209" s="52"/>
      <c r="X209" s="30" t="s">
        <v>309</v>
      </c>
      <c r="Y209" s="30">
        <v>0.5</v>
      </c>
      <c r="Z209" s="33"/>
      <c r="AA209" s="94">
        <v>46085</v>
      </c>
      <c r="AB209" s="94">
        <v>46097</v>
      </c>
      <c r="AC209" s="106">
        <f t="shared" si="1"/>
        <v>0</v>
      </c>
      <c r="AD209" s="42" t="s">
        <v>72</v>
      </c>
      <c r="AE209" s="207" t="s">
        <v>659</v>
      </c>
      <c r="AF209" s="36">
        <v>46090</v>
      </c>
      <c r="AG209" s="36">
        <v>46086</v>
      </c>
      <c r="AH209" s="36">
        <v>46099</v>
      </c>
      <c r="AI209" s="43">
        <v>46104</v>
      </c>
      <c r="AJ209" s="43"/>
      <c r="AK209" s="44">
        <v>46096</v>
      </c>
      <c r="AL209" s="45">
        <v>64978.400000000001</v>
      </c>
      <c r="AM209" s="59"/>
      <c r="AN209" s="59"/>
      <c r="AO209" s="47">
        <v>0</v>
      </c>
      <c r="AP209" s="97" t="s">
        <v>180</v>
      </c>
      <c r="AQ209" s="33"/>
      <c r="AR209" s="30" t="s">
        <v>53</v>
      </c>
      <c r="AS209" s="33" t="s">
        <v>53</v>
      </c>
    </row>
    <row r="210" spans="1:45" ht="18.649999999999999" customHeight="1">
      <c r="A210" s="48" t="s">
        <v>633</v>
      </c>
      <c r="B210" s="199" t="s">
        <v>625</v>
      </c>
      <c r="C210" s="30"/>
      <c r="D210" s="48" t="s">
        <v>48</v>
      </c>
      <c r="E210" s="49" t="s">
        <v>171</v>
      </c>
      <c r="F210" s="49">
        <v>1000036622</v>
      </c>
      <c r="G210" s="33" t="s">
        <v>182</v>
      </c>
      <c r="H210" s="205">
        <v>400</v>
      </c>
      <c r="I210" s="61" t="s">
        <v>52</v>
      </c>
      <c r="J210" s="33" t="s">
        <v>660</v>
      </c>
      <c r="K210" s="33"/>
      <c r="L210" s="177">
        <v>46066</v>
      </c>
      <c r="M210" s="34" t="s">
        <v>656</v>
      </c>
      <c r="N210" s="30" t="s">
        <v>657</v>
      </c>
      <c r="O210" s="20" t="s">
        <v>176</v>
      </c>
      <c r="P210" s="30"/>
      <c r="Q210" s="206" t="s">
        <v>658</v>
      </c>
      <c r="R210" s="48" t="s">
        <v>178</v>
      </c>
      <c r="S210" s="30" t="s">
        <v>463</v>
      </c>
      <c r="T210" s="36">
        <v>46097</v>
      </c>
      <c r="U210" s="93">
        <v>46082</v>
      </c>
      <c r="V210" s="98">
        <v>46097</v>
      </c>
      <c r="W210" s="52"/>
      <c r="X210" s="30" t="s">
        <v>309</v>
      </c>
      <c r="Y210" s="30">
        <v>0.5</v>
      </c>
      <c r="Z210" s="33"/>
      <c r="AA210" s="94">
        <v>46085</v>
      </c>
      <c r="AB210" s="94">
        <v>46097</v>
      </c>
      <c r="AC210" s="106">
        <f t="shared" si="1"/>
        <v>0</v>
      </c>
      <c r="AD210" s="42" t="s">
        <v>72</v>
      </c>
      <c r="AE210" s="207" t="s">
        <v>659</v>
      </c>
      <c r="AF210" s="36">
        <v>46090</v>
      </c>
      <c r="AG210" s="36">
        <v>46086</v>
      </c>
      <c r="AH210" s="36">
        <v>46099</v>
      </c>
      <c r="AI210" s="43">
        <v>46104</v>
      </c>
      <c r="AJ210" s="43"/>
      <c r="AK210" s="44">
        <v>46096</v>
      </c>
      <c r="AL210" s="45">
        <v>15528.8</v>
      </c>
      <c r="AM210" s="59"/>
      <c r="AN210" s="59"/>
      <c r="AO210" s="47">
        <v>0</v>
      </c>
      <c r="AP210" s="97" t="s">
        <v>180</v>
      </c>
      <c r="AQ210" s="33"/>
      <c r="AR210" s="30"/>
      <c r="AS210" s="33"/>
    </row>
    <row r="211" spans="1:45" ht="18.649999999999999" customHeight="1">
      <c r="A211" s="48" t="s">
        <v>633</v>
      </c>
      <c r="B211" s="199" t="s">
        <v>625</v>
      </c>
      <c r="C211" s="30"/>
      <c r="D211" s="48" t="s">
        <v>48</v>
      </c>
      <c r="E211" s="49" t="s">
        <v>171</v>
      </c>
      <c r="F211" s="208" t="s">
        <v>661</v>
      </c>
      <c r="G211" s="107" t="s">
        <v>172</v>
      </c>
      <c r="H211" s="108">
        <v>200</v>
      </c>
      <c r="I211" s="108" t="s">
        <v>52</v>
      </c>
      <c r="J211" s="33" t="s">
        <v>662</v>
      </c>
      <c r="K211" s="33"/>
      <c r="L211" s="209">
        <v>46069</v>
      </c>
      <c r="M211" s="34" t="s">
        <v>663</v>
      </c>
      <c r="N211" s="30" t="s">
        <v>664</v>
      </c>
      <c r="O211" s="30" t="s">
        <v>176</v>
      </c>
      <c r="P211" s="30"/>
      <c r="Q211" s="206" t="s">
        <v>665</v>
      </c>
      <c r="R211" s="48" t="s">
        <v>178</v>
      </c>
      <c r="S211" s="30" t="s">
        <v>666</v>
      </c>
      <c r="T211" s="36">
        <v>46097</v>
      </c>
      <c r="U211" s="93">
        <v>46082</v>
      </c>
      <c r="V211" s="98">
        <v>46097</v>
      </c>
      <c r="W211" s="52"/>
      <c r="X211" s="30" t="s">
        <v>58</v>
      </c>
      <c r="Y211" s="30">
        <v>0.5</v>
      </c>
      <c r="Z211" s="33"/>
      <c r="AA211" s="94">
        <v>46085</v>
      </c>
      <c r="AB211" s="94">
        <v>46097</v>
      </c>
      <c r="AC211" s="106">
        <f t="shared" si="1"/>
        <v>0</v>
      </c>
      <c r="AD211" s="42" t="s">
        <v>72</v>
      </c>
      <c r="AE211" s="33"/>
      <c r="AF211" s="36">
        <v>46090</v>
      </c>
      <c r="AG211" s="36">
        <v>46086</v>
      </c>
      <c r="AH211" s="36">
        <v>46100</v>
      </c>
      <c r="AI211" s="43">
        <v>46104</v>
      </c>
      <c r="AJ211" s="43"/>
      <c r="AK211" s="44">
        <v>46096</v>
      </c>
      <c r="AL211" s="45">
        <v>82219.5</v>
      </c>
      <c r="AM211" s="59"/>
      <c r="AN211" s="59"/>
      <c r="AO211" s="97"/>
      <c r="AP211" s="97"/>
      <c r="AQ211" s="33"/>
      <c r="AR211" s="30"/>
      <c r="AS211" s="33"/>
    </row>
    <row r="212" spans="1:45" ht="18.649999999999999" customHeight="1">
      <c r="A212" s="48" t="s">
        <v>633</v>
      </c>
      <c r="B212" s="199" t="s">
        <v>625</v>
      </c>
      <c r="C212" s="30"/>
      <c r="D212" s="48" t="s">
        <v>48</v>
      </c>
      <c r="E212" s="49" t="s">
        <v>171</v>
      </c>
      <c r="F212" s="208" t="s">
        <v>667</v>
      </c>
      <c r="G212" s="107" t="s">
        <v>181</v>
      </c>
      <c r="H212" s="108">
        <v>500</v>
      </c>
      <c r="I212" s="108" t="s">
        <v>52</v>
      </c>
      <c r="J212" s="33" t="s">
        <v>662</v>
      </c>
      <c r="K212" s="33"/>
      <c r="L212" s="209">
        <v>46069</v>
      </c>
      <c r="M212" s="34" t="s">
        <v>663</v>
      </c>
      <c r="N212" s="30" t="s">
        <v>664</v>
      </c>
      <c r="O212" s="30" t="s">
        <v>176</v>
      </c>
      <c r="P212" s="30"/>
      <c r="Q212" s="206" t="s">
        <v>665</v>
      </c>
      <c r="R212" s="48" t="s">
        <v>178</v>
      </c>
      <c r="S212" s="30" t="s">
        <v>666</v>
      </c>
      <c r="T212" s="36">
        <v>46097</v>
      </c>
      <c r="U212" s="93">
        <v>46082</v>
      </c>
      <c r="V212" s="98">
        <v>46097</v>
      </c>
      <c r="W212" s="52"/>
      <c r="X212" s="30" t="s">
        <v>58</v>
      </c>
      <c r="Y212" s="30">
        <v>0.5</v>
      </c>
      <c r="Z212" s="33"/>
      <c r="AA212" s="94">
        <v>46085</v>
      </c>
      <c r="AB212" s="94">
        <v>46097</v>
      </c>
      <c r="AC212" s="106">
        <f t="shared" si="1"/>
        <v>0</v>
      </c>
      <c r="AD212" s="42" t="s">
        <v>72</v>
      </c>
      <c r="AE212" s="33"/>
      <c r="AF212" s="36">
        <v>46090</v>
      </c>
      <c r="AG212" s="36">
        <v>46086</v>
      </c>
      <c r="AH212" s="36">
        <v>46100</v>
      </c>
      <c r="AI212" s="43">
        <v>46104</v>
      </c>
      <c r="AJ212" s="43"/>
      <c r="AK212" s="44">
        <v>46096</v>
      </c>
      <c r="AL212" s="45">
        <v>118585.58</v>
      </c>
      <c r="AM212" s="59"/>
      <c r="AN212" s="59"/>
      <c r="AO212" s="97"/>
      <c r="AP212" s="97"/>
      <c r="AQ212" s="33"/>
      <c r="AR212" s="30" t="s">
        <v>53</v>
      </c>
      <c r="AS212" s="33" t="s">
        <v>53</v>
      </c>
    </row>
    <row r="213" spans="1:45" ht="18.649999999999999" customHeight="1">
      <c r="A213" s="48" t="s">
        <v>633</v>
      </c>
      <c r="B213" s="199" t="s">
        <v>625</v>
      </c>
      <c r="C213" s="30"/>
      <c r="D213" s="48" t="s">
        <v>48</v>
      </c>
      <c r="E213" s="49" t="s">
        <v>171</v>
      </c>
      <c r="F213" s="208" t="s">
        <v>668</v>
      </c>
      <c r="G213" s="107" t="s">
        <v>182</v>
      </c>
      <c r="H213" s="108">
        <v>730</v>
      </c>
      <c r="I213" s="108" t="s">
        <v>52</v>
      </c>
      <c r="J213" s="33" t="s">
        <v>662</v>
      </c>
      <c r="K213" s="33"/>
      <c r="L213" s="209">
        <v>46069</v>
      </c>
      <c r="M213" s="34" t="s">
        <v>663</v>
      </c>
      <c r="N213" s="30" t="s">
        <v>664</v>
      </c>
      <c r="O213" s="30" t="s">
        <v>176</v>
      </c>
      <c r="P213" s="30"/>
      <c r="Q213" s="206" t="s">
        <v>665</v>
      </c>
      <c r="R213" s="48" t="s">
        <v>178</v>
      </c>
      <c r="S213" s="30" t="s">
        <v>666</v>
      </c>
      <c r="T213" s="36">
        <v>46097</v>
      </c>
      <c r="U213" s="93">
        <v>46082</v>
      </c>
      <c r="V213" s="98">
        <v>46097</v>
      </c>
      <c r="W213" s="52"/>
      <c r="X213" s="30" t="s">
        <v>58</v>
      </c>
      <c r="Y213" s="30">
        <v>0.5</v>
      </c>
      <c r="Z213" s="33"/>
      <c r="AA213" s="94">
        <v>46085</v>
      </c>
      <c r="AB213" s="94">
        <v>46097</v>
      </c>
      <c r="AC213" s="106">
        <f t="shared" si="1"/>
        <v>0</v>
      </c>
      <c r="AD213" s="42" t="s">
        <v>72</v>
      </c>
      <c r="AE213" s="33"/>
      <c r="AF213" s="36">
        <v>46090</v>
      </c>
      <c r="AG213" s="36">
        <v>46086</v>
      </c>
      <c r="AH213" s="36">
        <v>46100</v>
      </c>
      <c r="AI213" s="43">
        <v>46104</v>
      </c>
      <c r="AJ213" s="43"/>
      <c r="AK213" s="44">
        <v>46096</v>
      </c>
      <c r="AL213" s="45">
        <v>31057.599999999999</v>
      </c>
      <c r="AM213" s="59"/>
      <c r="AN213" s="59"/>
      <c r="AO213" s="97"/>
      <c r="AP213" s="97"/>
      <c r="AQ213" s="33"/>
      <c r="AR213" s="30"/>
      <c r="AS213" s="33"/>
    </row>
    <row r="214" spans="1:45" ht="18.649999999999999" customHeight="1">
      <c r="A214" s="48" t="s">
        <v>624</v>
      </c>
      <c r="B214" s="199" t="s">
        <v>625</v>
      </c>
      <c r="C214" s="30"/>
      <c r="D214" s="48" t="s">
        <v>48</v>
      </c>
      <c r="E214" s="49" t="s">
        <v>171</v>
      </c>
      <c r="F214" s="49">
        <v>1000011836</v>
      </c>
      <c r="G214" s="107" t="s">
        <v>172</v>
      </c>
      <c r="H214" s="210">
        <v>150</v>
      </c>
      <c r="I214" s="108" t="s">
        <v>52</v>
      </c>
      <c r="J214" s="102" t="s">
        <v>669</v>
      </c>
      <c r="K214" s="33"/>
      <c r="L214" s="209">
        <v>46069</v>
      </c>
      <c r="M214" s="34" t="s">
        <v>670</v>
      </c>
      <c r="N214" s="30" t="s">
        <v>671</v>
      </c>
      <c r="O214" s="30" t="s">
        <v>176</v>
      </c>
      <c r="P214" s="30"/>
      <c r="Q214" s="48" t="s">
        <v>672</v>
      </c>
      <c r="R214" s="48" t="s">
        <v>178</v>
      </c>
      <c r="S214" s="30" t="s">
        <v>673</v>
      </c>
      <c r="T214" s="36">
        <v>46110</v>
      </c>
      <c r="U214" s="93">
        <v>46096</v>
      </c>
      <c r="V214" s="98">
        <v>46111</v>
      </c>
      <c r="W214" s="52"/>
      <c r="X214" s="30" t="s">
        <v>58</v>
      </c>
      <c r="Y214" s="30">
        <v>0.5</v>
      </c>
      <c r="Z214" s="33"/>
      <c r="AA214" s="128">
        <v>46093</v>
      </c>
      <c r="AB214" s="128">
        <v>46106</v>
      </c>
      <c r="AC214" s="171">
        <f t="shared" si="1"/>
        <v>-5</v>
      </c>
      <c r="AD214" s="42" t="s">
        <v>72</v>
      </c>
      <c r="AE214" s="207" t="s">
        <v>674</v>
      </c>
      <c r="AF214" s="36">
        <v>46097</v>
      </c>
      <c r="AG214" s="36">
        <v>46092</v>
      </c>
      <c r="AH214" s="36">
        <v>46111</v>
      </c>
      <c r="AI214" s="43">
        <v>46114</v>
      </c>
      <c r="AJ214" s="43"/>
      <c r="AK214" s="44">
        <v>46106</v>
      </c>
      <c r="AL214" s="170">
        <v>23293.200000000001</v>
      </c>
      <c r="AM214" s="59"/>
      <c r="AN214" s="59"/>
      <c r="AO214" s="97"/>
      <c r="AP214" s="97"/>
      <c r="AQ214" s="33"/>
      <c r="AR214" s="30"/>
      <c r="AS214" s="33"/>
    </row>
    <row r="215" spans="1:45" ht="18.649999999999999" customHeight="1">
      <c r="A215" s="48" t="s">
        <v>624</v>
      </c>
      <c r="B215" s="199" t="s">
        <v>625</v>
      </c>
      <c r="C215" s="30"/>
      <c r="D215" s="48" t="s">
        <v>48</v>
      </c>
      <c r="E215" s="49" t="s">
        <v>171</v>
      </c>
      <c r="F215" s="49">
        <v>1000022205</v>
      </c>
      <c r="G215" s="107" t="s">
        <v>181</v>
      </c>
      <c r="H215" s="210">
        <v>450</v>
      </c>
      <c r="I215" s="108" t="s">
        <v>52</v>
      </c>
      <c r="J215" s="102" t="s">
        <v>669</v>
      </c>
      <c r="K215" s="33"/>
      <c r="L215" s="209">
        <v>46069</v>
      </c>
      <c r="M215" s="34" t="s">
        <v>670</v>
      </c>
      <c r="N215" s="30" t="s">
        <v>671</v>
      </c>
      <c r="O215" s="30" t="s">
        <v>176</v>
      </c>
      <c r="P215" s="30"/>
      <c r="Q215" s="48" t="s">
        <v>672</v>
      </c>
      <c r="R215" s="48" t="s">
        <v>178</v>
      </c>
      <c r="S215" s="30" t="s">
        <v>673</v>
      </c>
      <c r="T215" s="36">
        <v>46110</v>
      </c>
      <c r="U215" s="93">
        <v>46096</v>
      </c>
      <c r="V215" s="98">
        <v>46111</v>
      </c>
      <c r="W215" s="52"/>
      <c r="X215" s="30" t="s">
        <v>58</v>
      </c>
      <c r="Y215" s="30">
        <v>0.5</v>
      </c>
      <c r="Z215" s="33"/>
      <c r="AA215" s="128">
        <v>46093</v>
      </c>
      <c r="AB215" s="128">
        <v>46106</v>
      </c>
      <c r="AC215" s="171">
        <f t="shared" si="1"/>
        <v>-5</v>
      </c>
      <c r="AD215" s="42" t="s">
        <v>72</v>
      </c>
      <c r="AE215" s="207" t="s">
        <v>674</v>
      </c>
      <c r="AF215" s="36">
        <v>46097</v>
      </c>
      <c r="AG215" s="36">
        <v>46092</v>
      </c>
      <c r="AH215" s="36">
        <v>46111</v>
      </c>
      <c r="AI215" s="43">
        <v>46114</v>
      </c>
      <c r="AJ215" s="43"/>
      <c r="AK215" s="44">
        <v>46106</v>
      </c>
      <c r="AL215" s="170">
        <v>73997.55</v>
      </c>
      <c r="AM215" s="59"/>
      <c r="AN215" s="59"/>
      <c r="AO215" s="97"/>
      <c r="AP215" s="97"/>
      <c r="AQ215" s="33"/>
      <c r="AR215" s="30"/>
      <c r="AS215" s="33"/>
    </row>
    <row r="216" spans="1:45" ht="18.649999999999999" customHeight="1">
      <c r="A216" s="48" t="s">
        <v>624</v>
      </c>
      <c r="B216" s="199" t="s">
        <v>625</v>
      </c>
      <c r="C216" s="30"/>
      <c r="D216" s="48" t="s">
        <v>48</v>
      </c>
      <c r="E216" s="49" t="s">
        <v>171</v>
      </c>
      <c r="F216" s="49">
        <v>1000036622</v>
      </c>
      <c r="G216" s="107" t="s">
        <v>182</v>
      </c>
      <c r="H216" s="210">
        <v>830</v>
      </c>
      <c r="I216" s="108" t="s">
        <v>52</v>
      </c>
      <c r="J216" s="102" t="s">
        <v>669</v>
      </c>
      <c r="K216" s="33"/>
      <c r="L216" s="209">
        <v>46069</v>
      </c>
      <c r="M216" s="34" t="s">
        <v>670</v>
      </c>
      <c r="N216" s="30" t="s">
        <v>671</v>
      </c>
      <c r="O216" s="30" t="s">
        <v>176</v>
      </c>
      <c r="P216" s="30"/>
      <c r="Q216" s="48" t="s">
        <v>672</v>
      </c>
      <c r="R216" s="48" t="s">
        <v>178</v>
      </c>
      <c r="S216" s="30" t="s">
        <v>673</v>
      </c>
      <c r="T216" s="36">
        <v>46110</v>
      </c>
      <c r="U216" s="93">
        <v>46096</v>
      </c>
      <c r="V216" s="98">
        <v>46111</v>
      </c>
      <c r="W216" s="52"/>
      <c r="X216" s="30" t="s">
        <v>58</v>
      </c>
      <c r="Y216" s="30">
        <v>0.5</v>
      </c>
      <c r="Z216" s="33"/>
      <c r="AA216" s="128">
        <v>46093</v>
      </c>
      <c r="AB216" s="128">
        <v>46106</v>
      </c>
      <c r="AC216" s="171">
        <f t="shared" si="1"/>
        <v>-5</v>
      </c>
      <c r="AD216" s="42" t="s">
        <v>72</v>
      </c>
      <c r="AE216" s="207" t="s">
        <v>674</v>
      </c>
      <c r="AF216" s="36">
        <v>46097</v>
      </c>
      <c r="AG216" s="36">
        <v>46092</v>
      </c>
      <c r="AH216" s="36">
        <v>46111</v>
      </c>
      <c r="AI216" s="43">
        <v>46114</v>
      </c>
      <c r="AJ216" s="43"/>
      <c r="AK216" s="44">
        <v>46106</v>
      </c>
      <c r="AL216" s="170">
        <v>134830.18</v>
      </c>
      <c r="AM216" s="59"/>
      <c r="AN216" s="59"/>
      <c r="AO216" s="97"/>
      <c r="AP216" s="97"/>
      <c r="AQ216" s="33"/>
      <c r="AR216" s="30"/>
      <c r="AS216" s="33"/>
    </row>
    <row r="217" spans="1:45" ht="18.649999999999999" customHeight="1">
      <c r="A217" s="201" t="s">
        <v>633</v>
      </c>
      <c r="B217" s="199" t="s">
        <v>625</v>
      </c>
      <c r="C217" s="30"/>
      <c r="D217" s="48" t="s">
        <v>48</v>
      </c>
      <c r="E217" s="49" t="s">
        <v>82</v>
      </c>
      <c r="F217" s="49">
        <v>1000015487</v>
      </c>
      <c r="G217" s="107" t="s">
        <v>109</v>
      </c>
      <c r="H217" s="108">
        <v>1215</v>
      </c>
      <c r="I217" s="108" t="s">
        <v>110</v>
      </c>
      <c r="J217" s="33" t="s">
        <v>393</v>
      </c>
      <c r="K217" s="30"/>
      <c r="L217" s="33"/>
      <c r="M217" s="34" t="s">
        <v>675</v>
      </c>
      <c r="N217" s="30">
        <v>2245308880</v>
      </c>
      <c r="O217" s="20" t="s">
        <v>68</v>
      </c>
      <c r="P217" s="30"/>
      <c r="Q217" s="48">
        <v>721266395</v>
      </c>
      <c r="R217" s="36" t="s">
        <v>88</v>
      </c>
      <c r="S217" s="30" t="s">
        <v>676</v>
      </c>
      <c r="T217" s="36">
        <v>46090</v>
      </c>
      <c r="U217" s="93">
        <v>46055</v>
      </c>
      <c r="V217" s="88">
        <v>46085</v>
      </c>
      <c r="W217" s="52"/>
      <c r="X217" s="78" t="s">
        <v>58</v>
      </c>
      <c r="Y217" s="30">
        <v>0.5</v>
      </c>
      <c r="Z217" s="78"/>
      <c r="AA217" s="36">
        <v>46055</v>
      </c>
      <c r="AB217" s="36">
        <v>46086</v>
      </c>
      <c r="AC217" s="30"/>
      <c r="AD217" s="56" t="s">
        <v>72</v>
      </c>
      <c r="AE217" s="33"/>
      <c r="AF217" s="36">
        <v>46059</v>
      </c>
      <c r="AG217" s="36">
        <v>46055</v>
      </c>
      <c r="AH217" s="36">
        <v>46091</v>
      </c>
      <c r="AI217" s="43">
        <v>46092</v>
      </c>
      <c r="AJ217" s="43"/>
      <c r="AK217" s="44">
        <v>46068</v>
      </c>
      <c r="AL217" s="91">
        <v>94652.27</v>
      </c>
      <c r="AM217" s="59"/>
      <c r="AN217" s="59"/>
      <c r="AO217" s="97"/>
      <c r="AP217" s="97"/>
      <c r="AQ217" s="33"/>
      <c r="AR217" s="30"/>
      <c r="AS217" s="33"/>
    </row>
    <row r="218" spans="1:45" ht="18.649999999999999" customHeight="1">
      <c r="A218" s="201" t="s">
        <v>633</v>
      </c>
      <c r="B218" s="199" t="s">
        <v>625</v>
      </c>
      <c r="C218" s="30"/>
      <c r="D218" s="48" t="s">
        <v>48</v>
      </c>
      <c r="E218" s="49" t="s">
        <v>82</v>
      </c>
      <c r="F218" s="49" t="s">
        <v>396</v>
      </c>
      <c r="G218" s="107" t="s">
        <v>114</v>
      </c>
      <c r="H218" s="108">
        <v>180</v>
      </c>
      <c r="I218" s="108" t="s">
        <v>110</v>
      </c>
      <c r="J218" s="33" t="s">
        <v>393</v>
      </c>
      <c r="K218" s="30"/>
      <c r="L218" s="33"/>
      <c r="M218" s="34" t="s">
        <v>677</v>
      </c>
      <c r="N218" s="30">
        <v>2245308880</v>
      </c>
      <c r="O218" s="20" t="s">
        <v>68</v>
      </c>
      <c r="P218" s="30"/>
      <c r="Q218" s="48">
        <v>721266395</v>
      </c>
      <c r="R218" s="36" t="s">
        <v>88</v>
      </c>
      <c r="S218" s="30" t="s">
        <v>676</v>
      </c>
      <c r="T218" s="36">
        <v>46090</v>
      </c>
      <c r="U218" s="93">
        <v>46055</v>
      </c>
      <c r="V218" s="88">
        <v>46085</v>
      </c>
      <c r="W218" s="52"/>
      <c r="X218" s="78" t="s">
        <v>58</v>
      </c>
      <c r="Y218" s="30">
        <v>0.5</v>
      </c>
      <c r="Z218" s="78"/>
      <c r="AA218" s="36">
        <v>46055</v>
      </c>
      <c r="AB218" s="36">
        <v>46086</v>
      </c>
      <c r="AC218" s="30"/>
      <c r="AD218" s="56" t="s">
        <v>72</v>
      </c>
      <c r="AE218" s="33"/>
      <c r="AF218" s="36">
        <v>46059</v>
      </c>
      <c r="AG218" s="36">
        <v>46055</v>
      </c>
      <c r="AH218" s="36">
        <v>46091</v>
      </c>
      <c r="AI218" s="43">
        <v>46092</v>
      </c>
      <c r="AJ218" s="43"/>
      <c r="AK218" s="44">
        <v>46068</v>
      </c>
      <c r="AL218" s="91">
        <v>17338.060000000001</v>
      </c>
      <c r="AM218" s="59"/>
      <c r="AN218" s="59"/>
      <c r="AO218" s="97"/>
      <c r="AP218" s="97"/>
      <c r="AQ218" s="33"/>
      <c r="AR218" s="30"/>
      <c r="AS218" s="33"/>
    </row>
    <row r="219" spans="1:45" ht="18.649999999999999" customHeight="1">
      <c r="A219" s="201" t="s">
        <v>633</v>
      </c>
      <c r="B219" s="199" t="s">
        <v>625</v>
      </c>
      <c r="C219" s="30"/>
      <c r="D219" s="48" t="s">
        <v>48</v>
      </c>
      <c r="E219" s="49" t="s">
        <v>678</v>
      </c>
      <c r="F219" s="49">
        <v>2000009979</v>
      </c>
      <c r="G219" s="107" t="s">
        <v>679</v>
      </c>
      <c r="H219" s="108">
        <v>15</v>
      </c>
      <c r="I219" s="108" t="s">
        <v>239</v>
      </c>
      <c r="J219" s="33"/>
      <c r="K219" s="30" t="s">
        <v>53</v>
      </c>
      <c r="L219" s="33"/>
      <c r="M219" s="117" t="s">
        <v>680</v>
      </c>
      <c r="N219" s="30" t="s">
        <v>681</v>
      </c>
      <c r="O219" s="30" t="s">
        <v>55</v>
      </c>
      <c r="P219" s="30"/>
      <c r="Q219" s="48" t="s">
        <v>682</v>
      </c>
      <c r="R219" s="30" t="s">
        <v>683</v>
      </c>
      <c r="S219" s="30" t="s">
        <v>684</v>
      </c>
      <c r="T219" s="36">
        <v>46082</v>
      </c>
      <c r="U219" s="93">
        <v>46073</v>
      </c>
      <c r="V219" s="88">
        <v>46081</v>
      </c>
      <c r="W219" s="52"/>
      <c r="X219" s="30" t="s">
        <v>209</v>
      </c>
      <c r="Y219" s="30">
        <v>0.5</v>
      </c>
      <c r="Z219" s="30"/>
      <c r="AA219" s="36">
        <v>46073</v>
      </c>
      <c r="AB219" s="36">
        <v>46081</v>
      </c>
      <c r="AC219" s="30"/>
      <c r="AD219" s="30" t="s">
        <v>59</v>
      </c>
      <c r="AE219" s="33" t="s">
        <v>60</v>
      </c>
      <c r="AF219" s="43">
        <v>46085</v>
      </c>
      <c r="AG219" s="43">
        <v>46083</v>
      </c>
      <c r="AH219" s="36">
        <v>46090</v>
      </c>
      <c r="AI219" s="43">
        <v>46091</v>
      </c>
      <c r="AJ219" s="43"/>
      <c r="AK219" s="96">
        <v>46096</v>
      </c>
      <c r="AL219" s="135">
        <v>93.75</v>
      </c>
      <c r="AM219" s="59"/>
      <c r="AN219" s="59"/>
      <c r="AO219" s="97"/>
      <c r="AP219" s="97"/>
      <c r="AQ219" s="33"/>
      <c r="AR219" s="30"/>
      <c r="AS219" s="33"/>
    </row>
    <row r="220" spans="1:45" ht="18.649999999999999" customHeight="1">
      <c r="A220" s="201" t="s">
        <v>633</v>
      </c>
      <c r="B220" s="199" t="s">
        <v>625</v>
      </c>
      <c r="C220" s="30"/>
      <c r="D220" s="48" t="s">
        <v>48</v>
      </c>
      <c r="E220" s="49" t="s">
        <v>678</v>
      </c>
      <c r="F220" s="49">
        <v>2000010477</v>
      </c>
      <c r="G220" s="107" t="s">
        <v>685</v>
      </c>
      <c r="H220" s="108">
        <v>5</v>
      </c>
      <c r="I220" s="108" t="s">
        <v>239</v>
      </c>
      <c r="J220" s="33"/>
      <c r="K220" s="30"/>
      <c r="L220" s="33"/>
      <c r="M220" s="34" t="s">
        <v>686</v>
      </c>
      <c r="N220" s="30" t="s">
        <v>681</v>
      </c>
      <c r="O220" s="30" t="s">
        <v>55</v>
      </c>
      <c r="P220" s="30"/>
      <c r="Q220" s="48" t="s">
        <v>682</v>
      </c>
      <c r="R220" s="30" t="s">
        <v>683</v>
      </c>
      <c r="S220" s="30" t="s">
        <v>684</v>
      </c>
      <c r="T220" s="36">
        <v>46082</v>
      </c>
      <c r="U220" s="93">
        <v>46073</v>
      </c>
      <c r="V220" s="88">
        <v>46081</v>
      </c>
      <c r="W220" s="52"/>
      <c r="X220" s="30" t="s">
        <v>209</v>
      </c>
      <c r="Y220" s="30">
        <v>0.5</v>
      </c>
      <c r="Z220" s="30"/>
      <c r="AA220" s="36">
        <v>46073</v>
      </c>
      <c r="AB220" s="36">
        <v>46081</v>
      </c>
      <c r="AC220" s="30"/>
      <c r="AD220" s="30" t="s">
        <v>59</v>
      </c>
      <c r="AE220" s="33" t="s">
        <v>60</v>
      </c>
      <c r="AF220" s="43">
        <v>46085</v>
      </c>
      <c r="AG220" s="43">
        <v>46083</v>
      </c>
      <c r="AH220" s="36">
        <v>46090</v>
      </c>
      <c r="AI220" s="43">
        <v>46091</v>
      </c>
      <c r="AJ220" s="43"/>
      <c r="AK220" s="96">
        <v>46096</v>
      </c>
      <c r="AL220" s="135">
        <v>17.5</v>
      </c>
      <c r="AM220" s="59"/>
      <c r="AN220" s="59"/>
      <c r="AO220" s="97"/>
      <c r="AP220" s="97"/>
      <c r="AQ220" s="33"/>
      <c r="AR220" s="30"/>
      <c r="AS220" s="33"/>
    </row>
    <row r="221" spans="1:45" ht="18.649999999999999" customHeight="1">
      <c r="A221" s="201" t="s">
        <v>633</v>
      </c>
      <c r="B221" s="199" t="s">
        <v>625</v>
      </c>
      <c r="C221" s="30"/>
      <c r="D221" s="48" t="s">
        <v>48</v>
      </c>
      <c r="E221" s="49" t="s">
        <v>678</v>
      </c>
      <c r="F221" s="49">
        <v>2000010519</v>
      </c>
      <c r="G221" s="107" t="s">
        <v>687</v>
      </c>
      <c r="H221" s="108">
        <v>90</v>
      </c>
      <c r="I221" s="108" t="s">
        <v>239</v>
      </c>
      <c r="J221" s="33"/>
      <c r="K221" s="30"/>
      <c r="L221" s="33"/>
      <c r="M221" s="34" t="s">
        <v>686</v>
      </c>
      <c r="N221" s="30" t="s">
        <v>681</v>
      </c>
      <c r="O221" s="30" t="s">
        <v>55</v>
      </c>
      <c r="P221" s="30"/>
      <c r="Q221" s="48" t="s">
        <v>682</v>
      </c>
      <c r="R221" s="30" t="s">
        <v>683</v>
      </c>
      <c r="S221" s="30" t="s">
        <v>684</v>
      </c>
      <c r="T221" s="36">
        <v>46082</v>
      </c>
      <c r="U221" s="93">
        <v>46073</v>
      </c>
      <c r="V221" s="88">
        <v>46081</v>
      </c>
      <c r="W221" s="52"/>
      <c r="X221" s="30" t="s">
        <v>209</v>
      </c>
      <c r="Y221" s="30">
        <v>0.5</v>
      </c>
      <c r="Z221" s="30"/>
      <c r="AA221" s="36">
        <v>46073</v>
      </c>
      <c r="AB221" s="36">
        <v>46081</v>
      </c>
      <c r="AC221" s="30"/>
      <c r="AD221" s="30" t="s">
        <v>59</v>
      </c>
      <c r="AE221" s="33" t="s">
        <v>60</v>
      </c>
      <c r="AF221" s="43">
        <v>46085</v>
      </c>
      <c r="AG221" s="43">
        <v>46083</v>
      </c>
      <c r="AH221" s="36">
        <v>46090</v>
      </c>
      <c r="AI221" s="43">
        <v>46091</v>
      </c>
      <c r="AJ221" s="43"/>
      <c r="AK221" s="96">
        <v>46096</v>
      </c>
      <c r="AL221" s="135">
        <v>131.4</v>
      </c>
      <c r="AM221" s="59"/>
      <c r="AN221" s="59"/>
      <c r="AO221" s="97"/>
      <c r="AP221" s="97"/>
      <c r="AQ221" s="33"/>
      <c r="AR221" s="30"/>
      <c r="AS221" s="33"/>
    </row>
    <row r="222" spans="1:45" ht="18.649999999999999" customHeight="1">
      <c r="A222" s="201" t="s">
        <v>633</v>
      </c>
      <c r="B222" s="199" t="s">
        <v>625</v>
      </c>
      <c r="C222" s="30"/>
      <c r="D222" s="48" t="s">
        <v>48</v>
      </c>
      <c r="E222" s="49" t="s">
        <v>678</v>
      </c>
      <c r="F222" s="49">
        <v>2000017469</v>
      </c>
      <c r="G222" s="107" t="s">
        <v>688</v>
      </c>
      <c r="H222" s="108">
        <v>5</v>
      </c>
      <c r="I222" s="108" t="s">
        <v>239</v>
      </c>
      <c r="J222" s="33"/>
      <c r="K222" s="30"/>
      <c r="L222" s="33"/>
      <c r="M222" s="34" t="s">
        <v>686</v>
      </c>
      <c r="N222" s="30" t="s">
        <v>681</v>
      </c>
      <c r="O222" s="30" t="s">
        <v>55</v>
      </c>
      <c r="P222" s="30"/>
      <c r="Q222" s="48" t="s">
        <v>682</v>
      </c>
      <c r="R222" s="30" t="s">
        <v>683</v>
      </c>
      <c r="S222" s="30" t="s">
        <v>684</v>
      </c>
      <c r="T222" s="36">
        <v>46082</v>
      </c>
      <c r="U222" s="93">
        <v>46073</v>
      </c>
      <c r="V222" s="88">
        <v>46081</v>
      </c>
      <c r="W222" s="52"/>
      <c r="X222" s="30" t="s">
        <v>209</v>
      </c>
      <c r="Y222" s="30">
        <v>0.5</v>
      </c>
      <c r="Z222" s="30"/>
      <c r="AA222" s="36">
        <v>46073</v>
      </c>
      <c r="AB222" s="36">
        <v>46081</v>
      </c>
      <c r="AC222" s="30"/>
      <c r="AD222" s="30" t="s">
        <v>59</v>
      </c>
      <c r="AE222" s="33" t="s">
        <v>60</v>
      </c>
      <c r="AF222" s="43">
        <v>46085</v>
      </c>
      <c r="AG222" s="43">
        <v>46083</v>
      </c>
      <c r="AH222" s="36">
        <v>46090</v>
      </c>
      <c r="AI222" s="43">
        <v>46091</v>
      </c>
      <c r="AJ222" s="43"/>
      <c r="AK222" s="96">
        <v>46096</v>
      </c>
      <c r="AL222" s="135">
        <v>17.5</v>
      </c>
      <c r="AM222" s="59"/>
      <c r="AN222" s="59"/>
      <c r="AO222" s="97"/>
      <c r="AP222" s="97"/>
      <c r="AQ222" s="33"/>
      <c r="AR222" s="30"/>
      <c r="AS222" s="33"/>
    </row>
    <row r="223" spans="1:45" ht="18.649999999999999" customHeight="1">
      <c r="A223" s="201" t="s">
        <v>633</v>
      </c>
      <c r="B223" s="199" t="s">
        <v>625</v>
      </c>
      <c r="C223" s="30"/>
      <c r="D223" s="48" t="s">
        <v>48</v>
      </c>
      <c r="E223" s="49" t="s">
        <v>678</v>
      </c>
      <c r="F223" s="49">
        <v>2000008357</v>
      </c>
      <c r="G223" s="107" t="s">
        <v>689</v>
      </c>
      <c r="H223" s="108">
        <v>35</v>
      </c>
      <c r="I223" s="108" t="s">
        <v>239</v>
      </c>
      <c r="J223" s="33"/>
      <c r="K223" s="30"/>
      <c r="L223" s="33"/>
      <c r="M223" s="34" t="s">
        <v>686</v>
      </c>
      <c r="N223" s="30" t="s">
        <v>681</v>
      </c>
      <c r="O223" s="30" t="s">
        <v>55</v>
      </c>
      <c r="P223" s="30"/>
      <c r="Q223" s="48" t="s">
        <v>682</v>
      </c>
      <c r="R223" s="30" t="s">
        <v>683</v>
      </c>
      <c r="S223" s="30" t="s">
        <v>684</v>
      </c>
      <c r="T223" s="36">
        <v>46082</v>
      </c>
      <c r="U223" s="93">
        <v>46073</v>
      </c>
      <c r="V223" s="88">
        <v>46081</v>
      </c>
      <c r="W223" s="52"/>
      <c r="X223" s="30" t="s">
        <v>209</v>
      </c>
      <c r="Y223" s="30">
        <v>0.5</v>
      </c>
      <c r="Z223" s="30"/>
      <c r="AA223" s="36">
        <v>46073</v>
      </c>
      <c r="AB223" s="36">
        <v>46081</v>
      </c>
      <c r="AC223" s="30"/>
      <c r="AD223" s="30" t="s">
        <v>59</v>
      </c>
      <c r="AE223" s="33" t="s">
        <v>60</v>
      </c>
      <c r="AF223" s="43">
        <v>46085</v>
      </c>
      <c r="AG223" s="43">
        <v>46083</v>
      </c>
      <c r="AH223" s="36">
        <v>46090</v>
      </c>
      <c r="AI223" s="43">
        <v>46091</v>
      </c>
      <c r="AJ223" s="43"/>
      <c r="AK223" s="96">
        <v>46096</v>
      </c>
      <c r="AL223" s="135">
        <v>86.8</v>
      </c>
      <c r="AM223" s="59"/>
      <c r="AN223" s="59"/>
      <c r="AO223" s="97"/>
      <c r="AP223" s="97"/>
      <c r="AQ223" s="33"/>
      <c r="AR223" s="30"/>
      <c r="AS223" s="33"/>
    </row>
    <row r="224" spans="1:45" ht="18.649999999999999" customHeight="1">
      <c r="A224" s="201" t="s">
        <v>633</v>
      </c>
      <c r="B224" s="199" t="s">
        <v>625</v>
      </c>
      <c r="C224" s="30"/>
      <c r="D224" s="48" t="s">
        <v>48</v>
      </c>
      <c r="E224" s="49" t="s">
        <v>678</v>
      </c>
      <c r="F224" s="49">
        <v>2000000311</v>
      </c>
      <c r="G224" s="107" t="s">
        <v>690</v>
      </c>
      <c r="H224" s="108">
        <v>130</v>
      </c>
      <c r="I224" s="108" t="s">
        <v>239</v>
      </c>
      <c r="J224" s="33"/>
      <c r="K224" s="30"/>
      <c r="L224" s="33"/>
      <c r="M224" s="34" t="s">
        <v>686</v>
      </c>
      <c r="N224" s="30" t="s">
        <v>681</v>
      </c>
      <c r="O224" s="30" t="s">
        <v>55</v>
      </c>
      <c r="P224" s="30"/>
      <c r="Q224" s="48" t="s">
        <v>682</v>
      </c>
      <c r="R224" s="30" t="s">
        <v>683</v>
      </c>
      <c r="S224" s="30" t="s">
        <v>684</v>
      </c>
      <c r="T224" s="36">
        <v>46082</v>
      </c>
      <c r="U224" s="93">
        <v>46073</v>
      </c>
      <c r="V224" s="88">
        <v>46081</v>
      </c>
      <c r="W224" s="52"/>
      <c r="X224" s="30" t="s">
        <v>209</v>
      </c>
      <c r="Y224" s="30">
        <v>0.5</v>
      </c>
      <c r="Z224" s="30"/>
      <c r="AA224" s="36">
        <v>46073</v>
      </c>
      <c r="AB224" s="36">
        <v>46081</v>
      </c>
      <c r="AC224" s="30"/>
      <c r="AD224" s="30" t="s">
        <v>59</v>
      </c>
      <c r="AE224" s="33" t="s">
        <v>60</v>
      </c>
      <c r="AF224" s="43">
        <v>46085</v>
      </c>
      <c r="AG224" s="43">
        <v>46083</v>
      </c>
      <c r="AH224" s="36">
        <v>46090</v>
      </c>
      <c r="AI224" s="43">
        <v>46091</v>
      </c>
      <c r="AJ224" s="43"/>
      <c r="AK224" s="96">
        <v>46096</v>
      </c>
      <c r="AL224" s="135">
        <v>648.70000000000005</v>
      </c>
      <c r="AM224" s="59"/>
      <c r="AN224" s="59"/>
      <c r="AO224" s="97"/>
      <c r="AP224" s="97"/>
      <c r="AQ224" s="33"/>
      <c r="AR224" s="30"/>
      <c r="AS224" s="33"/>
    </row>
    <row r="225" spans="1:45" ht="18.649999999999999" customHeight="1">
      <c r="A225" s="201" t="s">
        <v>633</v>
      </c>
      <c r="B225" s="199" t="s">
        <v>625</v>
      </c>
      <c r="C225" s="30"/>
      <c r="D225" s="48" t="s">
        <v>48</v>
      </c>
      <c r="E225" s="49" t="s">
        <v>678</v>
      </c>
      <c r="F225" s="49">
        <v>2000008942</v>
      </c>
      <c r="G225" s="107" t="s">
        <v>691</v>
      </c>
      <c r="H225" s="108">
        <v>30</v>
      </c>
      <c r="I225" s="108" t="s">
        <v>239</v>
      </c>
      <c r="J225" s="33"/>
      <c r="K225" s="30"/>
      <c r="L225" s="33"/>
      <c r="M225" s="34" t="s">
        <v>692</v>
      </c>
      <c r="N225" s="30" t="s">
        <v>681</v>
      </c>
      <c r="O225" s="30" t="s">
        <v>55</v>
      </c>
      <c r="P225" s="30"/>
      <c r="Q225" s="48" t="s">
        <v>682</v>
      </c>
      <c r="R225" s="30" t="s">
        <v>683</v>
      </c>
      <c r="S225" s="30" t="s">
        <v>684</v>
      </c>
      <c r="T225" s="36">
        <v>46082</v>
      </c>
      <c r="U225" s="93">
        <v>46073</v>
      </c>
      <c r="V225" s="88">
        <v>46081</v>
      </c>
      <c r="W225" s="52"/>
      <c r="X225" s="30" t="s">
        <v>209</v>
      </c>
      <c r="Y225" s="30">
        <v>0.5</v>
      </c>
      <c r="Z225" s="30"/>
      <c r="AA225" s="36">
        <v>46073</v>
      </c>
      <c r="AB225" s="36">
        <v>46081</v>
      </c>
      <c r="AC225" s="30"/>
      <c r="AD225" s="30" t="s">
        <v>59</v>
      </c>
      <c r="AE225" s="33" t="s">
        <v>60</v>
      </c>
      <c r="AF225" s="43">
        <v>46085</v>
      </c>
      <c r="AG225" s="43">
        <v>46083</v>
      </c>
      <c r="AH225" s="36">
        <v>46090</v>
      </c>
      <c r="AI225" s="43">
        <v>46091</v>
      </c>
      <c r="AJ225" s="43"/>
      <c r="AK225" s="96">
        <v>46096</v>
      </c>
      <c r="AL225" s="135">
        <v>24.35</v>
      </c>
      <c r="AM225" s="59"/>
      <c r="AN225" s="59"/>
      <c r="AO225" s="97"/>
      <c r="AP225" s="97"/>
      <c r="AQ225" s="33"/>
      <c r="AR225" s="30"/>
      <c r="AS225" s="33"/>
    </row>
    <row r="226" spans="1:45" ht="18.649999999999999" customHeight="1">
      <c r="A226" s="201" t="s">
        <v>633</v>
      </c>
      <c r="B226" s="199" t="s">
        <v>625</v>
      </c>
      <c r="C226" s="30"/>
      <c r="D226" s="48" t="s">
        <v>48</v>
      </c>
      <c r="E226" s="49" t="s">
        <v>678</v>
      </c>
      <c r="F226" s="49">
        <v>2000007272</v>
      </c>
      <c r="G226" s="107" t="s">
        <v>693</v>
      </c>
      <c r="H226" s="108">
        <v>5</v>
      </c>
      <c r="I226" s="108" t="s">
        <v>239</v>
      </c>
      <c r="J226" s="33"/>
      <c r="K226" s="30"/>
      <c r="L226" s="33"/>
      <c r="M226" s="34" t="s">
        <v>686</v>
      </c>
      <c r="N226" s="30" t="s">
        <v>681</v>
      </c>
      <c r="O226" s="30" t="s">
        <v>55</v>
      </c>
      <c r="P226" s="30"/>
      <c r="Q226" s="48" t="s">
        <v>682</v>
      </c>
      <c r="R226" s="30" t="s">
        <v>683</v>
      </c>
      <c r="S226" s="30" t="s">
        <v>684</v>
      </c>
      <c r="T226" s="36">
        <v>46082</v>
      </c>
      <c r="U226" s="93">
        <v>46073</v>
      </c>
      <c r="V226" s="88">
        <v>46081</v>
      </c>
      <c r="W226" s="52"/>
      <c r="X226" s="30" t="s">
        <v>209</v>
      </c>
      <c r="Y226" s="30">
        <v>0.5</v>
      </c>
      <c r="Z226" s="30"/>
      <c r="AA226" s="36">
        <v>46073</v>
      </c>
      <c r="AB226" s="36">
        <v>46081</v>
      </c>
      <c r="AC226" s="30"/>
      <c r="AD226" s="30" t="s">
        <v>59</v>
      </c>
      <c r="AE226" s="33" t="s">
        <v>60</v>
      </c>
      <c r="AF226" s="43">
        <v>46085</v>
      </c>
      <c r="AG226" s="43">
        <v>46083</v>
      </c>
      <c r="AH226" s="36">
        <v>46090</v>
      </c>
      <c r="AI226" s="43">
        <v>46091</v>
      </c>
      <c r="AJ226" s="43"/>
      <c r="AK226" s="96">
        <v>46096</v>
      </c>
      <c r="AL226" s="135">
        <v>57.6</v>
      </c>
      <c r="AM226" s="59"/>
      <c r="AN226" s="59"/>
      <c r="AO226" s="97"/>
      <c r="AP226" s="97"/>
      <c r="AQ226" s="33"/>
      <c r="AR226" s="30"/>
      <c r="AS226" s="33"/>
    </row>
    <row r="227" spans="1:45" ht="18.649999999999999" customHeight="1">
      <c r="A227" s="48" t="s">
        <v>624</v>
      </c>
      <c r="B227" s="199" t="s">
        <v>625</v>
      </c>
      <c r="C227" s="30"/>
      <c r="D227" s="48" t="s">
        <v>48</v>
      </c>
      <c r="E227" s="49" t="s">
        <v>210</v>
      </c>
      <c r="F227" s="49">
        <v>2000007982</v>
      </c>
      <c r="G227" s="107" t="s">
        <v>693</v>
      </c>
      <c r="H227" s="108">
        <v>100</v>
      </c>
      <c r="I227" s="211" t="s">
        <v>212</v>
      </c>
      <c r="J227" s="33" t="s">
        <v>694</v>
      </c>
      <c r="K227" s="30"/>
      <c r="L227" s="33"/>
      <c r="M227" s="212" t="s">
        <v>695</v>
      </c>
      <c r="N227" s="30">
        <v>28030652</v>
      </c>
      <c r="O227" s="30" t="s">
        <v>189</v>
      </c>
      <c r="P227" s="30"/>
      <c r="Q227" s="48">
        <v>95185317</v>
      </c>
      <c r="R227" s="48" t="s">
        <v>215</v>
      </c>
      <c r="S227" s="30" t="s">
        <v>696</v>
      </c>
      <c r="T227" s="36">
        <v>46143</v>
      </c>
      <c r="U227" s="93">
        <v>46098</v>
      </c>
      <c r="V227" s="88">
        <v>46138</v>
      </c>
      <c r="W227" s="52"/>
      <c r="X227" s="30" t="s">
        <v>209</v>
      </c>
      <c r="Y227" s="30">
        <v>0.5</v>
      </c>
      <c r="Z227" s="30"/>
      <c r="AA227" s="36">
        <v>46104</v>
      </c>
      <c r="AB227" s="36">
        <v>46148</v>
      </c>
      <c r="AC227" s="30"/>
      <c r="AD227" s="56" t="s">
        <v>72</v>
      </c>
      <c r="AE227" s="30"/>
      <c r="AF227" s="36">
        <v>46104</v>
      </c>
      <c r="AG227" s="36">
        <v>46104</v>
      </c>
      <c r="AH227" s="36"/>
      <c r="AI227" s="43"/>
      <c r="AJ227" s="43"/>
      <c r="AK227" s="96">
        <v>46096</v>
      </c>
      <c r="AL227" s="170">
        <v>160.80000000000001</v>
      </c>
      <c r="AM227" s="59"/>
      <c r="AN227" s="59"/>
      <c r="AO227" s="97"/>
      <c r="AP227" s="97"/>
      <c r="AQ227" s="33"/>
      <c r="AR227" s="30"/>
      <c r="AS227" s="33"/>
    </row>
    <row r="228" spans="1:45" ht="18.649999999999999" customHeight="1">
      <c r="A228" s="48" t="s">
        <v>624</v>
      </c>
      <c r="B228" s="199" t="s">
        <v>625</v>
      </c>
      <c r="C228" s="30"/>
      <c r="D228" s="48" t="s">
        <v>48</v>
      </c>
      <c r="E228" s="49" t="s">
        <v>210</v>
      </c>
      <c r="F228" s="49">
        <v>2000014162</v>
      </c>
      <c r="G228" s="107" t="s">
        <v>511</v>
      </c>
      <c r="H228" s="108">
        <v>30</v>
      </c>
      <c r="I228" s="211" t="s">
        <v>212</v>
      </c>
      <c r="J228" s="33"/>
      <c r="K228" s="30"/>
      <c r="L228" s="33"/>
      <c r="M228" s="212" t="s">
        <v>695</v>
      </c>
      <c r="N228" s="30">
        <v>28030652</v>
      </c>
      <c r="O228" s="30" t="s">
        <v>189</v>
      </c>
      <c r="P228" s="30"/>
      <c r="Q228" s="48">
        <v>95185317</v>
      </c>
      <c r="R228" s="48" t="s">
        <v>215</v>
      </c>
      <c r="S228" s="30" t="s">
        <v>696</v>
      </c>
      <c r="T228" s="36">
        <v>46143</v>
      </c>
      <c r="U228" s="93">
        <v>46098</v>
      </c>
      <c r="V228" s="88">
        <v>46138</v>
      </c>
      <c r="W228" s="52"/>
      <c r="X228" s="30" t="s">
        <v>209</v>
      </c>
      <c r="Y228" s="30">
        <v>0.5</v>
      </c>
      <c r="Z228" s="30"/>
      <c r="AA228" s="36">
        <v>46104</v>
      </c>
      <c r="AB228" s="36">
        <v>46148</v>
      </c>
      <c r="AC228" s="30"/>
      <c r="AD228" s="56" t="s">
        <v>72</v>
      </c>
      <c r="AE228" s="30"/>
      <c r="AF228" s="36">
        <v>46104</v>
      </c>
      <c r="AG228" s="36">
        <v>46104</v>
      </c>
      <c r="AH228" s="36"/>
      <c r="AI228" s="43"/>
      <c r="AJ228" s="43"/>
      <c r="AK228" s="96">
        <v>46096</v>
      </c>
      <c r="AL228" s="170">
        <v>535</v>
      </c>
      <c r="AM228" s="59"/>
      <c r="AN228" s="59"/>
      <c r="AO228" s="97"/>
      <c r="AP228" s="97"/>
      <c r="AQ228" s="33"/>
      <c r="AR228" s="30"/>
      <c r="AS228" s="33"/>
    </row>
    <row r="229" spans="1:45" ht="18.649999999999999" customHeight="1">
      <c r="A229" s="48" t="s">
        <v>624</v>
      </c>
      <c r="B229" s="199" t="s">
        <v>625</v>
      </c>
      <c r="C229" s="30"/>
      <c r="D229" s="48" t="s">
        <v>48</v>
      </c>
      <c r="E229" s="49" t="s">
        <v>210</v>
      </c>
      <c r="F229" s="49">
        <v>2000005878</v>
      </c>
      <c r="G229" s="107" t="s">
        <v>222</v>
      </c>
      <c r="H229" s="108">
        <v>90</v>
      </c>
      <c r="I229" s="107" t="s">
        <v>212</v>
      </c>
      <c r="J229" s="33"/>
      <c r="K229" s="30"/>
      <c r="L229" s="33"/>
      <c r="M229" s="212" t="s">
        <v>695</v>
      </c>
      <c r="N229" s="30">
        <v>28030652</v>
      </c>
      <c r="O229" s="30" t="s">
        <v>189</v>
      </c>
      <c r="P229" s="30"/>
      <c r="Q229" s="48">
        <v>95185317</v>
      </c>
      <c r="R229" s="48" t="s">
        <v>215</v>
      </c>
      <c r="S229" s="30" t="s">
        <v>696</v>
      </c>
      <c r="T229" s="36">
        <v>46143</v>
      </c>
      <c r="U229" s="93">
        <v>46098</v>
      </c>
      <c r="V229" s="88">
        <v>46138</v>
      </c>
      <c r="W229" s="52"/>
      <c r="X229" s="30" t="s">
        <v>209</v>
      </c>
      <c r="Y229" s="30">
        <v>0.5</v>
      </c>
      <c r="Z229" s="30"/>
      <c r="AA229" s="25">
        <v>46104</v>
      </c>
      <c r="AB229" s="36">
        <v>46148</v>
      </c>
      <c r="AC229" s="30"/>
      <c r="AD229" s="56" t="s">
        <v>72</v>
      </c>
      <c r="AE229" s="30"/>
      <c r="AF229" s="36">
        <v>46104</v>
      </c>
      <c r="AG229" s="36">
        <v>46104</v>
      </c>
      <c r="AH229" s="36"/>
      <c r="AI229" s="43"/>
      <c r="AJ229" s="43"/>
      <c r="AK229" s="96">
        <v>46096</v>
      </c>
      <c r="AL229" s="170">
        <v>385.5</v>
      </c>
      <c r="AM229" s="59"/>
      <c r="AN229" s="59"/>
      <c r="AO229" s="97"/>
      <c r="AP229" s="97"/>
      <c r="AQ229" s="33"/>
      <c r="AR229" s="30"/>
      <c r="AS229" s="33"/>
    </row>
    <row r="230" spans="1:45" ht="18.649999999999999" customHeight="1">
      <c r="A230" s="48" t="s">
        <v>624</v>
      </c>
      <c r="B230" s="199" t="s">
        <v>625</v>
      </c>
      <c r="C230" s="30"/>
      <c r="D230" s="48" t="s">
        <v>48</v>
      </c>
      <c r="E230" s="49" t="s">
        <v>210</v>
      </c>
      <c r="F230" s="49">
        <v>2000012212</v>
      </c>
      <c r="G230" s="107" t="s">
        <v>697</v>
      </c>
      <c r="H230" s="108" t="s">
        <v>698</v>
      </c>
      <c r="I230" s="107" t="s">
        <v>212</v>
      </c>
      <c r="J230" s="33"/>
      <c r="K230" s="30"/>
      <c r="L230" s="33"/>
      <c r="M230" s="212" t="s">
        <v>695</v>
      </c>
      <c r="N230" s="30">
        <v>28030652</v>
      </c>
      <c r="O230" s="30" t="s">
        <v>189</v>
      </c>
      <c r="P230" s="30"/>
      <c r="Q230" s="48">
        <v>95185317</v>
      </c>
      <c r="R230" s="48" t="s">
        <v>215</v>
      </c>
      <c r="S230" s="30" t="s">
        <v>696</v>
      </c>
      <c r="T230" s="36">
        <v>46143</v>
      </c>
      <c r="U230" s="93">
        <v>46098</v>
      </c>
      <c r="V230" s="88">
        <v>46138</v>
      </c>
      <c r="W230" s="52"/>
      <c r="X230" s="30" t="s">
        <v>209</v>
      </c>
      <c r="Y230" s="30">
        <v>0.5</v>
      </c>
      <c r="Z230" s="30"/>
      <c r="AA230" s="25">
        <v>46104</v>
      </c>
      <c r="AB230" s="36">
        <v>46148</v>
      </c>
      <c r="AC230" s="30"/>
      <c r="AD230" s="56" t="s">
        <v>72</v>
      </c>
      <c r="AE230" s="30"/>
      <c r="AF230" s="36">
        <v>46104</v>
      </c>
      <c r="AG230" s="36">
        <v>46104</v>
      </c>
      <c r="AH230" s="36"/>
      <c r="AI230" s="43"/>
      <c r="AJ230" s="43"/>
      <c r="AK230" s="96">
        <v>46096</v>
      </c>
      <c r="AL230" s="170">
        <v>288.89999999999998</v>
      </c>
      <c r="AM230" s="59"/>
      <c r="AN230" s="59"/>
      <c r="AO230" s="97"/>
      <c r="AP230" s="97"/>
      <c r="AQ230" s="33"/>
      <c r="AR230" s="30"/>
      <c r="AS230" s="33"/>
    </row>
    <row r="231" spans="1:45" ht="18.649999999999999" customHeight="1">
      <c r="A231" s="48" t="s">
        <v>624</v>
      </c>
      <c r="B231" s="199" t="s">
        <v>625</v>
      </c>
      <c r="C231" s="30"/>
      <c r="D231" s="48" t="s">
        <v>48</v>
      </c>
      <c r="E231" s="49" t="s">
        <v>210</v>
      </c>
      <c r="F231" s="49">
        <v>2000005487</v>
      </c>
      <c r="G231" s="107" t="s">
        <v>699</v>
      </c>
      <c r="H231" s="213">
        <v>10</v>
      </c>
      <c r="I231" s="107" t="s">
        <v>212</v>
      </c>
      <c r="J231" s="33" t="s">
        <v>700</v>
      </c>
      <c r="K231" s="30"/>
      <c r="L231" s="33"/>
      <c r="M231" s="212" t="s">
        <v>695</v>
      </c>
      <c r="N231" s="30">
        <v>28030652</v>
      </c>
      <c r="O231" s="30" t="s">
        <v>189</v>
      </c>
      <c r="P231" s="30"/>
      <c r="Q231" s="48">
        <v>95185317</v>
      </c>
      <c r="R231" s="48" t="s">
        <v>215</v>
      </c>
      <c r="S231" s="30" t="s">
        <v>696</v>
      </c>
      <c r="T231" s="36">
        <v>46143</v>
      </c>
      <c r="U231" s="93">
        <v>46098</v>
      </c>
      <c r="V231" s="88">
        <v>46138</v>
      </c>
      <c r="W231" s="52"/>
      <c r="X231" s="30" t="s">
        <v>209</v>
      </c>
      <c r="Y231" s="30">
        <v>0.5</v>
      </c>
      <c r="Z231" s="30"/>
      <c r="AA231" s="25">
        <v>46104</v>
      </c>
      <c r="AB231" s="36">
        <v>46148</v>
      </c>
      <c r="AC231" s="30"/>
      <c r="AD231" s="56" t="s">
        <v>72</v>
      </c>
      <c r="AE231" s="30"/>
      <c r="AF231" s="36">
        <v>46104</v>
      </c>
      <c r="AG231" s="36">
        <v>46104</v>
      </c>
      <c r="AH231" s="36"/>
      <c r="AI231" s="43"/>
      <c r="AJ231" s="43"/>
      <c r="AK231" s="96">
        <v>46096</v>
      </c>
      <c r="AL231" s="170">
        <v>224.4</v>
      </c>
      <c r="AM231" s="59"/>
      <c r="AN231" s="59"/>
      <c r="AO231" s="97"/>
      <c r="AP231" s="97"/>
      <c r="AQ231" s="33"/>
      <c r="AR231" s="30"/>
      <c r="AS231" s="33"/>
    </row>
    <row r="232" spans="1:45" ht="18.649999999999999" customHeight="1">
      <c r="A232" s="48" t="s">
        <v>624</v>
      </c>
      <c r="B232" s="199" t="s">
        <v>625</v>
      </c>
      <c r="C232" s="30"/>
      <c r="D232" s="48" t="s">
        <v>48</v>
      </c>
      <c r="E232" s="49" t="s">
        <v>210</v>
      </c>
      <c r="F232" s="49">
        <v>2000020324</v>
      </c>
      <c r="G232" s="107" t="s">
        <v>701</v>
      </c>
      <c r="H232" s="108">
        <v>50</v>
      </c>
      <c r="I232" s="107" t="s">
        <v>212</v>
      </c>
      <c r="J232" s="33"/>
      <c r="K232" s="30"/>
      <c r="L232" s="33"/>
      <c r="M232" s="212" t="s">
        <v>695</v>
      </c>
      <c r="N232" s="30">
        <v>28030652</v>
      </c>
      <c r="O232" s="30" t="s">
        <v>189</v>
      </c>
      <c r="P232" s="30"/>
      <c r="Q232" s="48">
        <v>95185317</v>
      </c>
      <c r="R232" s="48" t="s">
        <v>215</v>
      </c>
      <c r="S232" s="30" t="s">
        <v>696</v>
      </c>
      <c r="T232" s="36">
        <v>46143</v>
      </c>
      <c r="U232" s="93">
        <v>46098</v>
      </c>
      <c r="V232" s="88">
        <v>46138</v>
      </c>
      <c r="W232" s="52"/>
      <c r="X232" s="30" t="s">
        <v>209</v>
      </c>
      <c r="Y232" s="30">
        <v>0.5</v>
      </c>
      <c r="Z232" s="30"/>
      <c r="AA232" s="25">
        <v>46104</v>
      </c>
      <c r="AB232" s="36">
        <v>46148</v>
      </c>
      <c r="AC232" s="30"/>
      <c r="AD232" s="56" t="s">
        <v>72</v>
      </c>
      <c r="AE232" s="30"/>
      <c r="AF232" s="36">
        <v>46104</v>
      </c>
      <c r="AG232" s="36">
        <v>46104</v>
      </c>
      <c r="AH232" s="36"/>
      <c r="AI232" s="43"/>
      <c r="AJ232" s="43"/>
      <c r="AK232" s="96">
        <v>46096</v>
      </c>
      <c r="AL232" s="170">
        <v>34.6</v>
      </c>
      <c r="AM232" s="59"/>
      <c r="AN232" s="59"/>
      <c r="AO232" s="97"/>
      <c r="AP232" s="97"/>
      <c r="AQ232" s="33"/>
      <c r="AR232" s="30"/>
      <c r="AS232" s="33"/>
    </row>
    <row r="233" spans="1:45" ht="18.649999999999999" customHeight="1">
      <c r="A233" s="48" t="s">
        <v>624</v>
      </c>
      <c r="B233" s="199" t="s">
        <v>625</v>
      </c>
      <c r="C233" s="30"/>
      <c r="D233" s="48" t="s">
        <v>48</v>
      </c>
      <c r="E233" s="49" t="s">
        <v>210</v>
      </c>
      <c r="F233" s="49">
        <v>2000020846</v>
      </c>
      <c r="G233" s="107" t="s">
        <v>522</v>
      </c>
      <c r="H233" s="108">
        <v>10</v>
      </c>
      <c r="I233" s="107" t="s">
        <v>212</v>
      </c>
      <c r="J233" s="33"/>
      <c r="L233" s="33"/>
      <c r="M233" s="212" t="s">
        <v>695</v>
      </c>
      <c r="N233" s="30">
        <v>28030652</v>
      </c>
      <c r="O233" s="30" t="s">
        <v>189</v>
      </c>
      <c r="P233" s="30"/>
      <c r="Q233" s="48">
        <v>95185317</v>
      </c>
      <c r="R233" s="48" t="s">
        <v>215</v>
      </c>
      <c r="S233" s="30" t="s">
        <v>696</v>
      </c>
      <c r="T233" s="36">
        <v>46143</v>
      </c>
      <c r="U233" s="93">
        <v>46098</v>
      </c>
      <c r="V233" s="88">
        <v>46138</v>
      </c>
      <c r="W233" s="52"/>
      <c r="X233" s="30" t="s">
        <v>209</v>
      </c>
      <c r="Y233" s="30">
        <v>0.5</v>
      </c>
      <c r="Z233" s="30"/>
      <c r="AA233" s="36">
        <v>46104</v>
      </c>
      <c r="AB233" s="36">
        <v>46148</v>
      </c>
      <c r="AC233" s="30"/>
      <c r="AD233" s="56" t="s">
        <v>72</v>
      </c>
      <c r="AE233" s="30"/>
      <c r="AF233" s="36">
        <v>46104</v>
      </c>
      <c r="AG233" s="36">
        <v>46104</v>
      </c>
      <c r="AH233" s="36"/>
      <c r="AI233" s="43"/>
      <c r="AJ233" s="43"/>
      <c r="AK233" s="96">
        <v>46096</v>
      </c>
      <c r="AL233" s="170">
        <v>282</v>
      </c>
      <c r="AM233" s="59"/>
      <c r="AN233" s="59"/>
      <c r="AO233" s="97"/>
      <c r="AP233" s="97"/>
      <c r="AQ233" s="33"/>
      <c r="AR233" s="30"/>
      <c r="AS233" s="33"/>
    </row>
    <row r="234" spans="1:45" ht="18.649999999999999" customHeight="1">
      <c r="A234" s="48" t="s">
        <v>624</v>
      </c>
      <c r="B234" s="199" t="s">
        <v>625</v>
      </c>
      <c r="C234" s="30"/>
      <c r="D234" s="48" t="s">
        <v>48</v>
      </c>
      <c r="E234" s="49" t="s">
        <v>210</v>
      </c>
      <c r="F234" s="49">
        <v>2000006076</v>
      </c>
      <c r="G234" s="107" t="s">
        <v>523</v>
      </c>
      <c r="H234" s="108">
        <v>100</v>
      </c>
      <c r="I234" s="107" t="s">
        <v>524</v>
      </c>
      <c r="J234" s="33"/>
      <c r="K234" s="30"/>
      <c r="L234" s="33"/>
      <c r="M234" s="212" t="s">
        <v>695</v>
      </c>
      <c r="N234" s="30">
        <v>28030652</v>
      </c>
      <c r="O234" s="30" t="s">
        <v>189</v>
      </c>
      <c r="P234" s="30"/>
      <c r="Q234" s="48">
        <v>95185317</v>
      </c>
      <c r="R234" s="48" t="s">
        <v>215</v>
      </c>
      <c r="S234" s="30" t="s">
        <v>696</v>
      </c>
      <c r="T234" s="36">
        <v>46143</v>
      </c>
      <c r="U234" s="93">
        <v>46098</v>
      </c>
      <c r="V234" s="88">
        <v>46138</v>
      </c>
      <c r="W234" s="52"/>
      <c r="X234" s="30" t="s">
        <v>209</v>
      </c>
      <c r="Y234" s="30">
        <v>0.5</v>
      </c>
      <c r="Z234" s="30"/>
      <c r="AA234" s="25">
        <v>46104</v>
      </c>
      <c r="AB234" s="36">
        <v>46148</v>
      </c>
      <c r="AC234" s="30"/>
      <c r="AD234" s="56" t="s">
        <v>72</v>
      </c>
      <c r="AE234" s="30"/>
      <c r="AF234" s="36">
        <v>46104</v>
      </c>
      <c r="AG234" s="36">
        <v>46104</v>
      </c>
      <c r="AH234" s="36"/>
      <c r="AI234" s="43"/>
      <c r="AJ234" s="43"/>
      <c r="AK234" s="96">
        <v>46096</v>
      </c>
      <c r="AL234" s="170">
        <v>120.9</v>
      </c>
      <c r="AM234" s="59"/>
      <c r="AN234" s="59"/>
      <c r="AO234" s="97"/>
      <c r="AP234" s="97"/>
      <c r="AQ234" s="33"/>
      <c r="AR234" s="30"/>
      <c r="AS234" s="33"/>
    </row>
    <row r="235" spans="1:45" ht="18.649999999999999" customHeight="1">
      <c r="A235" s="48" t="s">
        <v>624</v>
      </c>
      <c r="B235" s="199" t="s">
        <v>625</v>
      </c>
      <c r="C235" s="30"/>
      <c r="D235" s="48" t="s">
        <v>48</v>
      </c>
      <c r="E235" s="49" t="s">
        <v>210</v>
      </c>
      <c r="F235" s="49">
        <v>2000020397</v>
      </c>
      <c r="G235" s="107" t="s">
        <v>225</v>
      </c>
      <c r="H235" s="108">
        <v>20</v>
      </c>
      <c r="I235" s="107" t="s">
        <v>212</v>
      </c>
      <c r="J235" s="33"/>
      <c r="K235" s="30"/>
      <c r="L235" s="33"/>
      <c r="M235" s="212" t="s">
        <v>695</v>
      </c>
      <c r="N235" s="30">
        <v>28030652</v>
      </c>
      <c r="O235" s="30" t="s">
        <v>189</v>
      </c>
      <c r="P235" s="30"/>
      <c r="Q235" s="48">
        <v>95185317</v>
      </c>
      <c r="R235" s="48" t="s">
        <v>215</v>
      </c>
      <c r="S235" s="30" t="s">
        <v>696</v>
      </c>
      <c r="T235" s="36">
        <v>46143</v>
      </c>
      <c r="U235" s="93">
        <v>46098</v>
      </c>
      <c r="V235" s="88">
        <v>46138</v>
      </c>
      <c r="W235" s="52"/>
      <c r="X235" s="30" t="s">
        <v>209</v>
      </c>
      <c r="Y235" s="30">
        <v>0.5</v>
      </c>
      <c r="Z235" s="30"/>
      <c r="AA235" s="25">
        <v>46104</v>
      </c>
      <c r="AB235" s="36">
        <v>46148</v>
      </c>
      <c r="AC235" s="30"/>
      <c r="AD235" s="56" t="s">
        <v>72</v>
      </c>
      <c r="AE235" s="30"/>
      <c r="AF235" s="36">
        <v>46104</v>
      </c>
      <c r="AG235" s="36">
        <v>46104</v>
      </c>
      <c r="AH235" s="36"/>
      <c r="AI235" s="43"/>
      <c r="AJ235" s="43"/>
      <c r="AK235" s="96">
        <v>46096</v>
      </c>
      <c r="AL235" s="170">
        <v>6730</v>
      </c>
      <c r="AM235" s="59"/>
      <c r="AN235" s="59"/>
      <c r="AO235" s="97"/>
      <c r="AP235" s="97"/>
      <c r="AQ235" s="33"/>
      <c r="AR235" s="30"/>
      <c r="AS235" s="33"/>
    </row>
    <row r="236" spans="1:45" ht="18.649999999999999" customHeight="1">
      <c r="A236" s="48" t="s">
        <v>624</v>
      </c>
      <c r="B236" s="199" t="s">
        <v>625</v>
      </c>
      <c r="C236" s="30"/>
      <c r="D236" s="48" t="s">
        <v>48</v>
      </c>
      <c r="E236" s="49" t="s">
        <v>210</v>
      </c>
      <c r="F236" s="49">
        <v>2000007554</v>
      </c>
      <c r="G236" s="107" t="s">
        <v>228</v>
      </c>
      <c r="H236" s="108">
        <v>120</v>
      </c>
      <c r="I236" s="107" t="s">
        <v>212</v>
      </c>
      <c r="J236" s="33"/>
      <c r="K236" s="30"/>
      <c r="L236" s="33"/>
      <c r="M236" s="212" t="s">
        <v>695</v>
      </c>
      <c r="N236" s="30">
        <v>28030652</v>
      </c>
      <c r="O236" s="30" t="s">
        <v>189</v>
      </c>
      <c r="P236" s="30"/>
      <c r="Q236" s="48">
        <v>95185317</v>
      </c>
      <c r="R236" s="48" t="s">
        <v>215</v>
      </c>
      <c r="S236" s="30" t="s">
        <v>696</v>
      </c>
      <c r="T236" s="36">
        <v>46143</v>
      </c>
      <c r="U236" s="93">
        <v>46098</v>
      </c>
      <c r="V236" s="88">
        <v>46138</v>
      </c>
      <c r="W236" s="52"/>
      <c r="X236" s="30" t="s">
        <v>209</v>
      </c>
      <c r="Y236" s="30">
        <v>0.5</v>
      </c>
      <c r="Z236" s="30"/>
      <c r="AA236" s="25">
        <v>46104</v>
      </c>
      <c r="AB236" s="36">
        <v>46148</v>
      </c>
      <c r="AC236" s="30"/>
      <c r="AD236" s="56" t="s">
        <v>72</v>
      </c>
      <c r="AE236" s="30"/>
      <c r="AF236" s="36">
        <v>46104</v>
      </c>
      <c r="AG236" s="36">
        <v>46104</v>
      </c>
      <c r="AH236" s="36"/>
      <c r="AI236" s="43"/>
      <c r="AJ236" s="43"/>
      <c r="AK236" s="96">
        <v>46096</v>
      </c>
      <c r="AL236" s="170">
        <v>425.6</v>
      </c>
      <c r="AM236" s="59"/>
      <c r="AN236" s="59"/>
      <c r="AO236" s="97"/>
      <c r="AP236" s="97"/>
      <c r="AQ236" s="33"/>
      <c r="AR236" s="30"/>
      <c r="AS236" s="33"/>
    </row>
    <row r="237" spans="1:45" ht="18.649999999999999" customHeight="1">
      <c r="A237" s="48" t="s">
        <v>624</v>
      </c>
      <c r="B237" s="199" t="s">
        <v>625</v>
      </c>
      <c r="C237" s="30"/>
      <c r="D237" s="48" t="s">
        <v>48</v>
      </c>
      <c r="E237" s="49" t="s">
        <v>210</v>
      </c>
      <c r="F237" s="49">
        <v>2000018533</v>
      </c>
      <c r="G237" s="107" t="s">
        <v>702</v>
      </c>
      <c r="H237" s="108">
        <v>20</v>
      </c>
      <c r="I237" s="185" t="s">
        <v>212</v>
      </c>
      <c r="J237" s="33"/>
      <c r="K237" s="30"/>
      <c r="L237" s="33"/>
      <c r="M237" s="212" t="s">
        <v>695</v>
      </c>
      <c r="N237" s="30">
        <v>28030652</v>
      </c>
      <c r="O237" s="30" t="s">
        <v>189</v>
      </c>
      <c r="P237" s="30"/>
      <c r="Q237" s="48">
        <v>95185317</v>
      </c>
      <c r="R237" s="48" t="s">
        <v>215</v>
      </c>
      <c r="S237" s="30" t="s">
        <v>696</v>
      </c>
      <c r="T237" s="36">
        <v>46143</v>
      </c>
      <c r="U237" s="93">
        <v>46098</v>
      </c>
      <c r="V237" s="88">
        <v>46138</v>
      </c>
      <c r="W237" s="52"/>
      <c r="X237" s="30" t="s">
        <v>209</v>
      </c>
      <c r="Y237" s="30">
        <v>0.5</v>
      </c>
      <c r="Z237" s="30"/>
      <c r="AA237" s="25">
        <v>46104</v>
      </c>
      <c r="AB237" s="36">
        <v>46148</v>
      </c>
      <c r="AC237" s="30"/>
      <c r="AD237" s="56" t="s">
        <v>72</v>
      </c>
      <c r="AE237" s="30"/>
      <c r="AF237" s="36">
        <v>46104</v>
      </c>
      <c r="AG237" s="36">
        <v>46104</v>
      </c>
      <c r="AH237" s="36"/>
      <c r="AI237" s="43"/>
      <c r="AJ237" s="43"/>
      <c r="AK237" s="96">
        <v>46096</v>
      </c>
      <c r="AL237" s="170">
        <v>425.6</v>
      </c>
      <c r="AM237" s="59"/>
      <c r="AN237" s="59"/>
      <c r="AO237" s="97"/>
      <c r="AP237" s="97"/>
      <c r="AQ237" s="33"/>
      <c r="AR237" s="30"/>
      <c r="AS237" s="33"/>
    </row>
    <row r="238" spans="1:45" ht="18.649999999999999" customHeight="1">
      <c r="A238" s="48" t="s">
        <v>624</v>
      </c>
      <c r="B238" s="199" t="s">
        <v>625</v>
      </c>
      <c r="C238" s="30"/>
      <c r="D238" s="48" t="s">
        <v>48</v>
      </c>
      <c r="E238" s="49" t="s">
        <v>210</v>
      </c>
      <c r="F238" s="49">
        <v>2000019511</v>
      </c>
      <c r="G238" s="107" t="s">
        <v>703</v>
      </c>
      <c r="H238" s="108">
        <v>10</v>
      </c>
      <c r="I238" s="185" t="s">
        <v>212</v>
      </c>
      <c r="J238" s="33" t="s">
        <v>704</v>
      </c>
      <c r="K238" s="30"/>
      <c r="L238" s="33"/>
      <c r="M238" s="212" t="s">
        <v>695</v>
      </c>
      <c r="N238" s="30">
        <v>28030652</v>
      </c>
      <c r="O238" s="30" t="s">
        <v>189</v>
      </c>
      <c r="P238" s="30"/>
      <c r="Q238" s="48">
        <v>95185317</v>
      </c>
      <c r="R238" s="48" t="s">
        <v>215</v>
      </c>
      <c r="S238" s="30" t="s">
        <v>696</v>
      </c>
      <c r="T238" s="36">
        <v>46143</v>
      </c>
      <c r="U238" s="93">
        <v>46098</v>
      </c>
      <c r="V238" s="88">
        <v>46138</v>
      </c>
      <c r="W238" s="52"/>
      <c r="X238" s="30" t="s">
        <v>209</v>
      </c>
      <c r="Y238" s="30">
        <v>0.5</v>
      </c>
      <c r="Z238" s="30"/>
      <c r="AA238" s="25">
        <v>46104</v>
      </c>
      <c r="AB238" s="36">
        <v>46148</v>
      </c>
      <c r="AC238" s="30"/>
      <c r="AD238" s="56" t="s">
        <v>72</v>
      </c>
      <c r="AE238" s="30"/>
      <c r="AF238" s="36">
        <v>46104</v>
      </c>
      <c r="AG238" s="36">
        <v>46104</v>
      </c>
      <c r="AH238" s="36"/>
      <c r="AI238" s="43"/>
      <c r="AJ238" s="43"/>
      <c r="AK238" s="96">
        <v>46096</v>
      </c>
      <c r="AL238" s="170">
        <v>120.8</v>
      </c>
      <c r="AM238" s="59"/>
      <c r="AN238" s="59"/>
      <c r="AO238" s="97"/>
      <c r="AP238" s="97"/>
      <c r="AQ238" s="33"/>
      <c r="AR238" s="30"/>
      <c r="AS238" s="33"/>
    </row>
    <row r="239" spans="1:45" ht="18.649999999999999" customHeight="1">
      <c r="A239" s="48" t="s">
        <v>624</v>
      </c>
      <c r="B239" s="199" t="s">
        <v>625</v>
      </c>
      <c r="D239" s="48" t="s">
        <v>48</v>
      </c>
      <c r="E239" s="49" t="s">
        <v>171</v>
      </c>
      <c r="F239" s="49">
        <v>1000011836</v>
      </c>
      <c r="G239" s="107" t="s">
        <v>172</v>
      </c>
      <c r="H239" s="108">
        <v>200</v>
      </c>
      <c r="I239" s="108" t="s">
        <v>52</v>
      </c>
      <c r="J239" s="21" t="s">
        <v>705</v>
      </c>
      <c r="K239" s="21"/>
      <c r="L239" s="177">
        <v>46066</v>
      </c>
      <c r="M239" s="136" t="s">
        <v>706</v>
      </c>
      <c r="N239" s="5" t="s">
        <v>707</v>
      </c>
      <c r="O239" s="30" t="s">
        <v>176</v>
      </c>
      <c r="Q239" s="214" t="s">
        <v>708</v>
      </c>
      <c r="R239" s="48" t="s">
        <v>178</v>
      </c>
      <c r="S239" s="5" t="s">
        <v>709</v>
      </c>
      <c r="T239" s="24">
        <v>46104</v>
      </c>
      <c r="U239" s="137">
        <v>46089</v>
      </c>
      <c r="V239" s="137">
        <v>46104</v>
      </c>
      <c r="X239" s="5" t="s">
        <v>309</v>
      </c>
      <c r="Y239" s="5">
        <v>0.5</v>
      </c>
      <c r="AA239" s="128">
        <v>46093</v>
      </c>
      <c r="AB239" s="128">
        <v>46106</v>
      </c>
      <c r="AC239" s="106">
        <f t="shared" ref="AC239:AC250" si="2">AB239-V239</f>
        <v>2</v>
      </c>
      <c r="AD239" s="42" t="s">
        <v>72</v>
      </c>
      <c r="AE239" s="21"/>
      <c r="AF239" s="36">
        <v>46097</v>
      </c>
      <c r="AG239" s="36">
        <v>46092</v>
      </c>
      <c r="AH239" s="25">
        <v>46108</v>
      </c>
      <c r="AI239" s="27">
        <v>46111</v>
      </c>
      <c r="AJ239" s="27"/>
      <c r="AK239" s="44">
        <v>46106</v>
      </c>
      <c r="AL239" s="170">
        <v>31057.599999999999</v>
      </c>
      <c r="AM239" s="58"/>
      <c r="AN239" s="58"/>
      <c r="AR239" s="21"/>
    </row>
    <row r="240" spans="1:45" ht="26.15" customHeight="1">
      <c r="A240" s="48" t="s">
        <v>624</v>
      </c>
      <c r="B240" s="199" t="s">
        <v>625</v>
      </c>
      <c r="D240" s="48" t="s">
        <v>48</v>
      </c>
      <c r="E240" s="49" t="s">
        <v>171</v>
      </c>
      <c r="F240" s="49">
        <v>1000022205</v>
      </c>
      <c r="G240" s="107" t="s">
        <v>181</v>
      </c>
      <c r="H240" s="108">
        <v>300</v>
      </c>
      <c r="I240" s="108" t="s">
        <v>52</v>
      </c>
      <c r="J240" s="21" t="s">
        <v>705</v>
      </c>
      <c r="K240" s="21"/>
      <c r="L240" s="177">
        <v>46066</v>
      </c>
      <c r="M240" s="136" t="s">
        <v>706</v>
      </c>
      <c r="N240" s="5" t="s">
        <v>707</v>
      </c>
      <c r="O240" s="30" t="s">
        <v>176</v>
      </c>
      <c r="Q240" s="214" t="s">
        <v>708</v>
      </c>
      <c r="R240" s="48" t="s">
        <v>178</v>
      </c>
      <c r="S240" s="5" t="s">
        <v>709</v>
      </c>
      <c r="T240" s="24">
        <v>46104</v>
      </c>
      <c r="U240" s="137">
        <v>46089</v>
      </c>
      <c r="V240" s="137">
        <v>46104</v>
      </c>
      <c r="X240" s="5" t="s">
        <v>309</v>
      </c>
      <c r="Y240" s="5">
        <v>0.5</v>
      </c>
      <c r="AA240" s="128">
        <v>46093</v>
      </c>
      <c r="AB240" s="128">
        <v>46106</v>
      </c>
      <c r="AC240" s="106">
        <f t="shared" si="2"/>
        <v>2</v>
      </c>
      <c r="AD240" s="42" t="s">
        <v>72</v>
      </c>
      <c r="AE240" s="21"/>
      <c r="AF240" s="36">
        <v>46097</v>
      </c>
      <c r="AG240" s="36">
        <v>46092</v>
      </c>
      <c r="AH240" s="25">
        <v>46108</v>
      </c>
      <c r="AI240" s="27">
        <v>46111</v>
      </c>
      <c r="AJ240" s="27"/>
      <c r="AK240" s="44">
        <v>46106</v>
      </c>
      <c r="AL240" s="170">
        <v>49331.7</v>
      </c>
      <c r="AM240" s="58"/>
      <c r="AN240" s="58"/>
      <c r="AR240" s="21"/>
    </row>
    <row r="241" spans="1:45" ht="13" customHeight="1">
      <c r="A241" s="48" t="s">
        <v>624</v>
      </c>
      <c r="B241" s="199" t="s">
        <v>625</v>
      </c>
      <c r="D241" s="48" t="s">
        <v>48</v>
      </c>
      <c r="E241" s="49" t="s">
        <v>171</v>
      </c>
      <c r="F241" s="49">
        <v>1000036622</v>
      </c>
      <c r="G241" s="107" t="s">
        <v>182</v>
      </c>
      <c r="H241" s="108">
        <v>150</v>
      </c>
      <c r="I241" s="108" t="s">
        <v>52</v>
      </c>
      <c r="J241" s="21" t="s">
        <v>705</v>
      </c>
      <c r="K241" s="21"/>
      <c r="L241" s="177">
        <v>46066</v>
      </c>
      <c r="M241" s="136" t="s">
        <v>706</v>
      </c>
      <c r="N241" s="5" t="s">
        <v>707</v>
      </c>
      <c r="O241" s="30" t="s">
        <v>176</v>
      </c>
      <c r="Q241" s="214" t="s">
        <v>708</v>
      </c>
      <c r="R241" s="48" t="s">
        <v>178</v>
      </c>
      <c r="S241" s="5" t="s">
        <v>709</v>
      </c>
      <c r="T241" s="24">
        <v>46104</v>
      </c>
      <c r="U241" s="137">
        <v>46089</v>
      </c>
      <c r="V241" s="137">
        <v>46104</v>
      </c>
      <c r="X241" s="5" t="s">
        <v>309</v>
      </c>
      <c r="Y241" s="5">
        <v>0.5</v>
      </c>
      <c r="AA241" s="128">
        <v>46093</v>
      </c>
      <c r="AB241" s="128">
        <v>46106</v>
      </c>
      <c r="AC241" s="106">
        <f t="shared" si="2"/>
        <v>2</v>
      </c>
      <c r="AD241" s="42" t="s">
        <v>72</v>
      </c>
      <c r="AE241" s="21"/>
      <c r="AF241" s="36">
        <v>46097</v>
      </c>
      <c r="AG241" s="36">
        <v>46092</v>
      </c>
      <c r="AH241" s="25">
        <v>46108</v>
      </c>
      <c r="AI241" s="27">
        <v>46111</v>
      </c>
      <c r="AJ241" s="27"/>
      <c r="AK241" s="44">
        <v>46106</v>
      </c>
      <c r="AL241" s="170">
        <v>24366.9</v>
      </c>
      <c r="AM241" s="58"/>
      <c r="AN241" s="58"/>
      <c r="AR241" s="21"/>
    </row>
    <row r="242" spans="1:45" ht="18.649999999999999" customHeight="1">
      <c r="A242" s="73" t="s">
        <v>710</v>
      </c>
      <c r="B242" s="215" t="s">
        <v>625</v>
      </c>
      <c r="D242" s="48" t="s">
        <v>48</v>
      </c>
      <c r="E242" s="49" t="s">
        <v>171</v>
      </c>
      <c r="F242" s="49">
        <v>1000011836</v>
      </c>
      <c r="G242" s="107" t="s">
        <v>172</v>
      </c>
      <c r="H242" s="108">
        <v>180</v>
      </c>
      <c r="I242" s="108" t="s">
        <v>52</v>
      </c>
      <c r="J242" s="21" t="s">
        <v>711</v>
      </c>
      <c r="K242" s="21"/>
      <c r="L242" s="209">
        <v>46069</v>
      </c>
      <c r="M242" s="214" t="s">
        <v>712</v>
      </c>
      <c r="N242" s="5" t="s">
        <v>713</v>
      </c>
      <c r="O242" s="30" t="s">
        <v>176</v>
      </c>
      <c r="Q242" s="216" t="s">
        <v>714</v>
      </c>
      <c r="R242" s="48" t="s">
        <v>178</v>
      </c>
      <c r="S242" s="5" t="s">
        <v>308</v>
      </c>
      <c r="T242" s="24">
        <v>46118</v>
      </c>
      <c r="U242" s="137">
        <v>46103</v>
      </c>
      <c r="V242" s="137">
        <v>46118</v>
      </c>
      <c r="X242" s="30" t="s">
        <v>58</v>
      </c>
      <c r="Y242" s="5">
        <v>0.5</v>
      </c>
      <c r="Z242" s="33"/>
      <c r="AA242" s="128">
        <v>46109</v>
      </c>
      <c r="AB242" s="128">
        <v>46122</v>
      </c>
      <c r="AC242" s="106">
        <f t="shared" si="2"/>
        <v>4</v>
      </c>
      <c r="AD242" s="42" t="s">
        <v>72</v>
      </c>
      <c r="AE242" s="21"/>
      <c r="AF242" s="25">
        <v>46111</v>
      </c>
      <c r="AG242" s="25">
        <v>46113</v>
      </c>
      <c r="AH242" s="25">
        <v>46128</v>
      </c>
      <c r="AI242" s="27">
        <v>46132</v>
      </c>
      <c r="AJ242" s="27"/>
      <c r="AK242" s="178">
        <v>46127</v>
      </c>
      <c r="AL242" s="170">
        <v>27951.84</v>
      </c>
      <c r="AM242" s="58"/>
      <c r="AN242" s="58"/>
      <c r="AR242" s="21"/>
    </row>
    <row r="243" spans="1:45" ht="18.649999999999999" customHeight="1">
      <c r="A243" s="73" t="s">
        <v>710</v>
      </c>
      <c r="B243" s="199" t="s">
        <v>625</v>
      </c>
      <c r="D243" s="48" t="s">
        <v>48</v>
      </c>
      <c r="E243" s="49" t="s">
        <v>171</v>
      </c>
      <c r="F243" s="49">
        <v>1000022205</v>
      </c>
      <c r="G243" s="107" t="s">
        <v>181</v>
      </c>
      <c r="H243" s="108">
        <v>820</v>
      </c>
      <c r="I243" s="108" t="s">
        <v>52</v>
      </c>
      <c r="J243" s="21" t="s">
        <v>715</v>
      </c>
      <c r="K243" s="21"/>
      <c r="L243" s="209">
        <v>46069</v>
      </c>
      <c r="M243" s="214" t="s">
        <v>712</v>
      </c>
      <c r="N243" s="5" t="s">
        <v>713</v>
      </c>
      <c r="O243" s="30" t="s">
        <v>176</v>
      </c>
      <c r="Q243" s="216" t="s">
        <v>714</v>
      </c>
      <c r="R243" s="48" t="s">
        <v>178</v>
      </c>
      <c r="S243" s="5" t="s">
        <v>308</v>
      </c>
      <c r="T243" s="24">
        <v>46118</v>
      </c>
      <c r="U243" s="137">
        <v>46103</v>
      </c>
      <c r="V243" s="137">
        <v>46118</v>
      </c>
      <c r="X243" s="30" t="s">
        <v>58</v>
      </c>
      <c r="Y243" s="5">
        <v>0.5</v>
      </c>
      <c r="Z243" s="33"/>
      <c r="AA243" s="128">
        <v>46109</v>
      </c>
      <c r="AB243" s="128">
        <v>46122</v>
      </c>
      <c r="AC243" s="106">
        <f t="shared" si="2"/>
        <v>4</v>
      </c>
      <c r="AD243" s="42" t="s">
        <v>72</v>
      </c>
      <c r="AE243" s="21"/>
      <c r="AF243" s="25">
        <v>46111</v>
      </c>
      <c r="AG243" s="25">
        <v>46113</v>
      </c>
      <c r="AH243" s="25">
        <v>46128</v>
      </c>
      <c r="AI243" s="27">
        <v>46132</v>
      </c>
      <c r="AJ243" s="27"/>
      <c r="AK243" s="178">
        <v>46127</v>
      </c>
      <c r="AL243" s="170">
        <v>134675.54</v>
      </c>
      <c r="AM243" s="58"/>
      <c r="AN243" s="58"/>
      <c r="AR243" s="21"/>
    </row>
    <row r="244" spans="1:45" ht="18.649999999999999" customHeight="1">
      <c r="A244" s="73" t="s">
        <v>710</v>
      </c>
      <c r="B244" s="199" t="s">
        <v>625</v>
      </c>
      <c r="D244" s="48" t="s">
        <v>48</v>
      </c>
      <c r="E244" s="49" t="s">
        <v>171</v>
      </c>
      <c r="F244" s="49">
        <v>1000036622</v>
      </c>
      <c r="G244" s="107" t="s">
        <v>182</v>
      </c>
      <c r="H244" s="108">
        <v>430</v>
      </c>
      <c r="I244" s="108" t="s">
        <v>52</v>
      </c>
      <c r="J244" s="21" t="s">
        <v>715</v>
      </c>
      <c r="K244" s="21"/>
      <c r="L244" s="209">
        <v>46069</v>
      </c>
      <c r="M244" s="214" t="s">
        <v>712</v>
      </c>
      <c r="N244" s="5" t="s">
        <v>713</v>
      </c>
      <c r="O244" s="30" t="s">
        <v>176</v>
      </c>
      <c r="Q244" s="216" t="s">
        <v>714</v>
      </c>
      <c r="R244" s="48" t="s">
        <v>178</v>
      </c>
      <c r="S244" s="5" t="s">
        <v>308</v>
      </c>
      <c r="T244" s="24">
        <v>46118</v>
      </c>
      <c r="U244" s="137">
        <v>46103</v>
      </c>
      <c r="V244" s="137">
        <v>46118</v>
      </c>
      <c r="X244" s="30" t="s">
        <v>58</v>
      </c>
      <c r="Y244" s="5">
        <v>0.5</v>
      </c>
      <c r="Z244" s="33"/>
      <c r="AA244" s="128">
        <v>46109</v>
      </c>
      <c r="AB244" s="128">
        <v>46122</v>
      </c>
      <c r="AC244" s="106">
        <f t="shared" si="2"/>
        <v>4</v>
      </c>
      <c r="AD244" s="42" t="s">
        <v>72</v>
      </c>
      <c r="AE244" s="21"/>
      <c r="AF244" s="25">
        <v>46111</v>
      </c>
      <c r="AG244" s="25">
        <v>46113</v>
      </c>
      <c r="AH244" s="25">
        <v>46128</v>
      </c>
      <c r="AI244" s="27">
        <v>46132</v>
      </c>
      <c r="AJ244" s="27"/>
      <c r="AK244" s="178">
        <v>46127</v>
      </c>
      <c r="AL244" s="170">
        <v>69689.33</v>
      </c>
      <c r="AM244" s="58"/>
      <c r="AN244" s="58"/>
      <c r="AR244" s="21"/>
    </row>
    <row r="245" spans="1:45" ht="18.649999999999999" customHeight="1">
      <c r="A245" s="73" t="s">
        <v>710</v>
      </c>
      <c r="B245" s="60" t="s">
        <v>625</v>
      </c>
      <c r="D245" s="48" t="s">
        <v>48</v>
      </c>
      <c r="E245" s="49" t="s">
        <v>171</v>
      </c>
      <c r="F245" s="49">
        <v>1000011836</v>
      </c>
      <c r="G245" s="107" t="s">
        <v>172</v>
      </c>
      <c r="H245" s="108">
        <v>150</v>
      </c>
      <c r="I245" s="108" t="s">
        <v>52</v>
      </c>
      <c r="J245" s="21" t="s">
        <v>716</v>
      </c>
      <c r="L245" s="177">
        <v>46106</v>
      </c>
      <c r="M245" s="214" t="s">
        <v>717</v>
      </c>
      <c r="N245" s="5" t="s">
        <v>718</v>
      </c>
      <c r="O245" s="30" t="s">
        <v>176</v>
      </c>
      <c r="Q245" s="217" t="s">
        <v>719</v>
      </c>
      <c r="R245" s="48" t="s">
        <v>178</v>
      </c>
      <c r="S245" s="5" t="s">
        <v>471</v>
      </c>
      <c r="T245" s="24">
        <v>46132</v>
      </c>
      <c r="U245" s="137">
        <v>46117</v>
      </c>
      <c r="V245" s="137">
        <v>46132</v>
      </c>
      <c r="X245" s="30" t="s">
        <v>58</v>
      </c>
      <c r="Y245" s="5">
        <v>0.5</v>
      </c>
      <c r="Z245" s="33"/>
      <c r="AA245" s="24">
        <v>46127</v>
      </c>
      <c r="AB245" s="218">
        <v>46139</v>
      </c>
      <c r="AC245" s="106">
        <f t="shared" si="2"/>
        <v>7</v>
      </c>
      <c r="AD245" s="42" t="s">
        <v>72</v>
      </c>
      <c r="AF245" s="25">
        <v>46129</v>
      </c>
      <c r="AG245" s="25">
        <v>46127</v>
      </c>
      <c r="AH245" s="25">
        <v>46141</v>
      </c>
      <c r="AI245" s="27">
        <v>46148</v>
      </c>
      <c r="AJ245" s="27"/>
      <c r="AK245" s="178">
        <v>46137</v>
      </c>
      <c r="AL245" s="170">
        <v>23525.25</v>
      </c>
      <c r="AM245" s="58"/>
      <c r="AN245" s="58"/>
      <c r="AR245" s="21"/>
    </row>
    <row r="246" spans="1:45" ht="18.649999999999999" customHeight="1">
      <c r="A246" s="73" t="s">
        <v>710</v>
      </c>
      <c r="B246" s="60" t="s">
        <v>625</v>
      </c>
      <c r="D246" s="48" t="s">
        <v>48</v>
      </c>
      <c r="E246" s="49" t="s">
        <v>171</v>
      </c>
      <c r="F246" s="49">
        <v>1000022205</v>
      </c>
      <c r="G246" s="107" t="s">
        <v>181</v>
      </c>
      <c r="H246" s="108">
        <v>580</v>
      </c>
      <c r="I246" s="108" t="s">
        <v>52</v>
      </c>
      <c r="J246" s="21" t="s">
        <v>720</v>
      </c>
      <c r="L246" s="177">
        <v>46106</v>
      </c>
      <c r="M246" s="214" t="s">
        <v>717</v>
      </c>
      <c r="N246" s="5" t="s">
        <v>718</v>
      </c>
      <c r="O246" s="30" t="s">
        <v>176</v>
      </c>
      <c r="Q246" s="217" t="s">
        <v>719</v>
      </c>
      <c r="R246" s="48" t="s">
        <v>178</v>
      </c>
      <c r="S246" s="5" t="s">
        <v>471</v>
      </c>
      <c r="T246" s="24">
        <v>46132</v>
      </c>
      <c r="U246" s="137">
        <v>46117</v>
      </c>
      <c r="V246" s="137">
        <v>46132</v>
      </c>
      <c r="X246" s="30" t="s">
        <v>58</v>
      </c>
      <c r="Y246" s="5">
        <v>0.5</v>
      </c>
      <c r="Z246" s="33"/>
      <c r="AA246" s="24">
        <v>46127</v>
      </c>
      <c r="AB246" s="218">
        <v>46139</v>
      </c>
      <c r="AC246" s="106">
        <f t="shared" si="2"/>
        <v>7</v>
      </c>
      <c r="AD246" s="42" t="s">
        <v>72</v>
      </c>
      <c r="AF246" s="25">
        <v>46129</v>
      </c>
      <c r="AG246" s="25">
        <v>46127</v>
      </c>
      <c r="AH246" s="25">
        <v>46141</v>
      </c>
      <c r="AI246" s="27">
        <v>46148</v>
      </c>
      <c r="AJ246" s="27"/>
      <c r="AK246" s="178">
        <v>46137</v>
      </c>
      <c r="AL246" s="170">
        <v>87729.84</v>
      </c>
      <c r="AM246" s="58"/>
      <c r="AN246" s="58"/>
      <c r="AR246" s="21"/>
    </row>
    <row r="247" spans="1:45" ht="18.649999999999999" customHeight="1">
      <c r="A247" s="73" t="s">
        <v>710</v>
      </c>
      <c r="B247" s="60" t="s">
        <v>625</v>
      </c>
      <c r="D247" s="48" t="s">
        <v>48</v>
      </c>
      <c r="E247" s="49" t="s">
        <v>171</v>
      </c>
      <c r="F247" s="49">
        <v>1000036622</v>
      </c>
      <c r="G247" s="107" t="s">
        <v>182</v>
      </c>
      <c r="H247" s="108">
        <v>700</v>
      </c>
      <c r="I247" s="108" t="s">
        <v>52</v>
      </c>
      <c r="J247" s="21" t="s">
        <v>720</v>
      </c>
      <c r="L247" s="177">
        <v>46106</v>
      </c>
      <c r="M247" s="214" t="s">
        <v>717</v>
      </c>
      <c r="N247" s="5" t="s">
        <v>718</v>
      </c>
      <c r="O247" s="30" t="s">
        <v>176</v>
      </c>
      <c r="Q247" s="217" t="s">
        <v>719</v>
      </c>
      <c r="R247" s="48" t="s">
        <v>178</v>
      </c>
      <c r="S247" s="5" t="s">
        <v>471</v>
      </c>
      <c r="T247" s="24">
        <v>46132</v>
      </c>
      <c r="U247" s="137">
        <v>46117</v>
      </c>
      <c r="V247" s="137">
        <v>46132</v>
      </c>
      <c r="X247" s="30" t="s">
        <v>58</v>
      </c>
      <c r="Y247" s="5">
        <v>0.5</v>
      </c>
      <c r="Z247" s="33"/>
      <c r="AA247" s="24">
        <v>46127</v>
      </c>
      <c r="AB247" s="218">
        <v>46139</v>
      </c>
      <c r="AC247" s="106">
        <f t="shared" si="2"/>
        <v>7</v>
      </c>
      <c r="AD247" s="42" t="s">
        <v>72</v>
      </c>
      <c r="AF247" s="25">
        <v>46129</v>
      </c>
      <c r="AG247" s="25">
        <v>46127</v>
      </c>
      <c r="AH247" s="25">
        <v>46141</v>
      </c>
      <c r="AI247" s="27">
        <v>46148</v>
      </c>
      <c r="AJ247" s="27"/>
      <c r="AK247" s="178">
        <v>46137</v>
      </c>
      <c r="AL247" s="170">
        <v>113913.85</v>
      </c>
      <c r="AM247" s="58"/>
      <c r="AN247" s="58"/>
      <c r="AR247" s="21"/>
    </row>
    <row r="248" spans="1:45" ht="18.649999999999999" customHeight="1">
      <c r="A248" s="73" t="s">
        <v>710</v>
      </c>
      <c r="B248" s="60" t="s">
        <v>625</v>
      </c>
      <c r="D248" s="48" t="s">
        <v>48</v>
      </c>
      <c r="E248" s="49" t="s">
        <v>171</v>
      </c>
      <c r="F248" s="49">
        <v>1000011836</v>
      </c>
      <c r="G248" s="107" t="s">
        <v>172</v>
      </c>
      <c r="H248" s="108">
        <v>150</v>
      </c>
      <c r="I248" s="108" t="s">
        <v>52</v>
      </c>
      <c r="J248" s="21" t="s">
        <v>721</v>
      </c>
      <c r="L248" s="177">
        <v>46106</v>
      </c>
      <c r="M248" s="214" t="s">
        <v>722</v>
      </c>
      <c r="N248" s="5" t="s">
        <v>723</v>
      </c>
      <c r="O248" s="30" t="s">
        <v>176</v>
      </c>
      <c r="Q248" s="217" t="s">
        <v>724</v>
      </c>
      <c r="R248" s="48" t="s">
        <v>178</v>
      </c>
      <c r="S248" s="5" t="s">
        <v>463</v>
      </c>
      <c r="T248" s="24">
        <v>46139</v>
      </c>
      <c r="U248" s="137">
        <v>46124</v>
      </c>
      <c r="V248" s="137">
        <v>46139</v>
      </c>
      <c r="X248" s="5" t="s">
        <v>309</v>
      </c>
      <c r="Y248" s="5">
        <v>0.5</v>
      </c>
      <c r="AA248" s="128">
        <v>46127</v>
      </c>
      <c r="AB248" s="219">
        <v>46139</v>
      </c>
      <c r="AC248" s="106">
        <f t="shared" si="2"/>
        <v>0</v>
      </c>
      <c r="AD248" s="42" t="s">
        <v>72</v>
      </c>
      <c r="AF248" s="25">
        <v>46129</v>
      </c>
      <c r="AG248" s="25">
        <v>46127</v>
      </c>
      <c r="AH248" s="25">
        <v>46141</v>
      </c>
      <c r="AI248" s="27">
        <v>46148</v>
      </c>
      <c r="AJ248" s="27"/>
      <c r="AK248" s="178">
        <v>46137</v>
      </c>
      <c r="AL248" s="170">
        <v>23525.25</v>
      </c>
      <c r="AM248" s="58"/>
      <c r="AN248" s="58"/>
      <c r="AR248" s="21"/>
    </row>
    <row r="249" spans="1:45" ht="18.649999999999999" customHeight="1">
      <c r="A249" s="73" t="s">
        <v>710</v>
      </c>
      <c r="B249" s="60" t="s">
        <v>625</v>
      </c>
      <c r="D249" s="48" t="s">
        <v>48</v>
      </c>
      <c r="E249" s="49" t="s">
        <v>171</v>
      </c>
      <c r="F249" s="49">
        <v>1000022205</v>
      </c>
      <c r="G249" s="107" t="s">
        <v>181</v>
      </c>
      <c r="H249" s="108">
        <v>280</v>
      </c>
      <c r="I249" s="108" t="s">
        <v>52</v>
      </c>
      <c r="J249" s="21" t="s">
        <v>725</v>
      </c>
      <c r="L249" s="177">
        <v>46106</v>
      </c>
      <c r="M249" s="214" t="s">
        <v>722</v>
      </c>
      <c r="N249" s="5" t="s">
        <v>723</v>
      </c>
      <c r="O249" s="30" t="s">
        <v>176</v>
      </c>
      <c r="Q249" s="217" t="s">
        <v>724</v>
      </c>
      <c r="R249" s="48" t="s">
        <v>178</v>
      </c>
      <c r="S249" s="5" t="s">
        <v>463</v>
      </c>
      <c r="T249" s="24">
        <v>46139</v>
      </c>
      <c r="U249" s="137">
        <v>46124</v>
      </c>
      <c r="V249" s="137">
        <v>46139</v>
      </c>
      <c r="X249" s="5" t="s">
        <v>309</v>
      </c>
      <c r="Y249" s="5">
        <v>0.5</v>
      </c>
      <c r="AA249" s="128">
        <v>46127</v>
      </c>
      <c r="AB249" s="219">
        <v>46139</v>
      </c>
      <c r="AC249" s="106">
        <f t="shared" si="2"/>
        <v>0</v>
      </c>
      <c r="AD249" s="42" t="s">
        <v>72</v>
      </c>
      <c r="AF249" s="25">
        <v>46129</v>
      </c>
      <c r="AG249" s="25">
        <v>46127</v>
      </c>
      <c r="AH249" s="25">
        <v>46141</v>
      </c>
      <c r="AI249" s="27">
        <v>46148</v>
      </c>
      <c r="AJ249" s="27"/>
      <c r="AK249" s="178">
        <v>46137</v>
      </c>
      <c r="AL249" s="170">
        <v>46523.4</v>
      </c>
      <c r="AM249" s="58"/>
      <c r="AN249" s="58"/>
      <c r="AR249" s="21"/>
    </row>
    <row r="250" spans="1:45" ht="18.649999999999999" customHeight="1">
      <c r="A250" s="73" t="s">
        <v>710</v>
      </c>
      <c r="B250" s="60" t="s">
        <v>625</v>
      </c>
      <c r="D250" s="48" t="s">
        <v>48</v>
      </c>
      <c r="E250" s="49" t="s">
        <v>171</v>
      </c>
      <c r="F250" s="49">
        <v>1000036622</v>
      </c>
      <c r="G250" s="107" t="s">
        <v>182</v>
      </c>
      <c r="H250" s="108">
        <v>220</v>
      </c>
      <c r="I250" s="108" t="s">
        <v>52</v>
      </c>
      <c r="J250" s="21" t="s">
        <v>725</v>
      </c>
      <c r="L250" s="177">
        <v>46106</v>
      </c>
      <c r="M250" s="214" t="s">
        <v>722</v>
      </c>
      <c r="N250" s="5" t="s">
        <v>723</v>
      </c>
      <c r="O250" s="30" t="s">
        <v>176</v>
      </c>
      <c r="Q250" s="217" t="s">
        <v>724</v>
      </c>
      <c r="R250" s="48" t="s">
        <v>178</v>
      </c>
      <c r="S250" s="5" t="s">
        <v>463</v>
      </c>
      <c r="T250" s="24">
        <v>46139</v>
      </c>
      <c r="U250" s="137">
        <v>46124</v>
      </c>
      <c r="V250" s="137">
        <v>46139</v>
      </c>
      <c r="X250" s="5" t="s">
        <v>309</v>
      </c>
      <c r="Y250" s="5">
        <v>0.5</v>
      </c>
      <c r="AA250" s="128">
        <v>46127</v>
      </c>
      <c r="AB250" s="219">
        <v>46139</v>
      </c>
      <c r="AC250" s="106">
        <f t="shared" si="2"/>
        <v>0</v>
      </c>
      <c r="AD250" s="42" t="s">
        <v>72</v>
      </c>
      <c r="AF250" s="25">
        <v>46129</v>
      </c>
      <c r="AG250" s="25">
        <v>46127</v>
      </c>
      <c r="AH250" s="25">
        <v>46141</v>
      </c>
      <c r="AI250" s="27">
        <v>46148</v>
      </c>
      <c r="AJ250" s="27"/>
      <c r="AK250" s="178">
        <v>46137</v>
      </c>
      <c r="AL250" s="170">
        <v>36111.019999999997</v>
      </c>
      <c r="AM250" s="58"/>
      <c r="AN250" s="58"/>
      <c r="AR250" s="21"/>
    </row>
    <row r="251" spans="1:45" ht="18.649999999999999" customHeight="1">
      <c r="A251" s="201" t="s">
        <v>633</v>
      </c>
      <c r="B251" s="199" t="s">
        <v>625</v>
      </c>
      <c r="D251" s="20" t="s">
        <v>48</v>
      </c>
      <c r="E251" s="31" t="s">
        <v>262</v>
      </c>
      <c r="F251" s="31">
        <v>1000013590</v>
      </c>
      <c r="G251" s="32" t="s">
        <v>263</v>
      </c>
      <c r="H251" s="30">
        <v>3021</v>
      </c>
      <c r="I251" s="61" t="s">
        <v>52</v>
      </c>
      <c r="K251" s="21" t="s">
        <v>53</v>
      </c>
      <c r="M251" s="136" t="s">
        <v>726</v>
      </c>
      <c r="N251" s="5">
        <v>90477073</v>
      </c>
      <c r="O251" s="30" t="s">
        <v>68</v>
      </c>
      <c r="Q251" s="20" t="s">
        <v>727</v>
      </c>
      <c r="R251" s="21" t="s">
        <v>728</v>
      </c>
      <c r="S251" s="5" t="s">
        <v>729</v>
      </c>
      <c r="T251" s="24">
        <v>46082</v>
      </c>
      <c r="U251" s="137">
        <v>46081</v>
      </c>
      <c r="V251" s="137">
        <v>46086</v>
      </c>
      <c r="X251" s="5" t="s">
        <v>309</v>
      </c>
      <c r="Y251" s="5">
        <v>3</v>
      </c>
      <c r="AA251" s="24">
        <v>46080</v>
      </c>
      <c r="AB251" s="24">
        <v>46085</v>
      </c>
      <c r="AD251" s="42" t="s">
        <v>59</v>
      </c>
      <c r="AE251" s="21"/>
      <c r="AF251" s="25">
        <v>46090</v>
      </c>
      <c r="AG251" s="25">
        <v>46091</v>
      </c>
      <c r="AH251" s="25">
        <v>46094</v>
      </c>
      <c r="AI251" s="27">
        <v>46098</v>
      </c>
      <c r="AJ251" s="27"/>
      <c r="AK251" s="178">
        <v>46096</v>
      </c>
      <c r="AL251" s="184">
        <v>62232.6</v>
      </c>
      <c r="AM251" s="58"/>
      <c r="AN251" s="58"/>
      <c r="AO251" s="58"/>
      <c r="AP251" s="58"/>
      <c r="AR251" s="21"/>
    </row>
    <row r="252" spans="1:45" ht="18.649999999999999" customHeight="1">
      <c r="A252" s="20" t="s">
        <v>730</v>
      </c>
      <c r="B252" s="220" t="s">
        <v>731</v>
      </c>
      <c r="D252" s="48" t="s">
        <v>48</v>
      </c>
      <c r="E252" s="49" t="s">
        <v>418</v>
      </c>
      <c r="F252" s="49">
        <v>1000039673</v>
      </c>
      <c r="G252" s="107" t="s">
        <v>419</v>
      </c>
      <c r="H252" s="108" t="s">
        <v>732</v>
      </c>
      <c r="I252" s="108" t="s">
        <v>52</v>
      </c>
      <c r="J252" s="21" t="s">
        <v>53</v>
      </c>
      <c r="K252" s="21" t="s">
        <v>53</v>
      </c>
      <c r="M252" s="221" t="s">
        <v>733</v>
      </c>
      <c r="N252" s="5" t="s">
        <v>734</v>
      </c>
      <c r="O252" s="30" t="s">
        <v>68</v>
      </c>
      <c r="Q252" s="20" t="s">
        <v>735</v>
      </c>
      <c r="R252" s="30" t="s">
        <v>423</v>
      </c>
      <c r="S252" s="5" t="s">
        <v>736</v>
      </c>
      <c r="T252" s="24">
        <v>46113</v>
      </c>
      <c r="U252" s="137">
        <v>46103</v>
      </c>
      <c r="V252" s="137">
        <v>46118</v>
      </c>
      <c r="X252" s="5" t="s">
        <v>309</v>
      </c>
      <c r="Y252" s="5">
        <v>0.5</v>
      </c>
      <c r="AA252" s="24">
        <v>46104</v>
      </c>
      <c r="AB252" s="24">
        <v>46130</v>
      </c>
      <c r="AD252" s="42" t="s">
        <v>59</v>
      </c>
      <c r="AE252" s="21"/>
      <c r="AF252" s="24">
        <v>46128</v>
      </c>
      <c r="AG252" s="24">
        <v>46121</v>
      </c>
      <c r="AH252" s="24">
        <v>46134</v>
      </c>
      <c r="AI252" s="27">
        <v>46134</v>
      </c>
      <c r="AJ252" s="27"/>
      <c r="AK252" s="178">
        <v>46127</v>
      </c>
      <c r="AL252" s="179">
        <v>16255.772000000001</v>
      </c>
      <c r="AM252" s="58"/>
      <c r="AN252" s="58"/>
      <c r="AR252" s="21"/>
    </row>
    <row r="253" spans="1:45" ht="18.649999999999999" customHeight="1">
      <c r="A253" s="20" t="s">
        <v>730</v>
      </c>
      <c r="B253" s="222" t="s">
        <v>731</v>
      </c>
      <c r="D253" s="48" t="s">
        <v>48</v>
      </c>
      <c r="E253" s="49" t="s">
        <v>418</v>
      </c>
      <c r="F253" s="49">
        <v>1000035381</v>
      </c>
      <c r="G253" s="107" t="s">
        <v>500</v>
      </c>
      <c r="H253" s="108" t="s">
        <v>737</v>
      </c>
      <c r="I253" s="108" t="s">
        <v>85</v>
      </c>
      <c r="J253" s="21" t="s">
        <v>53</v>
      </c>
      <c r="K253" s="21" t="s">
        <v>53</v>
      </c>
      <c r="M253" s="214" t="s">
        <v>738</v>
      </c>
      <c r="N253" s="5" t="s">
        <v>739</v>
      </c>
      <c r="O253" s="30" t="s">
        <v>68</v>
      </c>
      <c r="Q253" s="20" t="s">
        <v>735</v>
      </c>
      <c r="R253" s="30" t="s">
        <v>423</v>
      </c>
      <c r="S253" s="5" t="s">
        <v>736</v>
      </c>
      <c r="T253" s="24">
        <v>46113</v>
      </c>
      <c r="U253" s="137">
        <v>46103</v>
      </c>
      <c r="V253" s="137">
        <v>46118</v>
      </c>
      <c r="X253" s="5" t="s">
        <v>309</v>
      </c>
      <c r="Y253" s="5">
        <v>0.5</v>
      </c>
      <c r="AA253" s="24">
        <v>46104</v>
      </c>
      <c r="AB253" s="24">
        <v>46130</v>
      </c>
      <c r="AD253" s="42" t="s">
        <v>59</v>
      </c>
      <c r="AE253" s="21"/>
      <c r="AF253" s="24">
        <v>46128</v>
      </c>
      <c r="AG253" s="24">
        <v>46121</v>
      </c>
      <c r="AH253" s="24">
        <v>46134</v>
      </c>
      <c r="AI253" s="27">
        <v>46134</v>
      </c>
      <c r="AJ253" s="27"/>
      <c r="AK253" s="178">
        <v>46127</v>
      </c>
      <c r="AL253" s="179">
        <v>9824.44</v>
      </c>
      <c r="AM253" s="58"/>
      <c r="AN253" s="58"/>
      <c r="AR253" s="21"/>
    </row>
    <row r="254" spans="1:45" ht="18.649999999999999" customHeight="1">
      <c r="A254" s="20" t="s">
        <v>740</v>
      </c>
      <c r="B254" s="222" t="s">
        <v>741</v>
      </c>
      <c r="D254" s="48" t="s">
        <v>48</v>
      </c>
      <c r="E254" s="49" t="s">
        <v>63</v>
      </c>
      <c r="F254" s="49">
        <v>1000038424</v>
      </c>
      <c r="G254" s="61" t="s">
        <v>64</v>
      </c>
      <c r="H254" s="30">
        <v>7035</v>
      </c>
      <c r="I254" s="61" t="s">
        <v>65</v>
      </c>
      <c r="K254" s="21" t="s">
        <v>53</v>
      </c>
      <c r="M254" s="136" t="s">
        <v>742</v>
      </c>
      <c r="N254" s="20" t="s">
        <v>743</v>
      </c>
      <c r="O254" s="30" t="s">
        <v>68</v>
      </c>
      <c r="Q254" s="20">
        <v>7267274570</v>
      </c>
      <c r="R254" s="222" t="s">
        <v>56</v>
      </c>
      <c r="S254" s="222" t="s">
        <v>744</v>
      </c>
      <c r="T254" s="24">
        <v>46113</v>
      </c>
      <c r="U254" s="223">
        <v>46097</v>
      </c>
      <c r="V254" s="223">
        <v>46110</v>
      </c>
      <c r="X254" s="5" t="s">
        <v>58</v>
      </c>
      <c r="Y254" s="5">
        <v>5</v>
      </c>
      <c r="AA254" s="224">
        <v>46100</v>
      </c>
      <c r="AB254" s="224">
        <v>46113</v>
      </c>
      <c r="AD254" s="42" t="s">
        <v>72</v>
      </c>
      <c r="AE254" s="21"/>
      <c r="AF254" s="25">
        <v>46104</v>
      </c>
      <c r="AG254" s="25">
        <v>46101</v>
      </c>
      <c r="AH254" s="25">
        <v>46115</v>
      </c>
      <c r="AI254" s="27">
        <v>46120</v>
      </c>
      <c r="AJ254" s="27"/>
      <c r="AK254" s="178">
        <v>46106</v>
      </c>
      <c r="AL254" s="184">
        <v>131906.25</v>
      </c>
      <c r="AM254" s="58"/>
      <c r="AN254" s="58"/>
      <c r="AR254" s="21">
        <v>4</v>
      </c>
      <c r="AS254" s="225" t="s">
        <v>486</v>
      </c>
    </row>
    <row r="255" spans="1:45" ht="32.15" customHeight="1">
      <c r="A255" s="201" t="s">
        <v>633</v>
      </c>
      <c r="B255" s="199" t="s">
        <v>625</v>
      </c>
      <c r="D255" s="20" t="s">
        <v>48</v>
      </c>
      <c r="E255" s="23" t="s">
        <v>116</v>
      </c>
      <c r="F255" s="23">
        <v>2000011048</v>
      </c>
      <c r="G255" s="21" t="s">
        <v>117</v>
      </c>
      <c r="H255" s="30">
        <v>126</v>
      </c>
      <c r="I255" s="108" t="s">
        <v>85</v>
      </c>
      <c r="J255" s="21" t="s">
        <v>53</v>
      </c>
      <c r="K255" s="21" t="s">
        <v>53</v>
      </c>
      <c r="M255" s="226" t="s">
        <v>745</v>
      </c>
      <c r="N255" s="21" t="s">
        <v>746</v>
      </c>
      <c r="O255" s="21" t="s">
        <v>120</v>
      </c>
      <c r="Q255" s="20" t="s">
        <v>747</v>
      </c>
      <c r="R255" s="30" t="s">
        <v>122</v>
      </c>
      <c r="S255" s="30" t="s">
        <v>122</v>
      </c>
      <c r="T255" s="24">
        <v>46082</v>
      </c>
      <c r="U255" s="137">
        <v>46093</v>
      </c>
      <c r="V255" s="137">
        <v>46096</v>
      </c>
      <c r="X255" s="5" t="s">
        <v>123</v>
      </c>
      <c r="Y255" s="5">
        <v>0.5</v>
      </c>
      <c r="AA255" s="24">
        <v>46093</v>
      </c>
      <c r="AB255" s="24">
        <v>46096</v>
      </c>
      <c r="AD255" s="90" t="s">
        <v>122</v>
      </c>
      <c r="AE255" s="21"/>
      <c r="AF255" s="25">
        <v>46093</v>
      </c>
      <c r="AG255" s="25">
        <v>46093</v>
      </c>
      <c r="AH255" s="25">
        <v>46096</v>
      </c>
      <c r="AI255" s="27">
        <v>46097</v>
      </c>
      <c r="AJ255" s="27"/>
      <c r="AK255" s="178">
        <v>46106</v>
      </c>
      <c r="AL255" s="227">
        <v>3231.9</v>
      </c>
      <c r="AM255" s="58"/>
      <c r="AN255" s="58"/>
      <c r="AR255" s="21"/>
    </row>
    <row r="256" spans="1:45" ht="18.649999999999999" customHeight="1">
      <c r="A256" s="201" t="s">
        <v>633</v>
      </c>
      <c r="B256" s="199" t="s">
        <v>625</v>
      </c>
      <c r="D256" s="20" t="s">
        <v>48</v>
      </c>
      <c r="E256" s="23" t="s">
        <v>116</v>
      </c>
      <c r="F256" s="23">
        <v>2000006598</v>
      </c>
      <c r="G256" s="21" t="s">
        <v>126</v>
      </c>
      <c r="H256" s="30">
        <v>240</v>
      </c>
      <c r="I256" s="108" t="s">
        <v>85</v>
      </c>
      <c r="K256" s="21"/>
      <c r="M256" s="226" t="s">
        <v>748</v>
      </c>
      <c r="N256" s="21" t="s">
        <v>746</v>
      </c>
      <c r="O256" s="21" t="s">
        <v>120</v>
      </c>
      <c r="Q256" s="20" t="s">
        <v>747</v>
      </c>
      <c r="R256" s="30" t="s">
        <v>122</v>
      </c>
      <c r="S256" s="30" t="s">
        <v>122</v>
      </c>
      <c r="T256" s="24">
        <v>46082</v>
      </c>
      <c r="U256" s="137">
        <v>46093</v>
      </c>
      <c r="V256" s="137">
        <v>46096</v>
      </c>
      <c r="X256" s="5" t="s">
        <v>123</v>
      </c>
      <c r="Y256" s="5">
        <v>0.5</v>
      </c>
      <c r="AA256" s="24">
        <v>46093</v>
      </c>
      <c r="AB256" s="24">
        <v>46096</v>
      </c>
      <c r="AD256" s="90" t="s">
        <v>122</v>
      </c>
      <c r="AE256" s="21"/>
      <c r="AF256" s="25">
        <v>46093</v>
      </c>
      <c r="AG256" s="25">
        <v>46093</v>
      </c>
      <c r="AH256" s="25">
        <v>46096</v>
      </c>
      <c r="AI256" s="27">
        <v>46097</v>
      </c>
      <c r="AJ256" s="27"/>
      <c r="AK256" s="178">
        <v>46106</v>
      </c>
      <c r="AL256" s="227">
        <v>7572</v>
      </c>
      <c r="AM256" s="58"/>
      <c r="AN256" s="58"/>
      <c r="AR256" s="21"/>
    </row>
    <row r="257" spans="1:45" ht="18.649999999999999" customHeight="1">
      <c r="A257" s="201" t="s">
        <v>633</v>
      </c>
      <c r="B257" s="199" t="s">
        <v>625</v>
      </c>
      <c r="D257" s="20" t="s">
        <v>48</v>
      </c>
      <c r="E257" s="23" t="s">
        <v>116</v>
      </c>
      <c r="F257" s="23">
        <v>2000021255</v>
      </c>
      <c r="G257" s="21" t="s">
        <v>558</v>
      </c>
      <c r="H257" s="30">
        <v>48</v>
      </c>
      <c r="I257" s="108" t="s">
        <v>85</v>
      </c>
      <c r="K257" s="21"/>
      <c r="M257" s="226" t="s">
        <v>748</v>
      </c>
      <c r="N257" s="21" t="s">
        <v>746</v>
      </c>
      <c r="O257" s="21" t="s">
        <v>120</v>
      </c>
      <c r="Q257" s="20" t="s">
        <v>747</v>
      </c>
      <c r="R257" s="30" t="s">
        <v>122</v>
      </c>
      <c r="S257" s="30" t="s">
        <v>122</v>
      </c>
      <c r="T257" s="24">
        <v>46082</v>
      </c>
      <c r="U257" s="137">
        <v>46093</v>
      </c>
      <c r="V257" s="137">
        <v>46096</v>
      </c>
      <c r="X257" s="5" t="s">
        <v>123</v>
      </c>
      <c r="Y257" s="5">
        <v>0.5</v>
      </c>
      <c r="AA257" s="24">
        <v>46093</v>
      </c>
      <c r="AB257" s="24">
        <v>46096</v>
      </c>
      <c r="AD257" s="90" t="s">
        <v>122</v>
      </c>
      <c r="AE257" s="21"/>
      <c r="AF257" s="25">
        <v>46093</v>
      </c>
      <c r="AG257" s="25">
        <v>46093</v>
      </c>
      <c r="AH257" s="25">
        <v>46096</v>
      </c>
      <c r="AI257" s="27">
        <v>46097</v>
      </c>
      <c r="AJ257" s="27"/>
      <c r="AK257" s="178">
        <v>46106</v>
      </c>
      <c r="AL257" s="227">
        <v>1689.6</v>
      </c>
      <c r="AM257" s="58"/>
      <c r="AN257" s="58"/>
      <c r="AR257" s="21"/>
    </row>
    <row r="258" spans="1:45" ht="18.649999999999999" customHeight="1">
      <c r="A258" s="201" t="s">
        <v>633</v>
      </c>
      <c r="B258" s="199" t="s">
        <v>625</v>
      </c>
      <c r="D258" s="20" t="s">
        <v>48</v>
      </c>
      <c r="E258" s="23" t="s">
        <v>116</v>
      </c>
      <c r="F258" s="23">
        <v>2000003583</v>
      </c>
      <c r="G258" s="21" t="s">
        <v>131</v>
      </c>
      <c r="H258" s="30">
        <v>24</v>
      </c>
      <c r="I258" s="108" t="s">
        <v>85</v>
      </c>
      <c r="K258" s="21"/>
      <c r="M258" s="226" t="s">
        <v>748</v>
      </c>
      <c r="N258" s="21" t="s">
        <v>746</v>
      </c>
      <c r="O258" s="21" t="s">
        <v>120</v>
      </c>
      <c r="Q258" s="20" t="s">
        <v>747</v>
      </c>
      <c r="R258" s="30" t="s">
        <v>122</v>
      </c>
      <c r="S258" s="30" t="s">
        <v>122</v>
      </c>
      <c r="T258" s="24">
        <v>46082</v>
      </c>
      <c r="U258" s="137">
        <v>46093</v>
      </c>
      <c r="V258" s="137">
        <v>46096</v>
      </c>
      <c r="X258" s="5" t="s">
        <v>123</v>
      </c>
      <c r="Y258" s="5">
        <v>0.5</v>
      </c>
      <c r="AA258" s="24">
        <v>46093</v>
      </c>
      <c r="AB258" s="24">
        <v>46096</v>
      </c>
      <c r="AD258" s="90" t="s">
        <v>122</v>
      </c>
      <c r="AE258" s="21"/>
      <c r="AF258" s="25">
        <v>46093</v>
      </c>
      <c r="AG258" s="25">
        <v>46093</v>
      </c>
      <c r="AH258" s="25">
        <v>46096</v>
      </c>
      <c r="AI258" s="27">
        <v>46097</v>
      </c>
      <c r="AJ258" s="27"/>
      <c r="AK258" s="178">
        <v>46106</v>
      </c>
      <c r="AL258" s="227">
        <v>1804.8</v>
      </c>
      <c r="AM258" s="58"/>
      <c r="AN258" s="58"/>
      <c r="AR258" s="21"/>
    </row>
    <row r="259" spans="1:45" ht="18.649999999999999" customHeight="1">
      <c r="A259" s="48" t="s">
        <v>624</v>
      </c>
      <c r="B259" s="199" t="s">
        <v>625</v>
      </c>
      <c r="D259" s="48" t="s">
        <v>48</v>
      </c>
      <c r="E259" s="49" t="s">
        <v>82</v>
      </c>
      <c r="F259" s="49">
        <v>1000015487</v>
      </c>
      <c r="G259" s="107" t="s">
        <v>109</v>
      </c>
      <c r="H259" s="108">
        <v>1215</v>
      </c>
      <c r="I259" s="108" t="s">
        <v>110</v>
      </c>
      <c r="J259" s="33" t="s">
        <v>393</v>
      </c>
      <c r="K259" s="21" t="s">
        <v>53</v>
      </c>
      <c r="M259" s="214" t="s">
        <v>749</v>
      </c>
      <c r="N259" s="5">
        <v>2245414601</v>
      </c>
      <c r="O259" s="20" t="s">
        <v>68</v>
      </c>
      <c r="Q259" s="20">
        <v>721307861</v>
      </c>
      <c r="R259" s="36" t="s">
        <v>88</v>
      </c>
      <c r="S259" s="5" t="s">
        <v>750</v>
      </c>
      <c r="T259" s="24">
        <v>46118</v>
      </c>
      <c r="U259" s="137">
        <v>46083</v>
      </c>
      <c r="V259" s="137">
        <v>46119</v>
      </c>
      <c r="X259" s="5" t="s">
        <v>58</v>
      </c>
      <c r="Y259" s="30">
        <v>0.5</v>
      </c>
      <c r="AA259" s="24">
        <v>46083</v>
      </c>
      <c r="AB259" s="24">
        <v>46120</v>
      </c>
      <c r="AD259" s="56" t="s">
        <v>72</v>
      </c>
      <c r="AE259" s="21"/>
      <c r="AF259" s="25">
        <v>46092</v>
      </c>
      <c r="AG259" s="25">
        <v>46086</v>
      </c>
      <c r="AH259" s="25">
        <v>46123</v>
      </c>
      <c r="AI259" s="27">
        <v>46129</v>
      </c>
      <c r="AJ259" s="27"/>
      <c r="AK259" s="178">
        <v>46096</v>
      </c>
      <c r="AL259" s="184">
        <v>94652.27</v>
      </c>
      <c r="AM259" s="58"/>
      <c r="AN259" s="58"/>
      <c r="AR259" s="21"/>
    </row>
    <row r="260" spans="1:45" ht="18.649999999999999" customHeight="1">
      <c r="A260" s="48" t="s">
        <v>624</v>
      </c>
      <c r="B260" s="199" t="s">
        <v>625</v>
      </c>
      <c r="D260" s="48" t="s">
        <v>48</v>
      </c>
      <c r="E260" s="49" t="s">
        <v>82</v>
      </c>
      <c r="F260" s="49" t="s">
        <v>396</v>
      </c>
      <c r="G260" s="107" t="s">
        <v>114</v>
      </c>
      <c r="H260" s="108">
        <v>180</v>
      </c>
      <c r="I260" s="108" t="s">
        <v>110</v>
      </c>
      <c r="J260" s="33" t="s">
        <v>393</v>
      </c>
      <c r="K260" s="21" t="s">
        <v>53</v>
      </c>
      <c r="M260" s="214" t="s">
        <v>751</v>
      </c>
      <c r="N260" s="5">
        <v>2245414601</v>
      </c>
      <c r="O260" s="20" t="s">
        <v>68</v>
      </c>
      <c r="Q260" s="20">
        <v>721307861</v>
      </c>
      <c r="R260" s="36" t="s">
        <v>88</v>
      </c>
      <c r="S260" s="5" t="s">
        <v>750</v>
      </c>
      <c r="T260" s="24">
        <v>46118</v>
      </c>
      <c r="U260" s="137">
        <v>46083</v>
      </c>
      <c r="V260" s="137">
        <v>46119</v>
      </c>
      <c r="X260" s="5" t="s">
        <v>58</v>
      </c>
      <c r="Y260" s="30">
        <v>0.5</v>
      </c>
      <c r="AA260" s="24">
        <v>46083</v>
      </c>
      <c r="AB260" s="24">
        <v>46120</v>
      </c>
      <c r="AD260" s="56" t="s">
        <v>72</v>
      </c>
      <c r="AE260" s="21"/>
      <c r="AF260" s="25">
        <v>46092</v>
      </c>
      <c r="AG260" s="25">
        <v>46086</v>
      </c>
      <c r="AH260" s="25">
        <v>46123</v>
      </c>
      <c r="AI260" s="27">
        <v>46129</v>
      </c>
      <c r="AJ260" s="27"/>
      <c r="AK260" s="178">
        <v>46096</v>
      </c>
      <c r="AL260" s="184">
        <v>17338.060000000001</v>
      </c>
      <c r="AM260" s="58"/>
      <c r="AN260" s="58"/>
      <c r="AR260" s="21" t="s">
        <v>53</v>
      </c>
      <c r="AS260" s="21" t="s">
        <v>53</v>
      </c>
    </row>
    <row r="261" spans="1:45" ht="18.649999999999999" customHeight="1">
      <c r="A261" s="20" t="s">
        <v>752</v>
      </c>
      <c r="B261" s="199" t="s">
        <v>625</v>
      </c>
      <c r="D261" s="48" t="s">
        <v>48</v>
      </c>
      <c r="E261" s="49" t="s">
        <v>584</v>
      </c>
      <c r="F261" s="49">
        <v>1000039335</v>
      </c>
      <c r="G261" s="49" t="s">
        <v>585</v>
      </c>
      <c r="H261" s="48">
        <v>1950</v>
      </c>
      <c r="I261" s="48" t="s">
        <v>52</v>
      </c>
      <c r="K261" s="21" t="s">
        <v>53</v>
      </c>
      <c r="L261" s="22"/>
      <c r="M261" s="214" t="s">
        <v>753</v>
      </c>
      <c r="N261" s="5">
        <v>647710</v>
      </c>
      <c r="O261" s="5" t="s">
        <v>68</v>
      </c>
      <c r="Q261" s="20" t="s">
        <v>754</v>
      </c>
      <c r="R261" s="60" t="s">
        <v>755</v>
      </c>
      <c r="S261" s="20" t="s">
        <v>756</v>
      </c>
      <c r="T261" s="24">
        <v>46092</v>
      </c>
      <c r="U261" s="137">
        <v>46115</v>
      </c>
      <c r="V261" s="137">
        <v>46150</v>
      </c>
      <c r="X261" s="5" t="s">
        <v>123</v>
      </c>
      <c r="Y261" s="5">
        <v>1</v>
      </c>
      <c r="AA261" s="24">
        <v>46115</v>
      </c>
      <c r="AB261" s="24">
        <v>46150</v>
      </c>
      <c r="AD261" s="56" t="s">
        <v>72</v>
      </c>
      <c r="AF261" s="24">
        <v>46126</v>
      </c>
      <c r="AG261" s="24">
        <v>46126</v>
      </c>
      <c r="AH261" s="24"/>
      <c r="AI261" s="27"/>
      <c r="AJ261" s="27" t="s">
        <v>757</v>
      </c>
      <c r="AK261" s="178">
        <v>46127</v>
      </c>
      <c r="AL261" s="184">
        <v>108888</v>
      </c>
      <c r="AM261" s="58"/>
      <c r="AN261" s="58"/>
      <c r="AR261" s="21"/>
    </row>
    <row r="262" spans="1:45" ht="18.649999999999999" customHeight="1">
      <c r="A262" s="20" t="s">
        <v>633</v>
      </c>
      <c r="B262" s="60" t="s">
        <v>625</v>
      </c>
      <c r="D262" s="48" t="s">
        <v>48</v>
      </c>
      <c r="E262" s="31" t="s">
        <v>360</v>
      </c>
      <c r="F262" s="49" t="s">
        <v>361</v>
      </c>
      <c r="G262" s="33" t="s">
        <v>362</v>
      </c>
      <c r="H262" s="48">
        <v>2030</v>
      </c>
      <c r="I262" s="169" t="s">
        <v>110</v>
      </c>
      <c r="K262" s="21" t="s">
        <v>53</v>
      </c>
      <c r="L262" s="177">
        <v>46058</v>
      </c>
      <c r="M262" s="228" t="s">
        <v>758</v>
      </c>
      <c r="N262" s="20" t="s">
        <v>759</v>
      </c>
      <c r="O262" s="30" t="s">
        <v>68</v>
      </c>
      <c r="Q262" s="20">
        <v>2167382660</v>
      </c>
      <c r="R262" s="20" t="s">
        <v>168</v>
      </c>
      <c r="S262" s="5" t="s">
        <v>760</v>
      </c>
      <c r="T262" s="24">
        <v>46143</v>
      </c>
      <c r="U262" s="137">
        <v>46099</v>
      </c>
      <c r="V262" s="137">
        <v>46105</v>
      </c>
      <c r="X262" s="20" t="s">
        <v>58</v>
      </c>
      <c r="Y262" s="20">
        <v>1</v>
      </c>
      <c r="AA262" s="24">
        <v>46099</v>
      </c>
      <c r="AB262" s="24">
        <v>46108</v>
      </c>
      <c r="AD262" s="56" t="s">
        <v>59</v>
      </c>
      <c r="AE262" s="21"/>
      <c r="AF262" s="25">
        <v>46104</v>
      </c>
      <c r="AG262" s="25">
        <v>46105</v>
      </c>
      <c r="AH262" s="25">
        <v>46114</v>
      </c>
      <c r="AI262" s="27">
        <v>46115</v>
      </c>
      <c r="AJ262" s="27"/>
      <c r="AK262" s="178">
        <v>46106</v>
      </c>
      <c r="AL262" s="184">
        <v>29638</v>
      </c>
      <c r="AM262" s="58"/>
      <c r="AN262" s="58"/>
      <c r="AR262" s="21"/>
    </row>
    <row r="263" spans="1:45" ht="18.649999999999999" customHeight="1">
      <c r="B263" s="222" t="s">
        <v>741</v>
      </c>
      <c r="C263" s="229">
        <v>46127</v>
      </c>
      <c r="D263" s="48" t="s">
        <v>48</v>
      </c>
      <c r="E263" s="52" t="s">
        <v>418</v>
      </c>
      <c r="F263" s="49">
        <v>1000035381</v>
      </c>
      <c r="G263" s="107" t="s">
        <v>500</v>
      </c>
      <c r="H263" s="108">
        <v>540</v>
      </c>
      <c r="I263" s="108" t="s">
        <v>85</v>
      </c>
      <c r="J263" s="21" t="s">
        <v>53</v>
      </c>
      <c r="K263" s="21" t="s">
        <v>53</v>
      </c>
      <c r="L263" s="177">
        <v>46058</v>
      </c>
      <c r="M263" s="20" t="s">
        <v>761</v>
      </c>
      <c r="N263" s="21" t="s">
        <v>762</v>
      </c>
      <c r="O263" s="30" t="s">
        <v>68</v>
      </c>
      <c r="Q263" s="21" t="s">
        <v>763</v>
      </c>
      <c r="R263" s="30" t="s">
        <v>423</v>
      </c>
      <c r="S263" s="5" t="s">
        <v>764</v>
      </c>
      <c r="T263" s="24">
        <v>46143</v>
      </c>
      <c r="U263" s="230">
        <v>46127</v>
      </c>
      <c r="V263" s="230">
        <v>46142</v>
      </c>
      <c r="X263" s="30" t="s">
        <v>309</v>
      </c>
      <c r="Y263" s="30">
        <v>1</v>
      </c>
      <c r="AA263" s="128">
        <v>46134</v>
      </c>
      <c r="AB263" s="25">
        <v>46153</v>
      </c>
      <c r="AD263" s="125" t="s">
        <v>59</v>
      </c>
      <c r="AF263" s="231"/>
      <c r="AG263" s="231"/>
      <c r="AH263" s="5"/>
      <c r="AJ263" s="21" t="s">
        <v>765</v>
      </c>
      <c r="AK263" s="27">
        <v>46157</v>
      </c>
      <c r="AL263" s="21" t="s">
        <v>766</v>
      </c>
      <c r="AM263" s="58"/>
      <c r="AN263" s="58"/>
      <c r="AR263" s="21"/>
    </row>
    <row r="264" spans="1:45" ht="18.649999999999999" customHeight="1">
      <c r="B264" s="222" t="s">
        <v>741</v>
      </c>
      <c r="C264" s="232">
        <v>46120</v>
      </c>
      <c r="D264" s="20" t="s">
        <v>48</v>
      </c>
      <c r="E264" s="22" t="s">
        <v>74</v>
      </c>
      <c r="F264" s="31">
        <v>1000037051</v>
      </c>
      <c r="G264" s="32" t="s">
        <v>75</v>
      </c>
      <c r="H264" s="20">
        <v>2000</v>
      </c>
      <c r="I264" s="20" t="s">
        <v>52</v>
      </c>
      <c r="J264" s="21" t="s">
        <v>53</v>
      </c>
      <c r="K264" s="21" t="s">
        <v>53</v>
      </c>
      <c r="L264" s="177">
        <v>46058</v>
      </c>
      <c r="M264" s="214" t="s">
        <v>767</v>
      </c>
      <c r="N264" s="5" t="s">
        <v>768</v>
      </c>
      <c r="O264" s="30" t="s">
        <v>68</v>
      </c>
      <c r="Q264" s="20" t="s">
        <v>769</v>
      </c>
      <c r="R264" s="20" t="s">
        <v>88</v>
      </c>
      <c r="S264" s="20" t="s">
        <v>770</v>
      </c>
      <c r="T264" s="25">
        <v>46143</v>
      </c>
      <c r="U264" s="65">
        <v>46121</v>
      </c>
      <c r="V264" s="65">
        <v>46133</v>
      </c>
      <c r="X264" s="40" t="s">
        <v>58</v>
      </c>
      <c r="Y264" s="40">
        <v>1</v>
      </c>
      <c r="AA264" s="25">
        <v>46121</v>
      </c>
      <c r="AB264" s="25">
        <v>46140</v>
      </c>
      <c r="AD264" s="42" t="s">
        <v>59</v>
      </c>
      <c r="AF264" s="137">
        <v>46133</v>
      </c>
      <c r="AG264" s="137">
        <v>46123</v>
      </c>
      <c r="AH264" s="137">
        <v>46144</v>
      </c>
      <c r="AI264" s="177">
        <v>46147</v>
      </c>
      <c r="AJ264" s="177"/>
      <c r="AK264" s="178">
        <v>46137</v>
      </c>
      <c r="AL264" s="179">
        <v>35000</v>
      </c>
      <c r="AM264" s="58"/>
      <c r="AN264" s="58"/>
      <c r="AR264" s="21"/>
    </row>
    <row r="265" spans="1:45" ht="18.649999999999999" customHeight="1">
      <c r="A265" s="20" t="s">
        <v>740</v>
      </c>
      <c r="B265" s="222" t="s">
        <v>741</v>
      </c>
      <c r="D265" s="20" t="s">
        <v>48</v>
      </c>
      <c r="E265" s="31" t="s">
        <v>262</v>
      </c>
      <c r="F265" s="31">
        <v>1000013590</v>
      </c>
      <c r="G265" s="32" t="s">
        <v>263</v>
      </c>
      <c r="H265" s="30">
        <v>3021</v>
      </c>
      <c r="I265" s="169" t="s">
        <v>52</v>
      </c>
      <c r="K265" s="21" t="s">
        <v>53</v>
      </c>
      <c r="L265" s="177">
        <v>46058</v>
      </c>
      <c r="M265" s="214" t="s">
        <v>771</v>
      </c>
      <c r="N265" s="20">
        <v>90479197</v>
      </c>
      <c r="O265" s="30" t="s">
        <v>68</v>
      </c>
      <c r="Q265" s="20">
        <v>7267496060</v>
      </c>
      <c r="R265" s="20" t="s">
        <v>56</v>
      </c>
      <c r="S265" s="5" t="s">
        <v>772</v>
      </c>
      <c r="T265" s="24">
        <v>46113</v>
      </c>
      <c r="U265" s="137">
        <v>46099</v>
      </c>
      <c r="V265" s="137">
        <v>46106</v>
      </c>
      <c r="X265" s="48" t="s">
        <v>170</v>
      </c>
      <c r="Y265" s="48">
        <v>3</v>
      </c>
      <c r="AA265" s="224">
        <v>46104</v>
      </c>
      <c r="AB265" s="128">
        <v>46122</v>
      </c>
      <c r="AD265" s="42" t="s">
        <v>59</v>
      </c>
      <c r="AE265" s="21"/>
      <c r="AF265" s="65">
        <v>46113</v>
      </c>
      <c r="AG265" s="65">
        <v>46113</v>
      </c>
      <c r="AH265" s="65">
        <v>46133</v>
      </c>
      <c r="AI265" s="177">
        <v>46133</v>
      </c>
      <c r="AJ265" s="177"/>
      <c r="AK265" s="178">
        <v>46127</v>
      </c>
      <c r="AL265" s="184">
        <v>62232.6</v>
      </c>
      <c r="AM265" s="58"/>
      <c r="AN265" s="58"/>
      <c r="AR265" s="21"/>
    </row>
    <row r="266" spans="1:45" ht="18.649999999999999" customHeight="1">
      <c r="A266" s="201" t="s">
        <v>633</v>
      </c>
      <c r="B266" s="199"/>
      <c r="D266" s="48" t="s">
        <v>183</v>
      </c>
      <c r="E266" s="49" t="s">
        <v>184</v>
      </c>
      <c r="F266" s="49">
        <v>1000010127</v>
      </c>
      <c r="G266" s="107" t="s">
        <v>185</v>
      </c>
      <c r="H266" s="108">
        <v>878</v>
      </c>
      <c r="I266" s="108" t="s">
        <v>52</v>
      </c>
      <c r="J266" s="21" t="s">
        <v>773</v>
      </c>
      <c r="K266" s="21"/>
      <c r="M266" s="136" t="s">
        <v>774</v>
      </c>
      <c r="N266" s="21" t="s">
        <v>775</v>
      </c>
      <c r="O266" s="30" t="s">
        <v>189</v>
      </c>
      <c r="Q266" s="60" t="s">
        <v>776</v>
      </c>
      <c r="R266" s="48" t="s">
        <v>178</v>
      </c>
      <c r="S266" s="5" t="s">
        <v>777</v>
      </c>
      <c r="T266" s="24">
        <v>46091</v>
      </c>
      <c r="U266" s="137">
        <v>46091</v>
      </c>
      <c r="V266" s="137">
        <v>46093</v>
      </c>
      <c r="X266" s="30" t="s">
        <v>58</v>
      </c>
      <c r="Y266" s="5">
        <v>0.5</v>
      </c>
      <c r="AA266" s="25">
        <v>46095</v>
      </c>
      <c r="AB266" s="25">
        <v>46097</v>
      </c>
      <c r="AD266" s="56" t="s">
        <v>72</v>
      </c>
      <c r="AE266" s="65">
        <v>46092</v>
      </c>
      <c r="AF266" s="65">
        <v>46093</v>
      </c>
      <c r="AG266" s="65">
        <v>46092</v>
      </c>
      <c r="AH266" s="65">
        <v>46100</v>
      </c>
      <c r="AI266" s="177">
        <v>46100</v>
      </c>
      <c r="AJ266" s="177"/>
      <c r="AK266" s="138"/>
      <c r="AL266" s="58"/>
      <c r="AM266" s="58"/>
      <c r="AN266" s="58"/>
      <c r="AR266" s="21"/>
    </row>
    <row r="267" spans="1:45" ht="18.649999999999999" customHeight="1">
      <c r="A267" s="201" t="s">
        <v>633</v>
      </c>
      <c r="B267" s="199"/>
      <c r="D267" s="48" t="s">
        <v>183</v>
      </c>
      <c r="E267" s="49" t="s">
        <v>184</v>
      </c>
      <c r="F267" s="49">
        <v>1000013084</v>
      </c>
      <c r="G267" s="107" t="s">
        <v>192</v>
      </c>
      <c r="H267" s="108">
        <v>30</v>
      </c>
      <c r="I267" s="108" t="s">
        <v>52</v>
      </c>
      <c r="K267" s="21"/>
      <c r="M267" s="136" t="s">
        <v>774</v>
      </c>
      <c r="N267" s="21" t="s">
        <v>775</v>
      </c>
      <c r="O267" s="30" t="s">
        <v>189</v>
      </c>
      <c r="Q267" s="60" t="s">
        <v>776</v>
      </c>
      <c r="R267" s="48" t="s">
        <v>178</v>
      </c>
      <c r="S267" s="5" t="s">
        <v>777</v>
      </c>
      <c r="T267" s="24">
        <v>46091</v>
      </c>
      <c r="U267" s="137">
        <v>46091</v>
      </c>
      <c r="V267" s="137">
        <v>46093</v>
      </c>
      <c r="X267" s="30" t="s">
        <v>58</v>
      </c>
      <c r="Y267" s="5">
        <v>0.5</v>
      </c>
      <c r="AA267" s="25">
        <v>46095</v>
      </c>
      <c r="AB267" s="25">
        <v>46097</v>
      </c>
      <c r="AD267" s="56" t="s">
        <v>72</v>
      </c>
      <c r="AE267" s="65">
        <v>46092</v>
      </c>
      <c r="AF267" s="65">
        <v>46093</v>
      </c>
      <c r="AG267" s="65">
        <v>46092</v>
      </c>
      <c r="AH267" s="65">
        <v>46100</v>
      </c>
      <c r="AI267" s="177">
        <v>46100</v>
      </c>
      <c r="AJ267" s="177"/>
      <c r="AK267" s="138"/>
      <c r="AL267" s="58"/>
      <c r="AM267" s="58"/>
      <c r="AN267" s="58"/>
      <c r="AR267" s="21"/>
    </row>
    <row r="268" spans="1:45" ht="18.649999999999999" customHeight="1">
      <c r="A268" s="201" t="s">
        <v>633</v>
      </c>
      <c r="B268" s="199"/>
      <c r="D268" s="48" t="s">
        <v>183</v>
      </c>
      <c r="E268" s="49" t="s">
        <v>184</v>
      </c>
      <c r="F268" s="49">
        <v>1000017944</v>
      </c>
      <c r="G268" s="107" t="s">
        <v>193</v>
      </c>
      <c r="H268" s="108">
        <v>100</v>
      </c>
      <c r="I268" s="108" t="s">
        <v>52</v>
      </c>
      <c r="K268" s="21"/>
      <c r="M268" s="136" t="s">
        <v>774</v>
      </c>
      <c r="N268" s="21" t="s">
        <v>775</v>
      </c>
      <c r="O268" s="30" t="s">
        <v>189</v>
      </c>
      <c r="Q268" s="60" t="s">
        <v>776</v>
      </c>
      <c r="R268" s="48" t="s">
        <v>178</v>
      </c>
      <c r="S268" s="5" t="s">
        <v>777</v>
      </c>
      <c r="T268" s="24">
        <v>46091</v>
      </c>
      <c r="U268" s="137">
        <v>46091</v>
      </c>
      <c r="V268" s="137">
        <v>46093</v>
      </c>
      <c r="X268" s="30" t="s">
        <v>58</v>
      </c>
      <c r="Y268" s="5">
        <v>0.5</v>
      </c>
      <c r="AA268" s="25">
        <v>46095</v>
      </c>
      <c r="AB268" s="25">
        <v>46097</v>
      </c>
      <c r="AD268" s="56" t="s">
        <v>72</v>
      </c>
      <c r="AE268" s="65">
        <v>46092</v>
      </c>
      <c r="AF268" s="65">
        <v>46093</v>
      </c>
      <c r="AG268" s="65">
        <v>46092</v>
      </c>
      <c r="AH268" s="65">
        <v>46100</v>
      </c>
      <c r="AI268" s="177">
        <v>46100</v>
      </c>
      <c r="AJ268" s="177"/>
      <c r="AK268" s="138"/>
      <c r="AL268" s="58"/>
      <c r="AM268" s="58"/>
      <c r="AN268" s="58"/>
      <c r="AR268" s="21"/>
    </row>
    <row r="269" spans="1:45" ht="18.649999999999999" customHeight="1">
      <c r="A269" s="48" t="s">
        <v>633</v>
      </c>
      <c r="B269" s="199"/>
      <c r="D269" s="48" t="s">
        <v>183</v>
      </c>
      <c r="E269" s="49" t="s">
        <v>184</v>
      </c>
      <c r="F269" s="49">
        <v>1000010127</v>
      </c>
      <c r="G269" s="107" t="s">
        <v>185</v>
      </c>
      <c r="H269" s="108">
        <v>878</v>
      </c>
      <c r="I269" s="108" t="s">
        <v>52</v>
      </c>
      <c r="J269" s="21" t="s">
        <v>778</v>
      </c>
      <c r="K269" s="21"/>
      <c r="M269" s="136" t="s">
        <v>779</v>
      </c>
      <c r="N269" s="21" t="s">
        <v>780</v>
      </c>
      <c r="O269" s="30" t="s">
        <v>189</v>
      </c>
      <c r="Q269" s="60" t="s">
        <v>781</v>
      </c>
      <c r="R269" s="48" t="s">
        <v>178</v>
      </c>
      <c r="S269" s="5" t="s">
        <v>782</v>
      </c>
      <c r="T269" s="24">
        <v>46096</v>
      </c>
      <c r="U269" s="137">
        <v>46095</v>
      </c>
      <c r="V269" s="137">
        <v>46099</v>
      </c>
      <c r="X269" s="30" t="s">
        <v>58</v>
      </c>
      <c r="Y269" s="5">
        <v>0.5</v>
      </c>
      <c r="AA269" s="25">
        <v>46095</v>
      </c>
      <c r="AB269" s="25">
        <v>46099</v>
      </c>
      <c r="AD269" s="56" t="s">
        <v>72</v>
      </c>
      <c r="AE269" s="21"/>
      <c r="AF269" s="65">
        <v>46098</v>
      </c>
      <c r="AG269" s="65">
        <v>46098</v>
      </c>
      <c r="AH269" s="65">
        <v>46102</v>
      </c>
      <c r="AI269" s="177">
        <v>46107</v>
      </c>
      <c r="AJ269" s="177"/>
      <c r="AK269" s="138"/>
      <c r="AL269" s="58"/>
      <c r="AM269" s="58"/>
      <c r="AN269" s="58"/>
      <c r="AR269" s="21"/>
    </row>
    <row r="270" spans="1:45" ht="18.649999999999999" customHeight="1">
      <c r="A270" s="48" t="s">
        <v>633</v>
      </c>
      <c r="B270" s="199"/>
      <c r="D270" s="48" t="s">
        <v>183</v>
      </c>
      <c r="E270" s="49" t="s">
        <v>184</v>
      </c>
      <c r="F270" s="49">
        <v>1000013084</v>
      </c>
      <c r="G270" s="107" t="s">
        <v>192</v>
      </c>
      <c r="H270" s="108">
        <v>30</v>
      </c>
      <c r="I270" s="108" t="s">
        <v>52</v>
      </c>
      <c r="K270" s="21"/>
      <c r="M270" s="136" t="s">
        <v>779</v>
      </c>
      <c r="N270" s="21" t="s">
        <v>780</v>
      </c>
      <c r="O270" s="30" t="s">
        <v>189</v>
      </c>
      <c r="Q270" s="60" t="s">
        <v>781</v>
      </c>
      <c r="R270" s="48" t="s">
        <v>178</v>
      </c>
      <c r="S270" s="5" t="s">
        <v>782</v>
      </c>
      <c r="T270" s="24">
        <v>46096</v>
      </c>
      <c r="U270" s="137">
        <v>46095</v>
      </c>
      <c r="V270" s="137">
        <v>46099</v>
      </c>
      <c r="X270" s="30" t="s">
        <v>58</v>
      </c>
      <c r="Y270" s="5">
        <v>0.5</v>
      </c>
      <c r="AA270" s="25">
        <v>46095</v>
      </c>
      <c r="AB270" s="25">
        <v>46099</v>
      </c>
      <c r="AD270" s="56" t="s">
        <v>72</v>
      </c>
      <c r="AE270" s="21"/>
      <c r="AF270" s="65">
        <v>46098</v>
      </c>
      <c r="AG270" s="65">
        <v>46098</v>
      </c>
      <c r="AH270" s="65">
        <v>46102</v>
      </c>
      <c r="AI270" s="177">
        <v>46107</v>
      </c>
      <c r="AJ270" s="177"/>
      <c r="AK270" s="138"/>
      <c r="AL270" s="58"/>
      <c r="AM270" s="58"/>
      <c r="AN270" s="58"/>
      <c r="AR270" s="21"/>
    </row>
    <row r="271" spans="1:45" ht="18.649999999999999" customHeight="1">
      <c r="A271" s="48" t="s">
        <v>633</v>
      </c>
      <c r="B271" s="199"/>
      <c r="D271" s="48" t="s">
        <v>183</v>
      </c>
      <c r="E271" s="49" t="s">
        <v>184</v>
      </c>
      <c r="F271" s="49">
        <v>1000017944</v>
      </c>
      <c r="G271" s="107" t="s">
        <v>193</v>
      </c>
      <c r="H271" s="108">
        <v>100</v>
      </c>
      <c r="I271" s="108" t="s">
        <v>52</v>
      </c>
      <c r="K271" s="21"/>
      <c r="M271" s="136" t="s">
        <v>779</v>
      </c>
      <c r="N271" s="21" t="s">
        <v>780</v>
      </c>
      <c r="O271" s="30" t="s">
        <v>189</v>
      </c>
      <c r="Q271" s="60" t="s">
        <v>781</v>
      </c>
      <c r="R271" s="48" t="s">
        <v>178</v>
      </c>
      <c r="S271" s="5" t="s">
        <v>782</v>
      </c>
      <c r="T271" s="24">
        <v>46096</v>
      </c>
      <c r="U271" s="137">
        <v>46095</v>
      </c>
      <c r="V271" s="137">
        <v>46099</v>
      </c>
      <c r="X271" s="30" t="s">
        <v>58</v>
      </c>
      <c r="Y271" s="5">
        <v>0.5</v>
      </c>
      <c r="AA271" s="25">
        <v>46095</v>
      </c>
      <c r="AB271" s="25">
        <v>46099</v>
      </c>
      <c r="AD271" s="56" t="s">
        <v>72</v>
      </c>
      <c r="AE271" s="21"/>
      <c r="AF271" s="65">
        <v>46098</v>
      </c>
      <c r="AG271" s="65">
        <v>46098</v>
      </c>
      <c r="AH271" s="65">
        <v>46102</v>
      </c>
      <c r="AI271" s="177">
        <v>46107</v>
      </c>
      <c r="AJ271" s="177"/>
      <c r="AK271" s="138"/>
      <c r="AL271" s="58"/>
      <c r="AM271" s="58"/>
      <c r="AN271" s="58"/>
      <c r="AR271" s="21"/>
    </row>
    <row r="272" spans="1:45" ht="18.649999999999999" customHeight="1">
      <c r="A272" s="20" t="s">
        <v>783</v>
      </c>
      <c r="B272" s="199" t="s">
        <v>93</v>
      </c>
      <c r="D272" s="48" t="s">
        <v>183</v>
      </c>
      <c r="E272" s="49" t="s">
        <v>184</v>
      </c>
      <c r="F272" s="49">
        <v>1000010127</v>
      </c>
      <c r="G272" s="107" t="s">
        <v>185</v>
      </c>
      <c r="H272" s="108">
        <v>888</v>
      </c>
      <c r="I272" s="108" t="s">
        <v>52</v>
      </c>
      <c r="J272" s="21" t="s">
        <v>784</v>
      </c>
      <c r="K272" s="21"/>
      <c r="M272" s="214" t="s">
        <v>785</v>
      </c>
      <c r="N272" s="21" t="s">
        <v>786</v>
      </c>
      <c r="O272" s="30" t="s">
        <v>189</v>
      </c>
      <c r="Q272" s="21" t="s">
        <v>787</v>
      </c>
      <c r="R272" s="48" t="s">
        <v>178</v>
      </c>
      <c r="S272" s="5" t="s">
        <v>788</v>
      </c>
      <c r="T272" s="24">
        <v>46117</v>
      </c>
      <c r="U272" s="137">
        <v>46119</v>
      </c>
      <c r="V272" s="137">
        <v>46122</v>
      </c>
      <c r="X272" s="30" t="s">
        <v>58</v>
      </c>
      <c r="Y272" s="5">
        <v>0.5</v>
      </c>
      <c r="AA272" s="24">
        <v>46130</v>
      </c>
      <c r="AB272" s="24">
        <v>46132</v>
      </c>
      <c r="AD272" s="56" t="s">
        <v>72</v>
      </c>
      <c r="AE272" s="65">
        <v>46129</v>
      </c>
      <c r="AF272" s="65">
        <v>46132</v>
      </c>
      <c r="AG272" s="137">
        <v>46129</v>
      </c>
      <c r="AH272" s="177">
        <v>46136</v>
      </c>
      <c r="AI272" s="177">
        <v>46139</v>
      </c>
      <c r="AJ272" s="177"/>
      <c r="AK272" s="138"/>
      <c r="AL272" s="58"/>
      <c r="AM272" s="58"/>
      <c r="AN272" s="58"/>
      <c r="AR272" s="21"/>
    </row>
    <row r="273" spans="1:45" ht="18.649999999999999" customHeight="1">
      <c r="A273" s="20" t="s">
        <v>783</v>
      </c>
      <c r="B273" s="199" t="s">
        <v>93</v>
      </c>
      <c r="D273" s="48" t="s">
        <v>183</v>
      </c>
      <c r="E273" s="49" t="s">
        <v>184</v>
      </c>
      <c r="F273" s="49">
        <v>1000013084</v>
      </c>
      <c r="G273" s="107" t="s">
        <v>192</v>
      </c>
      <c r="H273" s="108">
        <v>30</v>
      </c>
      <c r="I273" s="108" t="s">
        <v>52</v>
      </c>
      <c r="K273" s="21"/>
      <c r="M273" s="214" t="s">
        <v>785</v>
      </c>
      <c r="N273" s="21" t="s">
        <v>786</v>
      </c>
      <c r="O273" s="30" t="s">
        <v>189</v>
      </c>
      <c r="Q273" s="21" t="s">
        <v>787</v>
      </c>
      <c r="R273" s="48" t="s">
        <v>178</v>
      </c>
      <c r="S273" s="5" t="s">
        <v>788</v>
      </c>
      <c r="T273" s="24">
        <v>46117</v>
      </c>
      <c r="U273" s="137">
        <v>46119</v>
      </c>
      <c r="V273" s="137">
        <v>46122</v>
      </c>
      <c r="X273" s="30" t="s">
        <v>58</v>
      </c>
      <c r="Y273" s="5">
        <v>0.5</v>
      </c>
      <c r="AA273" s="24">
        <v>46130</v>
      </c>
      <c r="AB273" s="24">
        <v>46132</v>
      </c>
      <c r="AD273" s="56" t="s">
        <v>72</v>
      </c>
      <c r="AE273" s="65">
        <v>46129</v>
      </c>
      <c r="AF273" s="65">
        <v>46132</v>
      </c>
      <c r="AG273" s="137">
        <v>46129</v>
      </c>
      <c r="AH273" s="177">
        <v>46136</v>
      </c>
      <c r="AI273" s="177">
        <v>46139</v>
      </c>
      <c r="AJ273" s="177"/>
      <c r="AK273" s="138"/>
      <c r="AL273" s="58"/>
      <c r="AM273" s="58"/>
      <c r="AN273" s="58"/>
      <c r="AR273" s="21"/>
    </row>
    <row r="274" spans="1:45" ht="18.649999999999999" customHeight="1">
      <c r="A274" s="20" t="s">
        <v>783</v>
      </c>
      <c r="B274" s="199" t="s">
        <v>93</v>
      </c>
      <c r="D274" s="48" t="s">
        <v>183</v>
      </c>
      <c r="E274" s="49" t="s">
        <v>184</v>
      </c>
      <c r="F274" s="49">
        <v>1000017944</v>
      </c>
      <c r="G274" s="107" t="s">
        <v>193</v>
      </c>
      <c r="H274" s="108">
        <v>100</v>
      </c>
      <c r="I274" s="108" t="s">
        <v>52</v>
      </c>
      <c r="K274" s="21"/>
      <c r="M274" s="214" t="s">
        <v>785</v>
      </c>
      <c r="N274" s="21" t="s">
        <v>786</v>
      </c>
      <c r="O274" s="30" t="s">
        <v>189</v>
      </c>
      <c r="Q274" s="21" t="s">
        <v>787</v>
      </c>
      <c r="R274" s="48" t="s">
        <v>178</v>
      </c>
      <c r="S274" s="5" t="s">
        <v>788</v>
      </c>
      <c r="T274" s="24">
        <v>46117</v>
      </c>
      <c r="U274" s="137">
        <v>46119</v>
      </c>
      <c r="V274" s="137">
        <v>46122</v>
      </c>
      <c r="X274" s="30" t="s">
        <v>58</v>
      </c>
      <c r="Y274" s="5">
        <v>0.5</v>
      </c>
      <c r="AA274" s="24">
        <v>46130</v>
      </c>
      <c r="AB274" s="24">
        <v>46132</v>
      </c>
      <c r="AD274" s="56" t="s">
        <v>72</v>
      </c>
      <c r="AE274" s="65">
        <v>46129</v>
      </c>
      <c r="AF274" s="65">
        <v>46132</v>
      </c>
      <c r="AG274" s="137">
        <v>46129</v>
      </c>
      <c r="AH274" s="177">
        <v>46136</v>
      </c>
      <c r="AI274" s="177">
        <v>46139</v>
      </c>
      <c r="AJ274" s="177"/>
      <c r="AK274" s="138"/>
      <c r="AL274" s="58"/>
      <c r="AM274" s="58"/>
      <c r="AN274" s="58"/>
      <c r="AR274" s="21"/>
    </row>
    <row r="275" spans="1:45" ht="18.649999999999999" customHeight="1">
      <c r="A275" s="201" t="s">
        <v>633</v>
      </c>
      <c r="B275" s="199"/>
      <c r="C275" s="30"/>
      <c r="D275" s="48" t="s">
        <v>312</v>
      </c>
      <c r="E275" s="49" t="s">
        <v>210</v>
      </c>
      <c r="F275" s="49">
        <v>2000007982</v>
      </c>
      <c r="G275" s="50" t="s">
        <v>211</v>
      </c>
      <c r="H275" s="48" t="s">
        <v>789</v>
      </c>
      <c r="I275" s="61" t="s">
        <v>239</v>
      </c>
      <c r="J275" s="33" t="s">
        <v>790</v>
      </c>
      <c r="K275" s="30" t="s">
        <v>53</v>
      </c>
      <c r="L275" s="33"/>
      <c r="M275" s="117" t="s">
        <v>791</v>
      </c>
      <c r="N275" s="30">
        <v>28029553</v>
      </c>
      <c r="O275" s="88" t="s">
        <v>189</v>
      </c>
      <c r="P275" s="30"/>
      <c r="Q275" s="48">
        <v>95178518</v>
      </c>
      <c r="R275" s="48" t="s">
        <v>215</v>
      </c>
      <c r="S275" s="160" t="s">
        <v>792</v>
      </c>
      <c r="T275" s="36">
        <v>46084</v>
      </c>
      <c r="U275" s="93">
        <v>46049</v>
      </c>
      <c r="V275" s="88">
        <v>46097</v>
      </c>
      <c r="W275" s="52"/>
      <c r="X275" s="30" t="s">
        <v>209</v>
      </c>
      <c r="Y275" s="30">
        <v>1</v>
      </c>
      <c r="Z275" s="30"/>
      <c r="AA275" s="94">
        <v>46046</v>
      </c>
      <c r="AB275" s="128">
        <v>46095</v>
      </c>
      <c r="AC275" s="30"/>
      <c r="AD275" s="56" t="s">
        <v>72</v>
      </c>
      <c r="AE275" s="33"/>
      <c r="AF275" s="88">
        <v>46065</v>
      </c>
      <c r="AG275" s="88">
        <v>46065</v>
      </c>
      <c r="AH275" s="88">
        <v>46093</v>
      </c>
      <c r="AI275" s="89">
        <v>46094</v>
      </c>
      <c r="AJ275" s="89"/>
      <c r="AK275" s="44">
        <v>46068</v>
      </c>
      <c r="AL275" s="166">
        <v>16793.18</v>
      </c>
      <c r="AM275" s="59"/>
      <c r="AN275" s="59"/>
      <c r="AO275" s="97"/>
      <c r="AP275" s="97"/>
      <c r="AQ275" s="33"/>
      <c r="AR275" s="30"/>
      <c r="AS275" s="33"/>
    </row>
    <row r="276" spans="1:45" ht="18.649999999999999" customHeight="1">
      <c r="A276" s="48" t="s">
        <v>793</v>
      </c>
      <c r="B276" s="199" t="s">
        <v>53</v>
      </c>
      <c r="C276" s="30"/>
      <c r="D276" s="48" t="s">
        <v>312</v>
      </c>
      <c r="E276" s="49" t="s">
        <v>210</v>
      </c>
      <c r="F276" s="49">
        <v>2000007982</v>
      </c>
      <c r="G276" s="50" t="s">
        <v>211</v>
      </c>
      <c r="H276" s="108">
        <v>3000</v>
      </c>
      <c r="I276" s="108" t="s">
        <v>239</v>
      </c>
      <c r="J276" s="33"/>
      <c r="K276" s="30" t="s">
        <v>53</v>
      </c>
      <c r="L276" s="33"/>
      <c r="M276" s="212" t="s">
        <v>794</v>
      </c>
      <c r="N276" s="30">
        <v>28031092</v>
      </c>
      <c r="O276" s="88" t="s">
        <v>189</v>
      </c>
      <c r="P276" s="30"/>
      <c r="Q276" s="48">
        <v>95185825</v>
      </c>
      <c r="R276" s="48" t="s">
        <v>215</v>
      </c>
      <c r="S276" s="30" t="s">
        <v>696</v>
      </c>
      <c r="T276" s="36">
        <v>46209</v>
      </c>
      <c r="U276" s="93">
        <v>46098</v>
      </c>
      <c r="V276" s="88">
        <v>46138</v>
      </c>
      <c r="W276" s="52"/>
      <c r="X276" s="30" t="s">
        <v>209</v>
      </c>
      <c r="Y276" s="30">
        <v>1</v>
      </c>
      <c r="Z276" s="30"/>
      <c r="AA276" s="25">
        <v>46104</v>
      </c>
      <c r="AB276" s="36">
        <v>46148</v>
      </c>
      <c r="AC276" s="30"/>
      <c r="AD276" s="56" t="s">
        <v>72</v>
      </c>
      <c r="AE276" s="33"/>
      <c r="AF276" s="88">
        <v>46104</v>
      </c>
      <c r="AG276" s="88">
        <v>46104</v>
      </c>
      <c r="AH276" s="48"/>
      <c r="AI276" s="30"/>
      <c r="AJ276" s="30"/>
      <c r="AK276" s="96">
        <v>46096</v>
      </c>
      <c r="AL276" s="166">
        <v>16790.689999999999</v>
      </c>
      <c r="AM276" s="59"/>
      <c r="AN276" s="59"/>
      <c r="AO276" s="97"/>
      <c r="AP276" s="97"/>
      <c r="AQ276" s="33"/>
      <c r="AR276" s="30"/>
      <c r="AS276" s="33"/>
    </row>
    <row r="277" spans="1:45" ht="18.5" customHeight="1">
      <c r="A277" s="48"/>
      <c r="B277" s="48"/>
      <c r="C277" s="30"/>
      <c r="D277" s="48" t="s">
        <v>312</v>
      </c>
      <c r="E277" s="52" t="s">
        <v>210</v>
      </c>
      <c r="F277" s="49">
        <v>2000007982</v>
      </c>
      <c r="G277" s="107" t="s">
        <v>211</v>
      </c>
      <c r="H277" s="108">
        <v>3000</v>
      </c>
      <c r="I277" s="108" t="s">
        <v>239</v>
      </c>
      <c r="J277" s="33" t="s">
        <v>795</v>
      </c>
      <c r="K277" s="30"/>
      <c r="L277" s="209" t="s">
        <v>53</v>
      </c>
      <c r="M277" s="48" t="s">
        <v>53</v>
      </c>
      <c r="N277" s="30" t="s">
        <v>53</v>
      </c>
      <c r="O277" s="88" t="s">
        <v>189</v>
      </c>
      <c r="P277" s="30"/>
      <c r="Q277" s="30"/>
      <c r="R277" s="48"/>
      <c r="S277" s="30"/>
      <c r="T277" s="36">
        <v>46300</v>
      </c>
      <c r="U277" s="93"/>
      <c r="V277" s="48"/>
      <c r="W277" s="52"/>
      <c r="X277" s="30" t="s">
        <v>209</v>
      </c>
      <c r="Y277" s="30">
        <v>1</v>
      </c>
      <c r="Z277" s="30"/>
      <c r="AA277" s="48"/>
      <c r="AB277" s="30"/>
      <c r="AC277" s="30"/>
      <c r="AD277" s="56" t="s">
        <v>72</v>
      </c>
      <c r="AE277" s="33"/>
      <c r="AF277" s="30"/>
      <c r="AG277" s="30"/>
      <c r="AH277" s="30"/>
      <c r="AI277" s="30"/>
      <c r="AJ277" s="30"/>
      <c r="AK277" s="233"/>
      <c r="AL277" s="30"/>
      <c r="AM277" s="58"/>
      <c r="AN277" s="58"/>
      <c r="AO277" s="97"/>
      <c r="AP277" s="97"/>
      <c r="AQ277" s="33"/>
      <c r="AR277" s="30"/>
      <c r="AS277" s="33"/>
    </row>
    <row r="278" spans="1:45" ht="18.649999999999999" customHeight="1">
      <c r="A278" s="48" t="s">
        <v>796</v>
      </c>
      <c r="B278" s="199" t="s">
        <v>625</v>
      </c>
      <c r="C278" s="30"/>
      <c r="D278" s="48" t="s">
        <v>312</v>
      </c>
      <c r="E278" s="49" t="s">
        <v>313</v>
      </c>
      <c r="F278" s="49">
        <v>2000002327</v>
      </c>
      <c r="G278" s="107" t="s">
        <v>314</v>
      </c>
      <c r="H278" s="108">
        <f>120+500</f>
        <v>620</v>
      </c>
      <c r="I278" s="108" t="s">
        <v>239</v>
      </c>
      <c r="J278" s="33" t="s">
        <v>797</v>
      </c>
      <c r="K278" s="30" t="s">
        <v>53</v>
      </c>
      <c r="L278" s="234">
        <v>46071</v>
      </c>
      <c r="M278" s="212" t="s">
        <v>798</v>
      </c>
      <c r="N278" s="40">
        <v>9424420131</v>
      </c>
      <c r="O278" s="30" t="s">
        <v>55</v>
      </c>
      <c r="P278" s="30"/>
      <c r="Q278" s="30">
        <v>83544267</v>
      </c>
      <c r="R278" s="48" t="s">
        <v>215</v>
      </c>
      <c r="S278" s="160" t="s">
        <v>799</v>
      </c>
      <c r="T278" s="36">
        <v>46209</v>
      </c>
      <c r="U278" s="93">
        <v>46112</v>
      </c>
      <c r="V278" s="88">
        <v>46154</v>
      </c>
      <c r="W278" s="52"/>
      <c r="X278" s="160" t="s">
        <v>209</v>
      </c>
      <c r="Y278" s="30">
        <v>0.5</v>
      </c>
      <c r="Z278" s="30"/>
      <c r="AA278" s="93">
        <v>46112</v>
      </c>
      <c r="AB278" s="95">
        <v>46149</v>
      </c>
      <c r="AC278" s="30"/>
      <c r="AD278" s="56" t="s">
        <v>72</v>
      </c>
      <c r="AE278" s="33"/>
      <c r="AF278" s="89">
        <v>46142</v>
      </c>
      <c r="AG278" s="89">
        <v>46142</v>
      </c>
      <c r="AH278" s="30"/>
      <c r="AI278" s="30"/>
      <c r="AJ278" s="30"/>
      <c r="AK278" s="44">
        <v>46078</v>
      </c>
      <c r="AL278" s="91">
        <f>2579.2+1552.35</f>
        <v>4131.5499999999993</v>
      </c>
      <c r="AM278" s="59"/>
      <c r="AN278" s="59"/>
      <c r="AO278" s="97"/>
      <c r="AP278" s="97"/>
      <c r="AQ278" s="33"/>
      <c r="AR278" s="30"/>
      <c r="AS278" s="33"/>
    </row>
    <row r="279" spans="1:45" ht="18.649999999999999" customHeight="1">
      <c r="A279" s="48" t="s">
        <v>796</v>
      </c>
      <c r="B279" s="199" t="s">
        <v>625</v>
      </c>
      <c r="C279" s="30"/>
      <c r="D279" s="48" t="s">
        <v>312</v>
      </c>
      <c r="E279" s="49" t="s">
        <v>313</v>
      </c>
      <c r="F279" s="49">
        <v>2000005164</v>
      </c>
      <c r="G279" s="107" t="s">
        <v>318</v>
      </c>
      <c r="H279" s="108">
        <f>102+500</f>
        <v>602</v>
      </c>
      <c r="I279" s="108" t="s">
        <v>239</v>
      </c>
      <c r="J279" s="33" t="s">
        <v>797</v>
      </c>
      <c r="K279" s="30" t="s">
        <v>53</v>
      </c>
      <c r="L279" s="234">
        <v>46071</v>
      </c>
      <c r="M279" s="212" t="s">
        <v>798</v>
      </c>
      <c r="N279" s="40">
        <v>9424420131</v>
      </c>
      <c r="O279" s="30" t="s">
        <v>55</v>
      </c>
      <c r="P279" s="30"/>
      <c r="Q279" s="30">
        <v>83544267</v>
      </c>
      <c r="R279" s="48" t="s">
        <v>215</v>
      </c>
      <c r="S279" s="160" t="s">
        <v>799</v>
      </c>
      <c r="T279" s="36">
        <v>46209</v>
      </c>
      <c r="U279" s="93">
        <v>46112</v>
      </c>
      <c r="V279" s="88">
        <v>46154</v>
      </c>
      <c r="W279" s="52"/>
      <c r="X279" s="160" t="s">
        <v>209</v>
      </c>
      <c r="Y279" s="30">
        <v>0.5</v>
      </c>
      <c r="Z279" s="30"/>
      <c r="AA279" s="93">
        <v>46112</v>
      </c>
      <c r="AB279" s="95">
        <v>46149</v>
      </c>
      <c r="AC279" s="30"/>
      <c r="AD279" s="56" t="s">
        <v>72</v>
      </c>
      <c r="AE279" s="33"/>
      <c r="AF279" s="89">
        <v>46142</v>
      </c>
      <c r="AG279" s="89">
        <v>46142</v>
      </c>
      <c r="AH279" s="30"/>
      <c r="AI279" s="30"/>
      <c r="AJ279" s="30"/>
      <c r="AK279" s="44">
        <v>46078</v>
      </c>
      <c r="AL279" s="91">
        <v>5195.26</v>
      </c>
      <c r="AM279" s="59"/>
      <c r="AN279" s="59"/>
      <c r="AO279" s="97"/>
      <c r="AP279" s="97"/>
      <c r="AQ279" s="33"/>
      <c r="AR279" s="30"/>
      <c r="AS279" s="33"/>
    </row>
    <row r="280" spans="1:45" ht="18.649999999999999" customHeight="1">
      <c r="A280" s="48"/>
      <c r="B280" s="48"/>
      <c r="C280" s="30"/>
      <c r="D280" s="48" t="s">
        <v>312</v>
      </c>
      <c r="E280" s="52" t="s">
        <v>313</v>
      </c>
      <c r="F280" s="49">
        <v>2000002327</v>
      </c>
      <c r="G280" s="107" t="s">
        <v>314</v>
      </c>
      <c r="H280" s="108">
        <v>120</v>
      </c>
      <c r="I280" s="108" t="s">
        <v>239</v>
      </c>
      <c r="J280" s="33" t="s">
        <v>795</v>
      </c>
      <c r="K280" s="30"/>
      <c r="L280" s="33"/>
      <c r="M280" s="48"/>
      <c r="N280" s="30"/>
      <c r="O280" s="30" t="s">
        <v>55</v>
      </c>
      <c r="P280" s="30"/>
      <c r="Q280" s="30"/>
      <c r="R280" s="48"/>
      <c r="S280" s="30"/>
      <c r="T280" s="36">
        <v>46300</v>
      </c>
      <c r="U280" s="93"/>
      <c r="V280" s="48"/>
      <c r="W280" s="52"/>
      <c r="X280" s="30" t="s">
        <v>217</v>
      </c>
      <c r="Y280" s="30">
        <v>0.5</v>
      </c>
      <c r="Z280" s="30"/>
      <c r="AA280" s="48"/>
      <c r="AB280" s="30"/>
      <c r="AC280" s="30"/>
      <c r="AD280" s="56" t="s">
        <v>72</v>
      </c>
      <c r="AE280" s="33"/>
      <c r="AF280" s="30"/>
      <c r="AG280" s="30"/>
      <c r="AH280" s="30"/>
      <c r="AI280" s="30"/>
      <c r="AJ280" s="30"/>
      <c r="AK280" s="233"/>
      <c r="AL280" s="33"/>
      <c r="AM280" s="59"/>
      <c r="AN280" s="59"/>
      <c r="AO280" s="97"/>
      <c r="AP280" s="97"/>
      <c r="AQ280" s="33"/>
      <c r="AR280" s="30"/>
      <c r="AS280" s="33"/>
    </row>
    <row r="281" spans="1:45" ht="18.649999999999999" customHeight="1">
      <c r="A281" s="48"/>
      <c r="B281" s="48"/>
      <c r="C281" s="30"/>
      <c r="D281" s="48" t="s">
        <v>312</v>
      </c>
      <c r="E281" s="52" t="s">
        <v>313</v>
      </c>
      <c r="F281" s="49">
        <v>2000005164</v>
      </c>
      <c r="G281" s="107" t="s">
        <v>318</v>
      </c>
      <c r="H281" s="108">
        <v>109</v>
      </c>
      <c r="I281" s="108" t="s">
        <v>239</v>
      </c>
      <c r="J281" s="33" t="s">
        <v>795</v>
      </c>
      <c r="K281" s="30"/>
      <c r="L281" s="33"/>
      <c r="M281" s="48"/>
      <c r="N281" s="30"/>
      <c r="O281" s="30" t="s">
        <v>55</v>
      </c>
      <c r="P281" s="30"/>
      <c r="Q281" s="30"/>
      <c r="R281" s="48"/>
      <c r="S281" s="30"/>
      <c r="T281" s="36">
        <v>46300</v>
      </c>
      <c r="U281" s="93"/>
      <c r="V281" s="48"/>
      <c r="W281" s="52"/>
      <c r="X281" s="30" t="s">
        <v>217</v>
      </c>
      <c r="Y281" s="30">
        <v>0.5</v>
      </c>
      <c r="Z281" s="30"/>
      <c r="AA281" s="48"/>
      <c r="AB281" s="30"/>
      <c r="AC281" s="30"/>
      <c r="AD281" s="56" t="s">
        <v>72</v>
      </c>
      <c r="AE281" s="33"/>
      <c r="AF281" s="30"/>
      <c r="AG281" s="30"/>
      <c r="AH281" s="30"/>
      <c r="AI281" s="30"/>
      <c r="AJ281" s="30"/>
      <c r="AK281" s="233"/>
      <c r="AL281" s="33"/>
      <c r="AM281" s="59"/>
      <c r="AN281" s="59"/>
      <c r="AO281" s="97"/>
      <c r="AP281" s="97"/>
      <c r="AQ281" s="33"/>
      <c r="AR281" s="30"/>
      <c r="AS281" s="33"/>
    </row>
    <row r="282" spans="1:45" ht="18.649999999999999" customHeight="1">
      <c r="A282" s="48" t="s">
        <v>633</v>
      </c>
      <c r="B282" s="199"/>
      <c r="C282" s="30"/>
      <c r="D282" s="48" t="s">
        <v>194</v>
      </c>
      <c r="E282" s="49" t="s">
        <v>195</v>
      </c>
      <c r="F282" s="49" t="s">
        <v>346</v>
      </c>
      <c r="G282" s="107" t="s">
        <v>196</v>
      </c>
      <c r="H282" s="108">
        <v>1500</v>
      </c>
      <c r="I282" s="108" t="s">
        <v>85</v>
      </c>
      <c r="J282" s="33" t="s">
        <v>800</v>
      </c>
      <c r="K282" s="30" t="s">
        <v>53</v>
      </c>
      <c r="L282" s="33"/>
      <c r="M282" s="34" t="s">
        <v>801</v>
      </c>
      <c r="N282" s="30" t="s">
        <v>802</v>
      </c>
      <c r="O282" s="48" t="s">
        <v>68</v>
      </c>
      <c r="P282" s="30"/>
      <c r="Q282" s="48" t="s">
        <v>803</v>
      </c>
      <c r="R282" s="48" t="s">
        <v>804</v>
      </c>
      <c r="S282" s="30" t="s">
        <v>805</v>
      </c>
      <c r="T282" s="180">
        <v>46083</v>
      </c>
      <c r="U282" s="93">
        <v>46089</v>
      </c>
      <c r="V282" s="88">
        <v>46099</v>
      </c>
      <c r="W282" s="52"/>
      <c r="X282" s="30" t="s">
        <v>123</v>
      </c>
      <c r="Y282" s="30">
        <v>1</v>
      </c>
      <c r="Z282" s="30"/>
      <c r="AA282" s="93">
        <v>46089</v>
      </c>
      <c r="AB282" s="88">
        <v>46099</v>
      </c>
      <c r="AC282" s="30"/>
      <c r="AD282" s="56" t="s">
        <v>72</v>
      </c>
      <c r="AE282" s="33"/>
      <c r="AF282" s="88">
        <v>46094</v>
      </c>
      <c r="AG282" s="88">
        <v>46092</v>
      </c>
      <c r="AH282" s="65">
        <v>46106</v>
      </c>
      <c r="AI282" s="89">
        <v>46106</v>
      </c>
      <c r="AJ282" s="89"/>
      <c r="AK282" s="44">
        <v>46106</v>
      </c>
      <c r="AL282" s="91">
        <v>46560</v>
      </c>
      <c r="AM282" s="59"/>
      <c r="AN282" s="59"/>
      <c r="AO282" s="97"/>
      <c r="AP282" s="97"/>
      <c r="AQ282" s="33"/>
      <c r="AR282" s="30"/>
      <c r="AS282" s="33"/>
    </row>
    <row r="283" spans="1:45" ht="18.649999999999999" customHeight="1">
      <c r="A283" s="48" t="s">
        <v>633</v>
      </c>
      <c r="B283" s="199"/>
      <c r="C283" s="30"/>
      <c r="D283" s="48" t="s">
        <v>194</v>
      </c>
      <c r="E283" s="49" t="s">
        <v>195</v>
      </c>
      <c r="F283" s="49" t="s">
        <v>346</v>
      </c>
      <c r="G283" s="107" t="s">
        <v>196</v>
      </c>
      <c r="H283" s="108">
        <v>1500</v>
      </c>
      <c r="I283" s="108" t="s">
        <v>85</v>
      </c>
      <c r="J283" s="33" t="s">
        <v>806</v>
      </c>
      <c r="K283" s="30" t="s">
        <v>53</v>
      </c>
      <c r="L283" s="33"/>
      <c r="M283" s="34" t="s">
        <v>807</v>
      </c>
      <c r="N283" s="30" t="s">
        <v>808</v>
      </c>
      <c r="O283" s="48" t="s">
        <v>68</v>
      </c>
      <c r="P283" s="30"/>
      <c r="Q283" s="48" t="s">
        <v>809</v>
      </c>
      <c r="R283" s="48" t="s">
        <v>804</v>
      </c>
      <c r="S283" s="30" t="s">
        <v>805</v>
      </c>
      <c r="T283" s="180">
        <v>46090</v>
      </c>
      <c r="U283" s="93">
        <v>46089</v>
      </c>
      <c r="V283" s="88">
        <v>46099</v>
      </c>
      <c r="W283" s="52"/>
      <c r="X283" s="30" t="s">
        <v>123</v>
      </c>
      <c r="Y283" s="30">
        <v>1</v>
      </c>
      <c r="Z283" s="30"/>
      <c r="AA283" s="93">
        <v>46089</v>
      </c>
      <c r="AB283" s="88">
        <v>46099</v>
      </c>
      <c r="AC283" s="30"/>
      <c r="AD283" s="56" t="s">
        <v>72</v>
      </c>
      <c r="AE283" s="33"/>
      <c r="AF283" s="88">
        <v>46094</v>
      </c>
      <c r="AG283" s="88">
        <v>46092</v>
      </c>
      <c r="AH283" s="65">
        <v>46106</v>
      </c>
      <c r="AI283" s="89">
        <v>46107</v>
      </c>
      <c r="AJ283" s="89"/>
      <c r="AK283" s="44">
        <v>46106</v>
      </c>
      <c r="AL283" s="91">
        <v>46560</v>
      </c>
      <c r="AM283" s="59"/>
      <c r="AN283" s="59"/>
      <c r="AO283" s="97"/>
      <c r="AP283" s="97"/>
      <c r="AQ283" s="33"/>
      <c r="AR283" s="30"/>
      <c r="AS283" s="33"/>
    </row>
    <row r="284" spans="1:45" ht="18.649999999999999" customHeight="1">
      <c r="A284" s="48" t="s">
        <v>796</v>
      </c>
      <c r="B284" s="222" t="s">
        <v>741</v>
      </c>
      <c r="C284" s="30"/>
      <c r="D284" s="48" t="s">
        <v>194</v>
      </c>
      <c r="E284" s="49" t="s">
        <v>195</v>
      </c>
      <c r="F284" s="49" t="s">
        <v>346</v>
      </c>
      <c r="G284" s="107" t="s">
        <v>196</v>
      </c>
      <c r="H284" s="108">
        <v>1500</v>
      </c>
      <c r="I284" s="108" t="s">
        <v>85</v>
      </c>
      <c r="J284" s="33" t="s">
        <v>810</v>
      </c>
      <c r="K284" s="30" t="s">
        <v>53</v>
      </c>
      <c r="L284" s="33"/>
      <c r="M284" s="34" t="s">
        <v>811</v>
      </c>
      <c r="N284" s="30" t="s">
        <v>812</v>
      </c>
      <c r="O284" s="48" t="s">
        <v>68</v>
      </c>
      <c r="P284" s="30"/>
      <c r="Q284" s="35" t="s">
        <v>813</v>
      </c>
      <c r="R284" s="48" t="s">
        <v>79</v>
      </c>
      <c r="S284" s="30" t="s">
        <v>814</v>
      </c>
      <c r="T284" s="180">
        <v>46097</v>
      </c>
      <c r="U284" s="93">
        <v>46103</v>
      </c>
      <c r="V284" s="88">
        <v>46111</v>
      </c>
      <c r="W284" s="52"/>
      <c r="X284" s="30" t="s">
        <v>123</v>
      </c>
      <c r="Y284" s="30">
        <v>1</v>
      </c>
      <c r="Z284" s="30"/>
      <c r="AA284" s="88">
        <v>46104</v>
      </c>
      <c r="AB284" s="88">
        <v>46115</v>
      </c>
      <c r="AC284" s="30"/>
      <c r="AD284" s="56" t="s">
        <v>72</v>
      </c>
      <c r="AE284" s="33"/>
      <c r="AF284" s="65">
        <v>46107</v>
      </c>
      <c r="AG284" s="89">
        <v>46107</v>
      </c>
      <c r="AH284" s="137">
        <v>46121</v>
      </c>
      <c r="AI284" s="89">
        <v>46122</v>
      </c>
      <c r="AJ284" s="89"/>
      <c r="AK284" s="44">
        <v>46127</v>
      </c>
      <c r="AL284" s="170">
        <v>46560</v>
      </c>
      <c r="AM284" s="59"/>
      <c r="AN284" s="59"/>
      <c r="AO284" s="97"/>
      <c r="AP284" s="97"/>
      <c r="AQ284" s="33"/>
      <c r="AR284" s="30">
        <v>1</v>
      </c>
      <c r="AS284" s="33" t="s">
        <v>815</v>
      </c>
    </row>
    <row r="285" spans="1:45" ht="18.649999999999999" customHeight="1">
      <c r="A285" s="48" t="s">
        <v>796</v>
      </c>
      <c r="B285" s="199" t="s">
        <v>93</v>
      </c>
      <c r="C285" s="30"/>
      <c r="D285" s="48" t="s">
        <v>194</v>
      </c>
      <c r="E285" s="49" t="s">
        <v>195</v>
      </c>
      <c r="F285" s="49" t="s">
        <v>346</v>
      </c>
      <c r="G285" s="107" t="s">
        <v>196</v>
      </c>
      <c r="H285" s="108">
        <v>1500</v>
      </c>
      <c r="I285" s="108" t="s">
        <v>85</v>
      </c>
      <c r="J285" s="33" t="s">
        <v>816</v>
      </c>
      <c r="K285" s="30" t="s">
        <v>53</v>
      </c>
      <c r="L285" s="33"/>
      <c r="M285" s="34" t="s">
        <v>817</v>
      </c>
      <c r="N285" s="30" t="s">
        <v>818</v>
      </c>
      <c r="O285" s="48" t="s">
        <v>68</v>
      </c>
      <c r="P285" s="30"/>
      <c r="Q285" s="30" t="s">
        <v>819</v>
      </c>
      <c r="R285" s="48" t="s">
        <v>820</v>
      </c>
      <c r="S285" s="30" t="s">
        <v>821</v>
      </c>
      <c r="T285" s="180">
        <v>46118</v>
      </c>
      <c r="U285" s="93">
        <v>46110</v>
      </c>
      <c r="V285" s="88">
        <v>46119</v>
      </c>
      <c r="W285" s="52"/>
      <c r="X285" s="30" t="s">
        <v>123</v>
      </c>
      <c r="Y285" s="30">
        <v>1</v>
      </c>
      <c r="Z285" s="30"/>
      <c r="AA285" s="88">
        <v>46111</v>
      </c>
      <c r="AB285" s="88">
        <v>46121</v>
      </c>
      <c r="AC285" s="30"/>
      <c r="AD285" s="56" t="s">
        <v>72</v>
      </c>
      <c r="AE285" s="33"/>
      <c r="AF285" s="137">
        <v>46114</v>
      </c>
      <c r="AG285" s="89">
        <v>46112</v>
      </c>
      <c r="AH285" s="137">
        <v>46132</v>
      </c>
      <c r="AI285" s="89">
        <v>46133</v>
      </c>
      <c r="AJ285" s="89"/>
      <c r="AK285" s="44">
        <v>46127</v>
      </c>
      <c r="AL285" s="170">
        <v>46560</v>
      </c>
      <c r="AM285" s="59"/>
      <c r="AN285" s="59"/>
      <c r="AO285" s="97"/>
      <c r="AP285" s="97"/>
      <c r="AQ285" s="33"/>
      <c r="AR285" s="30" t="s">
        <v>53</v>
      </c>
      <c r="AS285" s="33" t="s">
        <v>53</v>
      </c>
    </row>
    <row r="286" spans="1:45" ht="18.649999999999999" customHeight="1">
      <c r="A286" s="48" t="s">
        <v>796</v>
      </c>
      <c r="B286" s="199" t="s">
        <v>93</v>
      </c>
      <c r="C286" s="30"/>
      <c r="D286" s="48" t="s">
        <v>194</v>
      </c>
      <c r="E286" s="49" t="s">
        <v>195</v>
      </c>
      <c r="F286" s="49" t="s">
        <v>346</v>
      </c>
      <c r="G286" s="107" t="s">
        <v>196</v>
      </c>
      <c r="H286" s="108">
        <v>1500</v>
      </c>
      <c r="I286" s="108" t="s">
        <v>85</v>
      </c>
      <c r="J286" s="33" t="s">
        <v>822</v>
      </c>
      <c r="K286" s="30" t="s">
        <v>53</v>
      </c>
      <c r="L286" s="33"/>
      <c r="M286" s="34" t="s">
        <v>823</v>
      </c>
      <c r="N286" s="30" t="s">
        <v>824</v>
      </c>
      <c r="O286" s="48" t="s">
        <v>68</v>
      </c>
      <c r="P286" s="30"/>
      <c r="Q286" s="30" t="s">
        <v>825</v>
      </c>
      <c r="R286" s="48" t="s">
        <v>820</v>
      </c>
      <c r="S286" s="30" t="s">
        <v>821</v>
      </c>
      <c r="T286" s="180">
        <v>46125</v>
      </c>
      <c r="U286" s="93">
        <v>46111</v>
      </c>
      <c r="V286" s="88">
        <v>46121</v>
      </c>
      <c r="W286" s="52"/>
      <c r="X286" s="30" t="s">
        <v>123</v>
      </c>
      <c r="Y286" s="30">
        <v>1</v>
      </c>
      <c r="Z286" s="30"/>
      <c r="AA286" s="93">
        <v>46111</v>
      </c>
      <c r="AB286" s="88">
        <v>46121</v>
      </c>
      <c r="AC286" s="30"/>
      <c r="AD286" s="56" t="s">
        <v>72</v>
      </c>
      <c r="AE286" s="33"/>
      <c r="AF286" s="137">
        <v>46119</v>
      </c>
      <c r="AG286" s="89">
        <v>46113</v>
      </c>
      <c r="AH286" s="137">
        <v>46133</v>
      </c>
      <c r="AI286" s="89">
        <v>46135</v>
      </c>
      <c r="AJ286" s="89"/>
      <c r="AK286" s="44">
        <v>46127</v>
      </c>
      <c r="AL286" s="170">
        <v>46560</v>
      </c>
      <c r="AM286" s="59"/>
      <c r="AN286" s="59"/>
      <c r="AO286" s="97"/>
      <c r="AP286" s="97"/>
      <c r="AQ286" s="33"/>
      <c r="AR286" s="30"/>
      <c r="AS286" s="33"/>
    </row>
    <row r="287" spans="1:45" ht="18.649999999999999" customHeight="1">
      <c r="A287" s="199" t="s">
        <v>826</v>
      </c>
      <c r="B287" s="199" t="s">
        <v>93</v>
      </c>
      <c r="C287" s="30"/>
      <c r="D287" s="48" t="s">
        <v>194</v>
      </c>
      <c r="E287" s="52" t="s">
        <v>195</v>
      </c>
      <c r="F287" s="49" t="s">
        <v>346</v>
      </c>
      <c r="G287" s="107" t="s">
        <v>196</v>
      </c>
      <c r="H287" s="108">
        <v>1500</v>
      </c>
      <c r="I287" s="108" t="s">
        <v>85</v>
      </c>
      <c r="J287" s="33" t="s">
        <v>827</v>
      </c>
      <c r="K287" s="30" t="s">
        <v>53</v>
      </c>
      <c r="L287" s="33"/>
      <c r="M287" s="62" t="s">
        <v>828</v>
      </c>
      <c r="N287" s="30" t="s">
        <v>829</v>
      </c>
      <c r="O287" s="48" t="s">
        <v>68</v>
      </c>
      <c r="P287" s="30"/>
      <c r="Q287" s="30" t="s">
        <v>830</v>
      </c>
      <c r="R287" s="48" t="s">
        <v>820</v>
      </c>
      <c r="S287" s="30" t="s">
        <v>831</v>
      </c>
      <c r="T287" s="180">
        <v>46132</v>
      </c>
      <c r="U287" s="93">
        <v>46117</v>
      </c>
      <c r="V287" s="88">
        <v>46126</v>
      </c>
      <c r="W287" s="52"/>
      <c r="X287" s="30" t="s">
        <v>123</v>
      </c>
      <c r="Y287" s="30">
        <v>1</v>
      </c>
      <c r="Z287" s="30"/>
      <c r="AA287" s="93">
        <v>46117</v>
      </c>
      <c r="AB287" s="88">
        <v>46126</v>
      </c>
      <c r="AC287" s="30"/>
      <c r="AD287" s="56" t="s">
        <v>72</v>
      </c>
      <c r="AE287" s="33"/>
      <c r="AF287" s="137">
        <v>46128</v>
      </c>
      <c r="AG287" s="89">
        <v>46120</v>
      </c>
      <c r="AH287" s="177">
        <v>46136</v>
      </c>
      <c r="AI287" s="89">
        <v>46139</v>
      </c>
      <c r="AJ287" s="89"/>
      <c r="AK287" s="44">
        <v>46137</v>
      </c>
      <c r="AL287" s="45">
        <v>46560</v>
      </c>
      <c r="AM287" s="59"/>
      <c r="AN287" s="59"/>
      <c r="AO287" s="97"/>
      <c r="AP287" s="97"/>
      <c r="AQ287" s="33"/>
      <c r="AR287" s="30">
        <v>16</v>
      </c>
      <c r="AS287" s="207" t="s">
        <v>832</v>
      </c>
    </row>
    <row r="288" spans="1:45" ht="18.649999999999999" customHeight="1" thickBot="1">
      <c r="A288" s="48"/>
      <c r="B288" s="222" t="s">
        <v>741</v>
      </c>
      <c r="C288" s="235"/>
      <c r="D288" s="48" t="s">
        <v>194</v>
      </c>
      <c r="E288" s="52" t="s">
        <v>195</v>
      </c>
      <c r="F288" s="49" t="s">
        <v>346</v>
      </c>
      <c r="G288" s="107" t="s">
        <v>196</v>
      </c>
      <c r="H288" s="108">
        <v>1500</v>
      </c>
      <c r="I288" s="108" t="s">
        <v>85</v>
      </c>
      <c r="J288" s="102" t="s">
        <v>833</v>
      </c>
      <c r="K288" s="30" t="s">
        <v>53</v>
      </c>
      <c r="L288" s="209">
        <v>46070</v>
      </c>
      <c r="M288" s="62" t="s">
        <v>834</v>
      </c>
      <c r="N288" s="30" t="s">
        <v>835</v>
      </c>
      <c r="O288" s="48" t="s">
        <v>68</v>
      </c>
      <c r="P288" s="30"/>
      <c r="Q288" s="30" t="s">
        <v>836</v>
      </c>
      <c r="R288" s="48" t="s">
        <v>837</v>
      </c>
      <c r="S288" s="30" t="s">
        <v>838</v>
      </c>
      <c r="T288" s="180">
        <v>46153</v>
      </c>
      <c r="U288" s="230">
        <v>46140</v>
      </c>
      <c r="V288" s="88">
        <v>46150</v>
      </c>
      <c r="W288" s="52"/>
      <c r="X288" s="30" t="s">
        <v>123</v>
      </c>
      <c r="Y288" s="30">
        <v>1</v>
      </c>
      <c r="Z288" s="30"/>
      <c r="AA288" s="95">
        <v>46142</v>
      </c>
      <c r="AB288" s="230">
        <v>46152</v>
      </c>
      <c r="AC288" s="30"/>
      <c r="AD288" s="56" t="s">
        <v>72</v>
      </c>
      <c r="AE288" s="30"/>
      <c r="AF288" s="137">
        <v>46147</v>
      </c>
      <c r="AG288" s="230">
        <v>46142</v>
      </c>
      <c r="AH288" s="30"/>
      <c r="AI288" s="30"/>
      <c r="AJ288" s="30"/>
      <c r="AK288" s="236">
        <v>46157</v>
      </c>
      <c r="AL288" s="237">
        <v>46560</v>
      </c>
      <c r="AM288" s="59"/>
      <c r="AN288" s="59"/>
      <c r="AO288" s="97"/>
      <c r="AP288" s="97"/>
      <c r="AQ288" s="33"/>
      <c r="AR288" s="30"/>
      <c r="AS288" s="33"/>
    </row>
    <row r="289" spans="1:45" ht="18.649999999999999" customHeight="1" thickBot="1">
      <c r="A289" s="48"/>
      <c r="B289" s="222" t="s">
        <v>741</v>
      </c>
      <c r="C289" s="235"/>
      <c r="D289" s="48" t="s">
        <v>194</v>
      </c>
      <c r="E289" s="52" t="s">
        <v>195</v>
      </c>
      <c r="F289" s="49" t="s">
        <v>346</v>
      </c>
      <c r="G289" s="107" t="s">
        <v>196</v>
      </c>
      <c r="H289" s="108">
        <v>1500</v>
      </c>
      <c r="I289" s="108" t="s">
        <v>85</v>
      </c>
      <c r="J289" s="33" t="s">
        <v>839</v>
      </c>
      <c r="K289" s="30"/>
      <c r="L289" s="209">
        <v>46070</v>
      </c>
      <c r="M289" s="48" t="s">
        <v>840</v>
      </c>
      <c r="N289" s="30" t="s">
        <v>841</v>
      </c>
      <c r="O289" s="48" t="s">
        <v>68</v>
      </c>
      <c r="P289" s="30"/>
      <c r="Q289" s="30"/>
      <c r="R289" s="48"/>
      <c r="S289" s="30"/>
      <c r="T289" s="180">
        <v>46160</v>
      </c>
      <c r="U289" s="230">
        <v>46149</v>
      </c>
      <c r="V289" s="88">
        <v>46159</v>
      </c>
      <c r="W289" s="52"/>
      <c r="X289" s="30" t="s">
        <v>123</v>
      </c>
      <c r="Y289" s="30">
        <v>1</v>
      </c>
      <c r="Z289" s="30"/>
      <c r="AA289" s="95">
        <v>46148</v>
      </c>
      <c r="AB289" s="30"/>
      <c r="AC289" s="30"/>
      <c r="AD289" s="56" t="s">
        <v>72</v>
      </c>
      <c r="AE289" s="30"/>
      <c r="AF289" s="30"/>
      <c r="AG289" s="30"/>
      <c r="AH289" s="30"/>
      <c r="AI289" s="30"/>
      <c r="AJ289" s="30"/>
      <c r="AK289" s="236">
        <v>46157</v>
      </c>
      <c r="AL289" s="237">
        <v>46560</v>
      </c>
      <c r="AM289" s="59"/>
      <c r="AN289" s="59"/>
      <c r="AO289" s="97"/>
      <c r="AP289" s="97"/>
      <c r="AQ289" s="33"/>
      <c r="AR289" s="30"/>
      <c r="AS289" s="33"/>
    </row>
    <row r="290" spans="1:45" s="254" customFormat="1" ht="18.5" customHeight="1">
      <c r="A290" s="220"/>
      <c r="B290" s="60" t="s">
        <v>93</v>
      </c>
      <c r="C290" s="238"/>
      <c r="D290" s="239" t="s">
        <v>194</v>
      </c>
      <c r="E290" s="240" t="s">
        <v>195</v>
      </c>
      <c r="F290" s="241" t="s">
        <v>346</v>
      </c>
      <c r="G290" s="242" t="s">
        <v>196</v>
      </c>
      <c r="H290" s="243">
        <v>1500</v>
      </c>
      <c r="I290" s="243" t="s">
        <v>85</v>
      </c>
      <c r="J290" s="244" t="s">
        <v>842</v>
      </c>
      <c r="K290" s="238" t="s">
        <v>53</v>
      </c>
      <c r="L290" s="245">
        <v>46100</v>
      </c>
      <c r="M290" s="239" t="s">
        <v>843</v>
      </c>
      <c r="N290" s="238"/>
      <c r="O290" s="220" t="s">
        <v>68</v>
      </c>
      <c r="P290" s="238"/>
      <c r="Q290" s="238"/>
      <c r="R290" s="220"/>
      <c r="S290" s="238"/>
      <c r="T290" s="246">
        <v>46181</v>
      </c>
      <c r="U290" s="247"/>
      <c r="V290" s="220"/>
      <c r="W290" s="248"/>
      <c r="X290" s="238" t="s">
        <v>123</v>
      </c>
      <c r="Y290" s="238">
        <v>1</v>
      </c>
      <c r="Z290" s="238"/>
      <c r="AA290" s="220"/>
      <c r="AB290" s="238"/>
      <c r="AC290" s="238"/>
      <c r="AD290" s="249" t="s">
        <v>72</v>
      </c>
      <c r="AE290" s="250"/>
      <c r="AF290" s="238"/>
      <c r="AG290" s="238"/>
      <c r="AH290" s="238"/>
      <c r="AI290" s="238"/>
      <c r="AJ290" s="238"/>
      <c r="AK290" s="251"/>
      <c r="AL290" s="250"/>
      <c r="AM290" s="252"/>
      <c r="AN290" s="252"/>
      <c r="AO290" s="253"/>
      <c r="AP290" s="253"/>
      <c r="AQ290" s="250"/>
      <c r="AR290" s="238"/>
      <c r="AS290" s="250"/>
    </row>
    <row r="291" spans="1:45" s="254" customFormat="1" ht="18.649999999999999" customHeight="1">
      <c r="A291" s="220"/>
      <c r="B291" s="60" t="s">
        <v>93</v>
      </c>
      <c r="C291" s="238"/>
      <c r="D291" s="239" t="s">
        <v>194</v>
      </c>
      <c r="E291" s="240" t="s">
        <v>195</v>
      </c>
      <c r="F291" s="241" t="s">
        <v>346</v>
      </c>
      <c r="G291" s="242" t="s">
        <v>196</v>
      </c>
      <c r="H291" s="243">
        <v>1500</v>
      </c>
      <c r="I291" s="243" t="s">
        <v>85</v>
      </c>
      <c r="J291" s="244" t="s">
        <v>844</v>
      </c>
      <c r="K291" s="238" t="s">
        <v>53</v>
      </c>
      <c r="L291" s="245">
        <v>46100</v>
      </c>
      <c r="M291" s="239" t="s">
        <v>845</v>
      </c>
      <c r="N291" s="238"/>
      <c r="O291" s="220" t="s">
        <v>68</v>
      </c>
      <c r="P291" s="238"/>
      <c r="Q291" s="238"/>
      <c r="R291" s="220"/>
      <c r="S291" s="238"/>
      <c r="T291" s="246">
        <v>46195</v>
      </c>
      <c r="U291" s="247"/>
      <c r="V291" s="220"/>
      <c r="W291" s="248"/>
      <c r="X291" s="238" t="s">
        <v>123</v>
      </c>
      <c r="Y291" s="238">
        <v>1</v>
      </c>
      <c r="Z291" s="238"/>
      <c r="AA291" s="220"/>
      <c r="AB291" s="238"/>
      <c r="AC291" s="238"/>
      <c r="AD291" s="249" t="s">
        <v>72</v>
      </c>
      <c r="AE291" s="250"/>
      <c r="AF291" s="238"/>
      <c r="AG291" s="238"/>
      <c r="AH291" s="238"/>
      <c r="AI291" s="238"/>
      <c r="AJ291" s="238"/>
      <c r="AK291" s="251"/>
      <c r="AL291" s="250"/>
      <c r="AM291" s="252"/>
      <c r="AN291" s="252"/>
      <c r="AO291" s="253"/>
      <c r="AP291" s="253"/>
      <c r="AQ291" s="250"/>
      <c r="AR291" s="238"/>
      <c r="AS291" s="250"/>
    </row>
    <row r="292" spans="1:45" s="254" customFormat="1" ht="18.649999999999999" customHeight="1">
      <c r="A292" s="220"/>
      <c r="B292" s="220"/>
      <c r="C292" s="238"/>
      <c r="D292" s="239" t="s">
        <v>194</v>
      </c>
      <c r="E292" s="240" t="s">
        <v>195</v>
      </c>
      <c r="F292" s="241" t="s">
        <v>346</v>
      </c>
      <c r="G292" s="242" t="s">
        <v>196</v>
      </c>
      <c r="H292" s="243">
        <v>1500</v>
      </c>
      <c r="I292" s="243" t="s">
        <v>85</v>
      </c>
      <c r="J292" s="244" t="s">
        <v>846</v>
      </c>
      <c r="K292" s="238" t="s">
        <v>53</v>
      </c>
      <c r="L292" s="245">
        <v>46140</v>
      </c>
      <c r="M292" s="239" t="s">
        <v>847</v>
      </c>
      <c r="N292" s="238"/>
      <c r="O292" s="220" t="s">
        <v>68</v>
      </c>
      <c r="P292" s="238"/>
      <c r="Q292" s="238"/>
      <c r="R292" s="220"/>
      <c r="S292" s="238"/>
      <c r="T292" s="246">
        <v>46209</v>
      </c>
      <c r="U292" s="247"/>
      <c r="V292" s="220"/>
      <c r="W292" s="248"/>
      <c r="X292" s="238" t="s">
        <v>123</v>
      </c>
      <c r="Y292" s="238">
        <v>1</v>
      </c>
      <c r="Z292" s="238"/>
      <c r="AA292" s="220"/>
      <c r="AB292" s="238"/>
      <c r="AC292" s="238"/>
      <c r="AD292" s="249" t="s">
        <v>72</v>
      </c>
      <c r="AE292" s="250"/>
      <c r="AF292" s="238"/>
      <c r="AG292" s="238"/>
      <c r="AH292" s="238"/>
      <c r="AI292" s="238"/>
      <c r="AJ292" s="238"/>
      <c r="AK292" s="251"/>
      <c r="AL292" s="250"/>
      <c r="AM292" s="252"/>
      <c r="AN292" s="252"/>
      <c r="AO292" s="253"/>
      <c r="AP292" s="253"/>
      <c r="AQ292" s="250"/>
      <c r="AR292" s="238"/>
      <c r="AS292" s="250"/>
    </row>
    <row r="293" spans="1:45" s="254" customFormat="1" ht="18.649999999999999" customHeight="1">
      <c r="A293" s="220"/>
      <c r="B293" s="220"/>
      <c r="C293" s="238"/>
      <c r="D293" s="239" t="s">
        <v>194</v>
      </c>
      <c r="E293" s="240" t="s">
        <v>195</v>
      </c>
      <c r="F293" s="241" t="s">
        <v>346</v>
      </c>
      <c r="G293" s="242" t="s">
        <v>196</v>
      </c>
      <c r="H293" s="243">
        <v>1500</v>
      </c>
      <c r="I293" s="243" t="s">
        <v>85</v>
      </c>
      <c r="J293" s="244" t="s">
        <v>848</v>
      </c>
      <c r="K293" s="238" t="s">
        <v>53</v>
      </c>
      <c r="L293" s="245">
        <v>46140</v>
      </c>
      <c r="M293" s="239" t="s">
        <v>849</v>
      </c>
      <c r="N293" s="238"/>
      <c r="O293" s="220" t="s">
        <v>68</v>
      </c>
      <c r="P293" s="238"/>
      <c r="Q293" s="238"/>
      <c r="R293" s="220"/>
      <c r="S293" s="238"/>
      <c r="T293" s="246">
        <v>46216</v>
      </c>
      <c r="U293" s="247"/>
      <c r="V293" s="220"/>
      <c r="W293" s="248"/>
      <c r="X293" s="238" t="s">
        <v>123</v>
      </c>
      <c r="Y293" s="238">
        <v>1</v>
      </c>
      <c r="Z293" s="238"/>
      <c r="AA293" s="220"/>
      <c r="AB293" s="238"/>
      <c r="AC293" s="238"/>
      <c r="AD293" s="249" t="s">
        <v>72</v>
      </c>
      <c r="AE293" s="250"/>
      <c r="AF293" s="238"/>
      <c r="AG293" s="238"/>
      <c r="AH293" s="238"/>
      <c r="AI293" s="238"/>
      <c r="AJ293" s="238"/>
      <c r="AK293" s="251"/>
      <c r="AL293" s="250"/>
      <c r="AM293" s="252"/>
      <c r="AN293" s="252"/>
      <c r="AO293" s="253"/>
      <c r="AP293" s="253"/>
      <c r="AQ293" s="250"/>
      <c r="AR293" s="238"/>
      <c r="AS293" s="250"/>
    </row>
    <row r="294" spans="1:45" s="254" customFormat="1" ht="18.649999999999999" customHeight="1">
      <c r="A294" s="220"/>
      <c r="B294" s="220"/>
      <c r="C294" s="238"/>
      <c r="D294" s="239" t="s">
        <v>194</v>
      </c>
      <c r="E294" s="240" t="s">
        <v>195</v>
      </c>
      <c r="F294" s="241" t="s">
        <v>346</v>
      </c>
      <c r="G294" s="242" t="s">
        <v>196</v>
      </c>
      <c r="H294" s="243">
        <v>1500</v>
      </c>
      <c r="I294" s="243" t="s">
        <v>85</v>
      </c>
      <c r="J294" s="244" t="s">
        <v>850</v>
      </c>
      <c r="K294" s="238" t="s">
        <v>53</v>
      </c>
      <c r="L294" s="245">
        <v>46140</v>
      </c>
      <c r="M294" s="239" t="s">
        <v>851</v>
      </c>
      <c r="N294" s="238"/>
      <c r="O294" s="220" t="s">
        <v>68</v>
      </c>
      <c r="P294" s="238"/>
      <c r="Q294" s="238"/>
      <c r="R294" s="220"/>
      <c r="S294" s="238"/>
      <c r="T294" s="246">
        <v>46223</v>
      </c>
      <c r="U294" s="247"/>
      <c r="V294" s="220"/>
      <c r="W294" s="248"/>
      <c r="X294" s="238" t="s">
        <v>123</v>
      </c>
      <c r="Y294" s="238">
        <v>1</v>
      </c>
      <c r="Z294" s="238"/>
      <c r="AA294" s="220"/>
      <c r="AB294" s="238"/>
      <c r="AC294" s="238"/>
      <c r="AD294" s="249" t="s">
        <v>72</v>
      </c>
      <c r="AE294" s="250"/>
      <c r="AF294" s="238"/>
      <c r="AG294" s="238"/>
      <c r="AH294" s="238"/>
      <c r="AI294" s="238"/>
      <c r="AJ294" s="238"/>
      <c r="AK294" s="251"/>
      <c r="AL294" s="250"/>
      <c r="AM294" s="252"/>
      <c r="AN294" s="252"/>
      <c r="AO294" s="253"/>
      <c r="AP294" s="253"/>
      <c r="AQ294" s="250"/>
      <c r="AR294" s="238"/>
      <c r="AS294" s="250"/>
    </row>
    <row r="295" spans="1:45" s="254" customFormat="1" ht="18.649999999999999" customHeight="1">
      <c r="A295" s="220"/>
      <c r="B295" s="220"/>
      <c r="C295" s="238"/>
      <c r="D295" s="220" t="s">
        <v>194</v>
      </c>
      <c r="E295" s="248" t="s">
        <v>195</v>
      </c>
      <c r="F295" s="255" t="s">
        <v>346</v>
      </c>
      <c r="G295" s="256" t="s">
        <v>196</v>
      </c>
      <c r="H295" s="257">
        <v>1500</v>
      </c>
      <c r="I295" s="257" t="s">
        <v>85</v>
      </c>
      <c r="J295" s="250" t="s">
        <v>852</v>
      </c>
      <c r="K295" s="238"/>
      <c r="L295" s="250"/>
      <c r="M295" s="220"/>
      <c r="N295" s="238"/>
      <c r="O295" s="220" t="s">
        <v>68</v>
      </c>
      <c r="P295" s="238"/>
      <c r="Q295" s="238"/>
      <c r="R295" s="220"/>
      <c r="S295" s="238"/>
      <c r="T295" s="246">
        <v>46237</v>
      </c>
      <c r="U295" s="247"/>
      <c r="V295" s="220"/>
      <c r="W295" s="248"/>
      <c r="X295" s="238" t="s">
        <v>123</v>
      </c>
      <c r="Y295" s="238">
        <v>1</v>
      </c>
      <c r="Z295" s="238"/>
      <c r="AA295" s="220"/>
      <c r="AB295" s="238"/>
      <c r="AC295" s="238"/>
      <c r="AD295" s="249" t="s">
        <v>72</v>
      </c>
      <c r="AE295" s="250"/>
      <c r="AF295" s="238"/>
      <c r="AG295" s="238"/>
      <c r="AH295" s="238"/>
      <c r="AI295" s="238"/>
      <c r="AJ295" s="238"/>
      <c r="AK295" s="251"/>
      <c r="AL295" s="250"/>
      <c r="AM295" s="252"/>
      <c r="AN295" s="252"/>
      <c r="AO295" s="253"/>
      <c r="AP295" s="253"/>
      <c r="AQ295" s="250"/>
      <c r="AR295" s="238"/>
      <c r="AS295" s="250"/>
    </row>
    <row r="296" spans="1:45" s="254" customFormat="1" ht="18.649999999999999" customHeight="1">
      <c r="A296" s="220"/>
      <c r="B296" s="220"/>
      <c r="C296" s="238"/>
      <c r="D296" s="220" t="s">
        <v>194</v>
      </c>
      <c r="E296" s="248" t="s">
        <v>195</v>
      </c>
      <c r="F296" s="255" t="s">
        <v>346</v>
      </c>
      <c r="G296" s="256" t="s">
        <v>196</v>
      </c>
      <c r="H296" s="257">
        <v>1500</v>
      </c>
      <c r="I296" s="257" t="s">
        <v>85</v>
      </c>
      <c r="J296" s="250" t="s">
        <v>853</v>
      </c>
      <c r="K296" s="238"/>
      <c r="L296" s="250"/>
      <c r="M296" s="220"/>
      <c r="N296" s="238"/>
      <c r="O296" s="220" t="s">
        <v>68</v>
      </c>
      <c r="P296" s="238"/>
      <c r="Q296" s="238"/>
      <c r="R296" s="220"/>
      <c r="S296" s="238"/>
      <c r="T296" s="246">
        <v>46244</v>
      </c>
      <c r="U296" s="247"/>
      <c r="V296" s="220"/>
      <c r="W296" s="248"/>
      <c r="X296" s="238" t="s">
        <v>123</v>
      </c>
      <c r="Y296" s="238">
        <v>1</v>
      </c>
      <c r="Z296" s="238"/>
      <c r="AA296" s="220"/>
      <c r="AB296" s="238"/>
      <c r="AC296" s="238"/>
      <c r="AD296" s="249" t="s">
        <v>72</v>
      </c>
      <c r="AE296" s="250"/>
      <c r="AF296" s="238"/>
      <c r="AG296" s="238"/>
      <c r="AH296" s="238"/>
      <c r="AI296" s="238"/>
      <c r="AJ296" s="238"/>
      <c r="AK296" s="251"/>
      <c r="AL296" s="250"/>
      <c r="AM296" s="252"/>
      <c r="AN296" s="252"/>
      <c r="AO296" s="253"/>
      <c r="AP296" s="253"/>
      <c r="AQ296" s="250"/>
      <c r="AR296" s="238"/>
      <c r="AS296" s="250"/>
    </row>
    <row r="297" spans="1:45" s="254" customFormat="1" ht="18.649999999999999" customHeight="1">
      <c r="A297" s="220"/>
      <c r="B297" s="220"/>
      <c r="C297" s="238"/>
      <c r="D297" s="220" t="s">
        <v>194</v>
      </c>
      <c r="E297" s="248" t="s">
        <v>195</v>
      </c>
      <c r="F297" s="255" t="s">
        <v>346</v>
      </c>
      <c r="G297" s="256" t="s">
        <v>196</v>
      </c>
      <c r="H297" s="257">
        <v>1500</v>
      </c>
      <c r="I297" s="257" t="s">
        <v>85</v>
      </c>
      <c r="J297" s="250" t="s">
        <v>854</v>
      </c>
      <c r="K297" s="238"/>
      <c r="L297" s="250"/>
      <c r="M297" s="220"/>
      <c r="N297" s="238"/>
      <c r="O297" s="220" t="s">
        <v>68</v>
      </c>
      <c r="P297" s="238"/>
      <c r="Q297" s="238"/>
      <c r="R297" s="220"/>
      <c r="S297" s="238"/>
      <c r="T297" s="246">
        <v>46272</v>
      </c>
      <c r="U297" s="247"/>
      <c r="V297" s="220"/>
      <c r="W297" s="248"/>
      <c r="X297" s="238" t="s">
        <v>123</v>
      </c>
      <c r="Y297" s="238">
        <v>1</v>
      </c>
      <c r="Z297" s="238"/>
      <c r="AA297" s="220"/>
      <c r="AB297" s="238"/>
      <c r="AC297" s="238"/>
      <c r="AD297" s="249" t="s">
        <v>72</v>
      </c>
      <c r="AE297" s="250"/>
      <c r="AF297" s="238"/>
      <c r="AG297" s="238"/>
      <c r="AH297" s="238"/>
      <c r="AI297" s="238"/>
      <c r="AJ297" s="238"/>
      <c r="AK297" s="251"/>
      <c r="AL297" s="250"/>
      <c r="AM297" s="252"/>
      <c r="AN297" s="252"/>
      <c r="AO297" s="253"/>
      <c r="AP297" s="253"/>
      <c r="AQ297" s="250"/>
      <c r="AR297" s="238"/>
      <c r="AS297" s="250"/>
    </row>
    <row r="298" spans="1:45" s="254" customFormat="1" ht="18.649999999999999" customHeight="1">
      <c r="A298" s="220"/>
      <c r="B298" s="220"/>
      <c r="C298" s="238"/>
      <c r="D298" s="220" t="s">
        <v>194</v>
      </c>
      <c r="E298" s="248" t="s">
        <v>195</v>
      </c>
      <c r="F298" s="255" t="s">
        <v>346</v>
      </c>
      <c r="G298" s="256" t="s">
        <v>196</v>
      </c>
      <c r="H298" s="257">
        <v>1500</v>
      </c>
      <c r="I298" s="257" t="s">
        <v>85</v>
      </c>
      <c r="J298" s="250" t="s">
        <v>855</v>
      </c>
      <c r="K298" s="238"/>
      <c r="L298" s="250"/>
      <c r="M298" s="220"/>
      <c r="N298" s="238"/>
      <c r="O298" s="220" t="s">
        <v>68</v>
      </c>
      <c r="P298" s="238"/>
      <c r="Q298" s="238"/>
      <c r="R298" s="220"/>
      <c r="S298" s="238"/>
      <c r="T298" s="246">
        <v>46279</v>
      </c>
      <c r="U298" s="247"/>
      <c r="V298" s="220"/>
      <c r="W298" s="248"/>
      <c r="X298" s="238" t="s">
        <v>123</v>
      </c>
      <c r="Y298" s="238">
        <v>1</v>
      </c>
      <c r="Z298" s="238"/>
      <c r="AA298" s="220"/>
      <c r="AB298" s="238"/>
      <c r="AC298" s="238"/>
      <c r="AD298" s="249" t="s">
        <v>72</v>
      </c>
      <c r="AE298" s="250"/>
      <c r="AF298" s="238"/>
      <c r="AG298" s="238"/>
      <c r="AH298" s="238"/>
      <c r="AI298" s="238"/>
      <c r="AJ298" s="238"/>
      <c r="AK298" s="251"/>
      <c r="AL298" s="250"/>
      <c r="AM298" s="252"/>
      <c r="AN298" s="252"/>
      <c r="AO298" s="253"/>
      <c r="AP298" s="253"/>
      <c r="AQ298" s="250"/>
      <c r="AR298" s="238"/>
      <c r="AS298" s="250"/>
    </row>
    <row r="299" spans="1:45" s="254" customFormat="1" ht="18.649999999999999" customHeight="1">
      <c r="A299" s="220"/>
      <c r="B299" s="220"/>
      <c r="C299" s="238"/>
      <c r="D299" s="220" t="s">
        <v>194</v>
      </c>
      <c r="E299" s="248" t="s">
        <v>195</v>
      </c>
      <c r="F299" s="255" t="s">
        <v>346</v>
      </c>
      <c r="G299" s="256" t="s">
        <v>196</v>
      </c>
      <c r="H299" s="257">
        <v>1500</v>
      </c>
      <c r="I299" s="257" t="s">
        <v>85</v>
      </c>
      <c r="J299" s="250" t="s">
        <v>856</v>
      </c>
      <c r="K299" s="238"/>
      <c r="L299" s="250"/>
      <c r="M299" s="220"/>
      <c r="N299" s="238"/>
      <c r="O299" s="220" t="s">
        <v>68</v>
      </c>
      <c r="P299" s="238"/>
      <c r="Q299" s="238"/>
      <c r="R299" s="220"/>
      <c r="S299" s="238"/>
      <c r="T299" s="246">
        <v>46286</v>
      </c>
      <c r="U299" s="247"/>
      <c r="V299" s="220"/>
      <c r="W299" s="248"/>
      <c r="X299" s="238" t="s">
        <v>123</v>
      </c>
      <c r="Y299" s="238">
        <v>1</v>
      </c>
      <c r="Z299" s="238"/>
      <c r="AA299" s="220"/>
      <c r="AB299" s="238"/>
      <c r="AC299" s="238"/>
      <c r="AD299" s="249" t="s">
        <v>72</v>
      </c>
      <c r="AE299" s="250"/>
      <c r="AF299" s="238"/>
      <c r="AG299" s="238"/>
      <c r="AH299" s="238"/>
      <c r="AI299" s="238"/>
      <c r="AJ299" s="238"/>
      <c r="AK299" s="251"/>
      <c r="AL299" s="250"/>
      <c r="AM299" s="252"/>
      <c r="AN299" s="252"/>
      <c r="AO299" s="253"/>
      <c r="AP299" s="253"/>
      <c r="AQ299" s="250"/>
      <c r="AR299" s="238"/>
      <c r="AS299" s="250"/>
    </row>
    <row r="300" spans="1:45" s="254" customFormat="1" ht="18.649999999999999" customHeight="1">
      <c r="A300" s="220"/>
      <c r="B300" s="220"/>
      <c r="C300" s="238"/>
      <c r="D300" s="220" t="s">
        <v>194</v>
      </c>
      <c r="E300" s="248" t="s">
        <v>195</v>
      </c>
      <c r="F300" s="255" t="s">
        <v>346</v>
      </c>
      <c r="G300" s="256" t="s">
        <v>196</v>
      </c>
      <c r="H300" s="257">
        <v>1500</v>
      </c>
      <c r="I300" s="257" t="s">
        <v>85</v>
      </c>
      <c r="J300" s="250" t="s">
        <v>857</v>
      </c>
      <c r="K300" s="238"/>
      <c r="L300" s="250"/>
      <c r="M300" s="220"/>
      <c r="N300" s="238"/>
      <c r="O300" s="220" t="s">
        <v>68</v>
      </c>
      <c r="P300" s="238"/>
      <c r="Q300" s="238"/>
      <c r="R300" s="220"/>
      <c r="S300" s="238"/>
      <c r="T300" s="246">
        <v>46300</v>
      </c>
      <c r="U300" s="247"/>
      <c r="V300" s="220"/>
      <c r="W300" s="248"/>
      <c r="X300" s="238" t="s">
        <v>123</v>
      </c>
      <c r="Y300" s="238">
        <v>1</v>
      </c>
      <c r="Z300" s="238"/>
      <c r="AA300" s="220"/>
      <c r="AB300" s="238"/>
      <c r="AC300" s="238"/>
      <c r="AD300" s="249" t="s">
        <v>72</v>
      </c>
      <c r="AE300" s="250"/>
      <c r="AF300" s="238"/>
      <c r="AG300" s="238"/>
      <c r="AH300" s="238"/>
      <c r="AI300" s="238"/>
      <c r="AJ300" s="238"/>
      <c r="AK300" s="251"/>
      <c r="AL300" s="250"/>
      <c r="AM300" s="252"/>
      <c r="AN300" s="252"/>
      <c r="AO300" s="253"/>
      <c r="AP300" s="253"/>
      <c r="AQ300" s="250"/>
      <c r="AR300" s="238"/>
      <c r="AS300" s="250"/>
    </row>
    <row r="301" spans="1:45" ht="18.649999999999999" customHeight="1">
      <c r="A301" s="48" t="s">
        <v>53</v>
      </c>
      <c r="B301" s="199" t="s">
        <v>93</v>
      </c>
      <c r="C301" s="30"/>
      <c r="D301" s="48" t="s">
        <v>194</v>
      </c>
      <c r="E301" s="52" t="s">
        <v>195</v>
      </c>
      <c r="F301" s="49" t="s">
        <v>346</v>
      </c>
      <c r="G301" s="107" t="s">
        <v>196</v>
      </c>
      <c r="H301" s="108">
        <v>1500</v>
      </c>
      <c r="I301" s="108" t="s">
        <v>85</v>
      </c>
      <c r="J301" s="33" t="s">
        <v>858</v>
      </c>
      <c r="K301" s="30"/>
      <c r="L301" s="33"/>
      <c r="M301" s="48"/>
      <c r="N301" s="30"/>
      <c r="O301" s="48" t="s">
        <v>68</v>
      </c>
      <c r="P301" s="30"/>
      <c r="Q301" s="30"/>
      <c r="R301" s="48"/>
      <c r="S301" s="30"/>
      <c r="T301" s="180">
        <v>46314</v>
      </c>
      <c r="U301" s="93"/>
      <c r="V301" s="48"/>
      <c r="W301" s="52"/>
      <c r="X301" s="30" t="s">
        <v>123</v>
      </c>
      <c r="Y301" s="30">
        <v>1</v>
      </c>
      <c r="Z301" s="30"/>
      <c r="AA301" s="48"/>
      <c r="AB301" s="30"/>
      <c r="AC301" s="30"/>
      <c r="AD301" s="56" t="s">
        <v>72</v>
      </c>
      <c r="AE301" s="33"/>
      <c r="AF301" s="30"/>
      <c r="AG301" s="30"/>
      <c r="AH301" s="30"/>
      <c r="AI301" s="30"/>
      <c r="AJ301" s="30"/>
      <c r="AK301" s="233"/>
      <c r="AL301" s="33"/>
      <c r="AM301" s="59"/>
      <c r="AN301" s="59"/>
      <c r="AO301" s="97"/>
      <c r="AP301" s="97"/>
      <c r="AQ301" s="33"/>
      <c r="AR301" s="30"/>
      <c r="AS301" s="33"/>
    </row>
    <row r="302" spans="1:45" ht="18.649999999999999" customHeight="1">
      <c r="A302" s="48" t="s">
        <v>624</v>
      </c>
      <c r="B302" s="199" t="s">
        <v>859</v>
      </c>
      <c r="D302" s="48" t="s">
        <v>352</v>
      </c>
      <c r="E302" s="49" t="s">
        <v>860</v>
      </c>
      <c r="F302" s="49" t="s">
        <v>861</v>
      </c>
      <c r="G302" s="49" t="s">
        <v>862</v>
      </c>
      <c r="H302" s="48">
        <v>2684</v>
      </c>
      <c r="I302" s="49" t="s">
        <v>85</v>
      </c>
      <c r="J302" s="49" t="s">
        <v>863</v>
      </c>
      <c r="K302" s="21" t="s">
        <v>53</v>
      </c>
      <c r="M302" s="214" t="s">
        <v>864</v>
      </c>
      <c r="N302" s="21">
        <v>945084843</v>
      </c>
      <c r="O302" s="5" t="s">
        <v>55</v>
      </c>
      <c r="Q302" s="20" t="s">
        <v>865</v>
      </c>
      <c r="R302" s="20" t="s">
        <v>622</v>
      </c>
      <c r="S302" s="63" t="s">
        <v>866</v>
      </c>
      <c r="T302" s="24">
        <v>46082</v>
      </c>
      <c r="U302" s="137">
        <v>46074</v>
      </c>
      <c r="V302" s="137">
        <v>46127</v>
      </c>
      <c r="X302" s="30" t="s">
        <v>58</v>
      </c>
      <c r="Y302" s="5">
        <v>1</v>
      </c>
      <c r="AA302" s="65">
        <v>46076</v>
      </c>
      <c r="AB302" s="230">
        <v>46137</v>
      </c>
      <c r="AD302" s="56" t="s">
        <v>72</v>
      </c>
      <c r="AF302" s="65">
        <v>46092</v>
      </c>
      <c r="AG302" s="65">
        <v>46080</v>
      </c>
      <c r="AH302" s="65">
        <v>46141</v>
      </c>
      <c r="AI302" s="177">
        <v>46142</v>
      </c>
      <c r="AJ302" s="177"/>
      <c r="AK302" s="178">
        <v>46078</v>
      </c>
      <c r="AL302" s="184">
        <v>47506.8</v>
      </c>
      <c r="AM302" s="58"/>
      <c r="AN302" s="58"/>
      <c r="AR302" s="21">
        <v>1</v>
      </c>
      <c r="AS302" s="21" t="s">
        <v>577</v>
      </c>
    </row>
    <row r="303" spans="1:45" ht="18.649999999999999" customHeight="1">
      <c r="A303" s="48"/>
      <c r="B303" s="48"/>
      <c r="C303" s="30"/>
      <c r="D303" s="20" t="s">
        <v>275</v>
      </c>
      <c r="E303" s="31" t="s">
        <v>63</v>
      </c>
      <c r="F303" s="31">
        <v>1000031684</v>
      </c>
      <c r="G303" s="107" t="s">
        <v>100</v>
      </c>
      <c r="H303" s="108">
        <v>1760</v>
      </c>
      <c r="I303" s="108" t="s">
        <v>52</v>
      </c>
      <c r="J303" s="33"/>
      <c r="K303" s="30" t="s">
        <v>53</v>
      </c>
      <c r="L303" s="33"/>
      <c r="M303" s="34" t="s">
        <v>867</v>
      </c>
      <c r="N303" s="30" t="s">
        <v>868</v>
      </c>
      <c r="O303" s="20" t="s">
        <v>68</v>
      </c>
      <c r="P303" s="30"/>
      <c r="Q303" s="48">
        <v>7266310060</v>
      </c>
      <c r="R303" s="48" t="s">
        <v>56</v>
      </c>
      <c r="S303" s="30" t="s">
        <v>869</v>
      </c>
      <c r="T303" s="36">
        <v>46080</v>
      </c>
      <c r="U303" s="93">
        <v>46065</v>
      </c>
      <c r="V303" s="88">
        <v>46078</v>
      </c>
      <c r="W303" s="52"/>
      <c r="X303" s="20" t="s">
        <v>58</v>
      </c>
      <c r="Y303" s="20">
        <v>1</v>
      </c>
      <c r="Z303" s="20"/>
      <c r="AA303" s="88">
        <v>46068</v>
      </c>
      <c r="AB303" s="95">
        <v>46085</v>
      </c>
      <c r="AC303" s="30"/>
      <c r="AD303" s="42" t="s">
        <v>72</v>
      </c>
      <c r="AE303" s="33"/>
      <c r="AF303" s="88">
        <v>46086</v>
      </c>
      <c r="AG303" s="88">
        <v>46073</v>
      </c>
      <c r="AH303" s="88">
        <v>46088</v>
      </c>
      <c r="AI303" s="89">
        <v>46090</v>
      </c>
      <c r="AJ303" s="89"/>
      <c r="AK303" s="178">
        <v>46078</v>
      </c>
      <c r="AL303" s="45">
        <v>26400</v>
      </c>
      <c r="AM303" s="59"/>
      <c r="AN303" s="59"/>
      <c r="AO303" s="97"/>
      <c r="AP303" s="97"/>
      <c r="AQ303" s="33"/>
      <c r="AR303" s="30"/>
      <c r="AS303" s="33"/>
    </row>
    <row r="304" spans="1:45" ht="18.649999999999999" customHeight="1">
      <c r="A304" s="20" t="s">
        <v>740</v>
      </c>
      <c r="B304" s="222" t="s">
        <v>741</v>
      </c>
      <c r="C304" s="65">
        <v>46090</v>
      </c>
      <c r="D304" s="20" t="s">
        <v>275</v>
      </c>
      <c r="E304" s="31" t="s">
        <v>319</v>
      </c>
      <c r="F304" s="31">
        <v>1000030433</v>
      </c>
      <c r="G304" s="107" t="s">
        <v>320</v>
      </c>
      <c r="H304" s="108">
        <v>756</v>
      </c>
      <c r="I304" s="108" t="s">
        <v>85</v>
      </c>
      <c r="K304" s="21"/>
      <c r="M304" s="136" t="s">
        <v>870</v>
      </c>
      <c r="N304" s="21" t="s">
        <v>871</v>
      </c>
      <c r="O304" s="30" t="s">
        <v>189</v>
      </c>
      <c r="Q304" s="20" t="s">
        <v>872</v>
      </c>
      <c r="R304" s="20" t="s">
        <v>873</v>
      </c>
      <c r="S304" s="5" t="s">
        <v>874</v>
      </c>
      <c r="T304" s="24">
        <v>46106</v>
      </c>
      <c r="U304" s="137">
        <v>46093</v>
      </c>
      <c r="V304" s="137">
        <v>46102</v>
      </c>
      <c r="X304" s="30" t="s">
        <v>123</v>
      </c>
      <c r="Y304" s="30">
        <v>0.5</v>
      </c>
      <c r="AA304" s="65">
        <v>46102</v>
      </c>
      <c r="AB304" s="65">
        <v>46112</v>
      </c>
      <c r="AD304" s="56" t="s">
        <v>72</v>
      </c>
      <c r="AE304" s="65">
        <v>46098</v>
      </c>
      <c r="AF304" s="65">
        <v>46107</v>
      </c>
      <c r="AG304" s="65">
        <v>46104</v>
      </c>
      <c r="AH304" s="65">
        <v>46115</v>
      </c>
      <c r="AI304" s="177">
        <v>46119</v>
      </c>
      <c r="AJ304" s="177"/>
      <c r="AK304" s="178">
        <v>46106</v>
      </c>
      <c r="AL304" s="170">
        <v>151200</v>
      </c>
      <c r="AM304" s="58"/>
      <c r="AN304" s="58"/>
      <c r="AR304" s="21"/>
    </row>
    <row r="305" spans="1:45" ht="18.649999999999999" customHeight="1">
      <c r="A305" s="20" t="s">
        <v>740</v>
      </c>
      <c r="B305" s="222" t="s">
        <v>741</v>
      </c>
      <c r="C305" s="65">
        <v>46090</v>
      </c>
      <c r="D305" s="20" t="s">
        <v>275</v>
      </c>
      <c r="E305" s="31" t="s">
        <v>319</v>
      </c>
      <c r="F305" s="31">
        <v>1000024287</v>
      </c>
      <c r="G305" s="107" t="s">
        <v>326</v>
      </c>
      <c r="H305" s="108">
        <v>504</v>
      </c>
      <c r="I305" s="108" t="s">
        <v>85</v>
      </c>
      <c r="K305" s="21"/>
      <c r="M305" s="136" t="s">
        <v>870</v>
      </c>
      <c r="N305" s="21" t="s">
        <v>871</v>
      </c>
      <c r="O305" s="30" t="s">
        <v>189</v>
      </c>
      <c r="Q305" s="20" t="s">
        <v>872</v>
      </c>
      <c r="R305" s="20" t="s">
        <v>873</v>
      </c>
      <c r="S305" s="5" t="s">
        <v>874</v>
      </c>
      <c r="T305" s="24">
        <v>46106</v>
      </c>
      <c r="U305" s="137">
        <v>46093</v>
      </c>
      <c r="V305" s="137">
        <v>46102</v>
      </c>
      <c r="X305" s="30" t="s">
        <v>123</v>
      </c>
      <c r="Y305" s="30">
        <v>0.5</v>
      </c>
      <c r="AA305" s="65">
        <v>46102</v>
      </c>
      <c r="AB305" s="65">
        <v>46112</v>
      </c>
      <c r="AD305" s="56" t="s">
        <v>72</v>
      </c>
      <c r="AE305" s="21"/>
      <c r="AF305" s="65">
        <v>46107</v>
      </c>
      <c r="AG305" s="65">
        <v>46104</v>
      </c>
      <c r="AH305" s="65">
        <v>46115</v>
      </c>
      <c r="AI305" s="177">
        <v>46119</v>
      </c>
      <c r="AJ305" s="177"/>
      <c r="AK305" s="178">
        <v>46106</v>
      </c>
      <c r="AL305" s="170">
        <v>100800</v>
      </c>
      <c r="AM305" s="58"/>
      <c r="AN305" s="58"/>
      <c r="AR305" s="21"/>
    </row>
    <row r="306" spans="1:45" ht="18.649999999999999" customHeight="1">
      <c r="A306" s="20" t="s">
        <v>740</v>
      </c>
      <c r="B306" s="222" t="s">
        <v>741</v>
      </c>
      <c r="C306" s="65">
        <v>46090</v>
      </c>
      <c r="D306" s="20" t="s">
        <v>275</v>
      </c>
      <c r="E306" s="31" t="s">
        <v>319</v>
      </c>
      <c r="F306" s="49">
        <v>2000023239</v>
      </c>
      <c r="G306" s="107" t="s">
        <v>332</v>
      </c>
      <c r="H306" s="108">
        <v>25</v>
      </c>
      <c r="I306" s="108" t="s">
        <v>239</v>
      </c>
      <c r="K306" s="21"/>
      <c r="M306" s="136" t="s">
        <v>870</v>
      </c>
      <c r="N306" s="21" t="s">
        <v>871</v>
      </c>
      <c r="O306" s="30" t="s">
        <v>189</v>
      </c>
      <c r="Q306" s="20" t="s">
        <v>872</v>
      </c>
      <c r="R306" s="20" t="s">
        <v>873</v>
      </c>
      <c r="S306" s="5" t="s">
        <v>874</v>
      </c>
      <c r="T306" s="24">
        <v>46106</v>
      </c>
      <c r="U306" s="137">
        <v>46093</v>
      </c>
      <c r="V306" s="137">
        <v>46102</v>
      </c>
      <c r="X306" s="30" t="s">
        <v>123</v>
      </c>
      <c r="Y306" s="30">
        <v>0.5</v>
      </c>
      <c r="AA306" s="65">
        <v>46102</v>
      </c>
      <c r="AB306" s="65">
        <v>46112</v>
      </c>
      <c r="AD306" s="56" t="s">
        <v>72</v>
      </c>
      <c r="AE306" s="21"/>
      <c r="AF306" s="65">
        <v>46107</v>
      </c>
      <c r="AG306" s="65">
        <v>46104</v>
      </c>
      <c r="AH306" s="65">
        <v>46115</v>
      </c>
      <c r="AI306" s="177">
        <v>46119</v>
      </c>
      <c r="AJ306" s="177"/>
      <c r="AK306" s="178">
        <v>46106</v>
      </c>
      <c r="AL306" s="170">
        <v>262.5</v>
      </c>
      <c r="AM306" s="58"/>
      <c r="AN306" s="58"/>
      <c r="AR306" s="21"/>
    </row>
    <row r="307" spans="1:45" ht="18.649999999999999" customHeight="1">
      <c r="A307" s="20" t="s">
        <v>740</v>
      </c>
      <c r="B307" s="222" t="s">
        <v>741</v>
      </c>
      <c r="C307" s="65">
        <v>46090</v>
      </c>
      <c r="D307" s="20" t="s">
        <v>275</v>
      </c>
      <c r="E307" s="31" t="s">
        <v>319</v>
      </c>
      <c r="F307" s="49">
        <v>2000023499</v>
      </c>
      <c r="G307" s="107" t="s">
        <v>333</v>
      </c>
      <c r="H307" s="108">
        <v>30</v>
      </c>
      <c r="I307" s="108" t="s">
        <v>239</v>
      </c>
      <c r="K307" s="21"/>
      <c r="M307" s="136" t="s">
        <v>870</v>
      </c>
      <c r="N307" s="21" t="s">
        <v>871</v>
      </c>
      <c r="O307" s="30" t="s">
        <v>189</v>
      </c>
      <c r="Q307" s="20" t="s">
        <v>872</v>
      </c>
      <c r="R307" s="20" t="s">
        <v>873</v>
      </c>
      <c r="S307" s="5" t="s">
        <v>874</v>
      </c>
      <c r="T307" s="24">
        <v>46106</v>
      </c>
      <c r="U307" s="137">
        <v>46093</v>
      </c>
      <c r="V307" s="137">
        <v>46102</v>
      </c>
      <c r="X307" s="30" t="s">
        <v>123</v>
      </c>
      <c r="Y307" s="30">
        <v>0.5</v>
      </c>
      <c r="AA307" s="65">
        <v>46102</v>
      </c>
      <c r="AB307" s="65">
        <v>46112</v>
      </c>
      <c r="AD307" s="56" t="s">
        <v>72</v>
      </c>
      <c r="AE307" s="21"/>
      <c r="AF307" s="65">
        <v>46107</v>
      </c>
      <c r="AG307" s="65">
        <v>46104</v>
      </c>
      <c r="AH307" s="65">
        <v>46115</v>
      </c>
      <c r="AI307" s="177">
        <v>46119</v>
      </c>
      <c r="AJ307" s="177"/>
      <c r="AK307" s="178">
        <v>46106</v>
      </c>
      <c r="AL307" s="170">
        <v>60</v>
      </c>
      <c r="AM307" s="58"/>
      <c r="AN307" s="58"/>
      <c r="AR307" s="21"/>
    </row>
    <row r="308" spans="1:45" ht="18.649999999999999" customHeight="1">
      <c r="A308" s="48" t="s">
        <v>796</v>
      </c>
      <c r="B308" s="199" t="s">
        <v>93</v>
      </c>
      <c r="C308" s="30"/>
      <c r="D308" s="20" t="s">
        <v>160</v>
      </c>
      <c r="E308" s="31" t="s">
        <v>161</v>
      </c>
      <c r="F308" s="49">
        <v>1000033517</v>
      </c>
      <c r="G308" s="61" t="s">
        <v>162</v>
      </c>
      <c r="H308" s="20">
        <v>1008</v>
      </c>
      <c r="I308" s="48" t="s">
        <v>163</v>
      </c>
      <c r="J308" s="33" t="s">
        <v>875</v>
      </c>
      <c r="K308" s="30"/>
      <c r="L308" s="33"/>
      <c r="M308" s="34" t="s">
        <v>876</v>
      </c>
      <c r="N308" s="48" t="s">
        <v>877</v>
      </c>
      <c r="O308" s="20" t="s">
        <v>150</v>
      </c>
      <c r="P308" s="30"/>
      <c r="Q308" s="30">
        <v>2322324350</v>
      </c>
      <c r="R308" s="30" t="s">
        <v>168</v>
      </c>
      <c r="S308" s="30" t="s">
        <v>878</v>
      </c>
      <c r="T308" s="36">
        <v>46027</v>
      </c>
      <c r="U308" s="37">
        <v>46105</v>
      </c>
      <c r="V308" s="51">
        <v>46112</v>
      </c>
      <c r="W308" s="52"/>
      <c r="X308" s="20" t="s">
        <v>170</v>
      </c>
      <c r="Y308" s="20">
        <v>1</v>
      </c>
      <c r="Z308" s="20"/>
      <c r="AA308" s="37">
        <v>46106</v>
      </c>
      <c r="AB308" s="51">
        <v>46113</v>
      </c>
      <c r="AC308" s="30"/>
      <c r="AD308" s="42" t="s">
        <v>59</v>
      </c>
      <c r="AE308" s="33"/>
      <c r="AF308" s="89">
        <v>46112</v>
      </c>
      <c r="AG308" s="89">
        <v>46107</v>
      </c>
      <c r="AH308" s="89">
        <v>46120</v>
      </c>
      <c r="AI308" s="89">
        <v>46127</v>
      </c>
      <c r="AJ308" s="89"/>
      <c r="AK308" s="258">
        <v>46096</v>
      </c>
      <c r="AL308" s="91">
        <v>24696</v>
      </c>
      <c r="AM308" s="59"/>
      <c r="AN308" s="59"/>
      <c r="AO308" s="47">
        <v>0</v>
      </c>
      <c r="AP308" s="47" t="s">
        <v>61</v>
      </c>
      <c r="AQ308" s="33"/>
      <c r="AR308" s="33"/>
      <c r="AS308" s="33"/>
    </row>
    <row r="309" spans="1:45" ht="18.649999999999999" customHeight="1">
      <c r="A309" s="48" t="s">
        <v>796</v>
      </c>
      <c r="B309" s="199" t="s">
        <v>93</v>
      </c>
      <c r="C309" s="30"/>
      <c r="D309" s="20" t="s">
        <v>160</v>
      </c>
      <c r="E309" s="31" t="s">
        <v>161</v>
      </c>
      <c r="F309" s="49">
        <v>1000033517</v>
      </c>
      <c r="G309" s="61" t="s">
        <v>162</v>
      </c>
      <c r="H309" s="20">
        <v>1008</v>
      </c>
      <c r="I309" s="48" t="s">
        <v>163</v>
      </c>
      <c r="J309" s="33" t="s">
        <v>875</v>
      </c>
      <c r="K309" s="30"/>
      <c r="L309" s="33"/>
      <c r="M309" s="34" t="s">
        <v>879</v>
      </c>
      <c r="N309" s="48" t="s">
        <v>877</v>
      </c>
      <c r="O309" s="20" t="s">
        <v>150</v>
      </c>
      <c r="P309" s="30"/>
      <c r="Q309" s="30">
        <v>2322324350</v>
      </c>
      <c r="R309" s="30" t="s">
        <v>168</v>
      </c>
      <c r="S309" s="30" t="s">
        <v>878</v>
      </c>
      <c r="T309" s="36">
        <v>46027</v>
      </c>
      <c r="U309" s="37">
        <v>46105</v>
      </c>
      <c r="V309" s="51">
        <v>46112</v>
      </c>
      <c r="W309" s="52"/>
      <c r="X309" s="20" t="s">
        <v>170</v>
      </c>
      <c r="Y309" s="20">
        <v>1</v>
      </c>
      <c r="Z309" s="20"/>
      <c r="AA309" s="37">
        <v>46106</v>
      </c>
      <c r="AB309" s="51">
        <v>46113</v>
      </c>
      <c r="AC309" s="30"/>
      <c r="AD309" s="42" t="s">
        <v>59</v>
      </c>
      <c r="AE309" s="33"/>
      <c r="AF309" s="89">
        <v>46112</v>
      </c>
      <c r="AG309" s="89">
        <v>46107</v>
      </c>
      <c r="AH309" s="89">
        <v>46120</v>
      </c>
      <c r="AI309" s="89">
        <v>46127</v>
      </c>
      <c r="AJ309" s="89"/>
      <c r="AK309" s="258">
        <v>46096</v>
      </c>
      <c r="AL309" s="91">
        <v>24696</v>
      </c>
      <c r="AM309" s="59"/>
      <c r="AN309" s="59"/>
      <c r="AO309" s="47">
        <v>0</v>
      </c>
      <c r="AP309" s="47" t="s">
        <v>61</v>
      </c>
      <c r="AQ309" s="33"/>
      <c r="AR309" s="33"/>
      <c r="AS309" s="33"/>
    </row>
    <row r="310" spans="1:45" ht="18.649999999999999" customHeight="1">
      <c r="A310" s="259" t="s">
        <v>880</v>
      </c>
      <c r="B310" s="259" t="s">
        <v>53</v>
      </c>
      <c r="C310" s="193"/>
      <c r="D310" s="259" t="s">
        <v>160</v>
      </c>
      <c r="E310" s="260" t="s">
        <v>881</v>
      </c>
      <c r="F310" s="47">
        <v>1000034036</v>
      </c>
      <c r="G310" s="46" t="s">
        <v>882</v>
      </c>
      <c r="H310" s="193" t="s">
        <v>883</v>
      </c>
      <c r="I310" s="193" t="s">
        <v>52</v>
      </c>
      <c r="J310" s="46" t="s">
        <v>884</v>
      </c>
      <c r="K310" s="193" t="s">
        <v>53</v>
      </c>
      <c r="L310" s="46"/>
      <c r="M310" s="259" t="s">
        <v>885</v>
      </c>
      <c r="N310" s="193"/>
      <c r="O310" s="193" t="s">
        <v>150</v>
      </c>
      <c r="P310" s="193"/>
      <c r="Q310" s="193"/>
      <c r="R310" s="259"/>
      <c r="S310" s="193"/>
      <c r="T310" s="261">
        <v>46113</v>
      </c>
      <c r="U310" s="262"/>
      <c r="V310" s="259"/>
      <c r="W310" s="260"/>
      <c r="X310" s="193" t="s">
        <v>58</v>
      </c>
      <c r="Y310" s="193">
        <v>1</v>
      </c>
      <c r="Z310" s="193"/>
      <c r="AA310" s="259"/>
      <c r="AB310" s="193" t="s">
        <v>880</v>
      </c>
      <c r="AC310" s="193"/>
      <c r="AD310" s="263" t="s">
        <v>72</v>
      </c>
      <c r="AE310" s="193"/>
      <c r="AF310" s="193"/>
      <c r="AG310" s="193"/>
      <c r="AH310" s="193"/>
      <c r="AI310" s="193"/>
      <c r="AJ310" s="193"/>
      <c r="AK310" s="57"/>
      <c r="AL310" s="46"/>
      <c r="AM310" s="59"/>
      <c r="AN310" s="59"/>
      <c r="AO310" s="47">
        <v>0</v>
      </c>
      <c r="AP310" s="59" t="s">
        <v>886</v>
      </c>
      <c r="AQ310" s="46"/>
      <c r="AR310" s="193"/>
      <c r="AS310" s="46"/>
    </row>
    <row r="311" spans="1:45" ht="18.649999999999999" customHeight="1">
      <c r="A311" s="48" t="s">
        <v>796</v>
      </c>
      <c r="B311" s="222" t="s">
        <v>741</v>
      </c>
      <c r="C311" s="30"/>
      <c r="D311" s="20" t="s">
        <v>160</v>
      </c>
      <c r="E311" s="31" t="s">
        <v>548</v>
      </c>
      <c r="F311" s="49">
        <v>1000033875</v>
      </c>
      <c r="G311" s="107" t="s">
        <v>549</v>
      </c>
      <c r="H311" s="108" t="s">
        <v>887</v>
      </c>
      <c r="I311" s="108" t="s">
        <v>85</v>
      </c>
      <c r="J311" s="33"/>
      <c r="K311" s="30" t="s">
        <v>53</v>
      </c>
      <c r="L311" s="33"/>
      <c r="M311" s="62" t="s">
        <v>888</v>
      </c>
      <c r="N311" s="48">
        <v>4980379</v>
      </c>
      <c r="O311" s="30" t="s">
        <v>55</v>
      </c>
      <c r="P311" s="30"/>
      <c r="Q311" s="48">
        <v>2321762060</v>
      </c>
      <c r="R311" s="48" t="s">
        <v>168</v>
      </c>
      <c r="S311" s="30" t="s">
        <v>889</v>
      </c>
      <c r="T311" s="36">
        <v>46113</v>
      </c>
      <c r="U311" s="93">
        <v>46091</v>
      </c>
      <c r="V311" s="88">
        <v>46121</v>
      </c>
      <c r="W311" s="52"/>
      <c r="X311" s="120" t="s">
        <v>58</v>
      </c>
      <c r="Y311" s="120">
        <v>1</v>
      </c>
      <c r="Z311" s="120"/>
      <c r="AA311" s="93">
        <v>46091</v>
      </c>
      <c r="AB311" s="88">
        <v>46128</v>
      </c>
      <c r="AC311" s="30"/>
      <c r="AD311" s="56" t="s">
        <v>72</v>
      </c>
      <c r="AE311" s="33"/>
      <c r="AF311" s="88">
        <v>46099</v>
      </c>
      <c r="AG311" s="88">
        <v>46099</v>
      </c>
      <c r="AH311" s="88">
        <v>46133</v>
      </c>
      <c r="AI311" s="89">
        <v>46136</v>
      </c>
      <c r="AJ311" s="89"/>
      <c r="AK311" s="44">
        <v>46068</v>
      </c>
      <c r="AL311" s="45">
        <v>63000</v>
      </c>
      <c r="AM311" s="100">
        <v>46106</v>
      </c>
      <c r="AN311" s="101">
        <v>1386</v>
      </c>
      <c r="AO311" s="97"/>
      <c r="AP311" s="97"/>
      <c r="AQ311" s="33"/>
      <c r="AR311" s="30"/>
      <c r="AS311" s="33"/>
    </row>
    <row r="312" spans="1:45" ht="18.649999999999999" customHeight="1">
      <c r="A312" s="264"/>
      <c r="B312" s="222" t="s">
        <v>741</v>
      </c>
      <c r="C312" s="30"/>
      <c r="D312" s="20" t="s">
        <v>160</v>
      </c>
      <c r="E312" s="31" t="s">
        <v>548</v>
      </c>
      <c r="F312" s="49">
        <v>1000033875</v>
      </c>
      <c r="G312" s="107" t="s">
        <v>549</v>
      </c>
      <c r="H312" s="108" t="s">
        <v>890</v>
      </c>
      <c r="I312" s="108" t="s">
        <v>85</v>
      </c>
      <c r="J312" s="33"/>
      <c r="K312" s="30" t="s">
        <v>53</v>
      </c>
      <c r="L312" s="33"/>
      <c r="M312" s="62" t="s">
        <v>891</v>
      </c>
      <c r="N312" s="35" t="s">
        <v>892</v>
      </c>
      <c r="O312" s="30" t="s">
        <v>55</v>
      </c>
      <c r="P312" s="30"/>
      <c r="Q312" s="160">
        <v>2322920580</v>
      </c>
      <c r="R312" s="48" t="s">
        <v>168</v>
      </c>
      <c r="S312" s="30" t="s">
        <v>893</v>
      </c>
      <c r="T312" s="36">
        <v>46143</v>
      </c>
      <c r="U312" s="93">
        <v>46119</v>
      </c>
      <c r="V312" s="88">
        <v>46156</v>
      </c>
      <c r="W312" s="52"/>
      <c r="X312" s="20" t="s">
        <v>58</v>
      </c>
      <c r="Y312" s="20">
        <v>1</v>
      </c>
      <c r="Z312" s="20"/>
      <c r="AA312" s="265">
        <v>46112</v>
      </c>
      <c r="AB312" s="266">
        <v>46149</v>
      </c>
      <c r="AC312" s="30"/>
      <c r="AD312" s="42" t="s">
        <v>72</v>
      </c>
      <c r="AE312" s="30"/>
      <c r="AF312" s="89">
        <v>46133</v>
      </c>
      <c r="AG312" s="89">
        <v>46125</v>
      </c>
      <c r="AH312" s="89">
        <v>46151</v>
      </c>
      <c r="AI312" s="205"/>
      <c r="AJ312" s="205"/>
      <c r="AK312" s="267">
        <v>46096</v>
      </c>
      <c r="AL312" s="45">
        <v>63000</v>
      </c>
      <c r="AM312" s="59"/>
      <c r="AN312" s="59"/>
      <c r="AO312" s="97"/>
      <c r="AP312" s="97"/>
      <c r="AQ312" s="33"/>
      <c r="AR312" s="30">
        <v>32</v>
      </c>
      <c r="AS312" s="33" t="s">
        <v>894</v>
      </c>
    </row>
    <row r="313" spans="1:45" ht="18.649999999999999" customHeight="1">
      <c r="A313" s="20" t="s">
        <v>895</v>
      </c>
      <c r="B313" s="268" t="s">
        <v>896</v>
      </c>
      <c r="C313" s="229">
        <v>46188</v>
      </c>
      <c r="D313" s="20" t="s">
        <v>160</v>
      </c>
      <c r="E313" s="22" t="s">
        <v>548</v>
      </c>
      <c r="F313" s="49">
        <v>1000033875</v>
      </c>
      <c r="G313" s="107" t="s">
        <v>549</v>
      </c>
      <c r="H313" s="108">
        <v>1500</v>
      </c>
      <c r="I313" s="108" t="s">
        <v>85</v>
      </c>
      <c r="J313" s="33" t="s">
        <v>897</v>
      </c>
      <c r="K313" s="30" t="s">
        <v>53</v>
      </c>
      <c r="L313" s="33"/>
      <c r="M313" s="48" t="s">
        <v>898</v>
      </c>
      <c r="N313" s="30">
        <v>1228273</v>
      </c>
      <c r="O313" s="30" t="s">
        <v>55</v>
      </c>
      <c r="P313" s="30"/>
      <c r="Q313" s="30"/>
      <c r="R313" s="48"/>
      <c r="S313" s="30"/>
      <c r="T313" s="36">
        <v>46204</v>
      </c>
      <c r="U313" s="93"/>
      <c r="V313" s="48"/>
      <c r="W313" s="52"/>
      <c r="X313" s="20" t="s">
        <v>58</v>
      </c>
      <c r="Y313" s="20">
        <v>1</v>
      </c>
      <c r="Z313" s="20"/>
      <c r="AA313" s="48"/>
      <c r="AB313" s="30"/>
      <c r="AC313" s="30"/>
      <c r="AD313" s="42" t="s">
        <v>72</v>
      </c>
      <c r="AE313" s="33"/>
      <c r="AF313" s="30"/>
      <c r="AG313" s="30"/>
      <c r="AH313" s="30"/>
      <c r="AI313" s="30"/>
      <c r="AJ313" s="30"/>
      <c r="AK313" s="269">
        <v>46157</v>
      </c>
      <c r="AL313" s="270">
        <v>63000</v>
      </c>
      <c r="AM313" s="59"/>
      <c r="AN313" s="59"/>
      <c r="AO313" s="97"/>
      <c r="AP313" s="97"/>
      <c r="AQ313" s="33"/>
      <c r="AR313" s="30"/>
      <c r="AS313" s="33"/>
    </row>
    <row r="314" spans="1:45" ht="18.649999999999999" customHeight="1">
      <c r="A314" s="48" t="s">
        <v>633</v>
      </c>
      <c r="B314" s="199"/>
      <c r="D314" s="48" t="s">
        <v>160</v>
      </c>
      <c r="E314" s="49" t="s">
        <v>281</v>
      </c>
      <c r="F314" s="49">
        <v>1000013182</v>
      </c>
      <c r="G314" s="50" t="s">
        <v>282</v>
      </c>
      <c r="H314" s="20" t="s">
        <v>899</v>
      </c>
      <c r="I314" s="20" t="s">
        <v>52</v>
      </c>
      <c r="K314" s="21" t="s">
        <v>53</v>
      </c>
      <c r="M314" s="226" t="s">
        <v>900</v>
      </c>
      <c r="N314" s="21">
        <v>3710091209</v>
      </c>
      <c r="O314" s="30" t="s">
        <v>150</v>
      </c>
      <c r="Q314" s="20" t="s">
        <v>901</v>
      </c>
      <c r="R314" s="48" t="s">
        <v>287</v>
      </c>
      <c r="S314" s="5" t="s">
        <v>902</v>
      </c>
      <c r="T314" s="24">
        <v>46082</v>
      </c>
      <c r="U314" s="137">
        <v>46087</v>
      </c>
      <c r="V314" s="137">
        <v>46090</v>
      </c>
      <c r="X314" s="120" t="s">
        <v>58</v>
      </c>
      <c r="Y314" s="120">
        <v>2</v>
      </c>
      <c r="Z314" s="120"/>
      <c r="AA314" s="271">
        <v>46095</v>
      </c>
      <c r="AB314" s="272">
        <v>46098</v>
      </c>
      <c r="AD314" s="56" t="s">
        <v>72</v>
      </c>
      <c r="AE314" s="21"/>
      <c r="AF314" s="65">
        <v>46098</v>
      </c>
      <c r="AG314" s="65">
        <v>46098</v>
      </c>
      <c r="AH314" s="65">
        <v>46102</v>
      </c>
      <c r="AI314" s="137">
        <v>46106</v>
      </c>
      <c r="AJ314" s="137"/>
      <c r="AK314" s="178">
        <v>46078</v>
      </c>
      <c r="AL314" s="184">
        <v>412463.56</v>
      </c>
      <c r="AM314" s="58"/>
      <c r="AN314" s="58"/>
      <c r="AR314" s="21"/>
    </row>
    <row r="315" spans="1:45" ht="18.649999999999999" customHeight="1">
      <c r="B315" s="199" t="s">
        <v>93</v>
      </c>
      <c r="D315" s="48" t="s">
        <v>160</v>
      </c>
      <c r="E315" s="49" t="s">
        <v>281</v>
      </c>
      <c r="F315" s="49" t="s">
        <v>401</v>
      </c>
      <c r="G315" s="50" t="s">
        <v>282</v>
      </c>
      <c r="H315" s="108" t="s">
        <v>903</v>
      </c>
      <c r="I315" s="108" t="s">
        <v>85</v>
      </c>
      <c r="J315" s="21" t="s">
        <v>904</v>
      </c>
      <c r="K315" s="21" t="s">
        <v>53</v>
      </c>
      <c r="M315" s="226" t="s">
        <v>905</v>
      </c>
      <c r="N315" s="21">
        <v>3710091297</v>
      </c>
      <c r="O315" s="30" t="s">
        <v>150</v>
      </c>
      <c r="Q315" s="20" t="s">
        <v>906</v>
      </c>
      <c r="R315" s="48" t="s">
        <v>287</v>
      </c>
      <c r="S315" s="5" t="s">
        <v>907</v>
      </c>
      <c r="T315" s="24">
        <v>46113</v>
      </c>
      <c r="U315" s="137">
        <v>46100</v>
      </c>
      <c r="V315" s="137">
        <v>46105</v>
      </c>
      <c r="X315" s="120" t="s">
        <v>58</v>
      </c>
      <c r="Y315" s="120">
        <v>1</v>
      </c>
      <c r="Z315" s="120"/>
      <c r="AA315" s="65">
        <v>46100</v>
      </c>
      <c r="AB315" s="65">
        <v>46104</v>
      </c>
      <c r="AD315" s="56" t="s">
        <v>72</v>
      </c>
      <c r="AE315" s="21"/>
      <c r="AF315" s="65">
        <v>46107</v>
      </c>
      <c r="AG315" s="65">
        <v>46106</v>
      </c>
      <c r="AH315" s="65">
        <v>46109</v>
      </c>
      <c r="AI315" s="177">
        <v>46111</v>
      </c>
      <c r="AJ315" s="177"/>
      <c r="AK315" s="178">
        <v>46106</v>
      </c>
      <c r="AL315" s="179">
        <v>206972.38</v>
      </c>
      <c r="AM315" s="58"/>
      <c r="AN315" s="58"/>
      <c r="AR315" s="21"/>
    </row>
    <row r="316" spans="1:45" ht="18.649999999999999" customHeight="1">
      <c r="B316" s="199" t="s">
        <v>93</v>
      </c>
      <c r="D316" s="48" t="s">
        <v>160</v>
      </c>
      <c r="E316" s="31" t="s">
        <v>281</v>
      </c>
      <c r="F316" s="31">
        <v>1000019446</v>
      </c>
      <c r="G316" s="32" t="s">
        <v>293</v>
      </c>
      <c r="H316" s="20">
        <v>3200</v>
      </c>
      <c r="I316" s="20" t="s">
        <v>52</v>
      </c>
      <c r="K316" s="21" t="s">
        <v>53</v>
      </c>
      <c r="M316" s="226" t="s">
        <v>908</v>
      </c>
      <c r="N316" s="21">
        <v>3710091297</v>
      </c>
      <c r="O316" s="30" t="s">
        <v>150</v>
      </c>
      <c r="Q316" s="20" t="s">
        <v>906</v>
      </c>
      <c r="R316" s="48" t="s">
        <v>287</v>
      </c>
      <c r="S316" s="5" t="s">
        <v>907</v>
      </c>
      <c r="T316" s="24">
        <v>46113</v>
      </c>
      <c r="U316" s="137">
        <v>46100</v>
      </c>
      <c r="V316" s="137">
        <v>46105</v>
      </c>
      <c r="X316" s="120" t="s">
        <v>58</v>
      </c>
      <c r="Y316" s="120">
        <v>1</v>
      </c>
      <c r="Z316" s="120"/>
      <c r="AA316" s="65">
        <v>46100</v>
      </c>
      <c r="AB316" s="65">
        <v>46104</v>
      </c>
      <c r="AD316" s="56" t="s">
        <v>72</v>
      </c>
      <c r="AE316" s="21"/>
      <c r="AF316" s="65">
        <v>46107</v>
      </c>
      <c r="AG316" s="65">
        <v>46106</v>
      </c>
      <c r="AH316" s="65">
        <v>46109</v>
      </c>
      <c r="AI316" s="177">
        <v>46111</v>
      </c>
      <c r="AJ316" s="177"/>
      <c r="AK316" s="178">
        <v>46106</v>
      </c>
      <c r="AL316" s="179">
        <v>221696</v>
      </c>
      <c r="AM316" s="58"/>
      <c r="AN316" s="58"/>
      <c r="AR316" s="21"/>
    </row>
    <row r="317" spans="1:45" ht="18.649999999999999" customHeight="1">
      <c r="A317" s="48" t="s">
        <v>624</v>
      </c>
      <c r="B317" s="199" t="s">
        <v>93</v>
      </c>
      <c r="C317" s="30"/>
      <c r="D317" s="48" t="s">
        <v>81</v>
      </c>
      <c r="E317" s="49" t="s">
        <v>909</v>
      </c>
      <c r="F317" s="49">
        <v>1000021282</v>
      </c>
      <c r="G317" s="107" t="s">
        <v>910</v>
      </c>
      <c r="H317" s="108">
        <v>1260</v>
      </c>
      <c r="I317" s="108" t="s">
        <v>911</v>
      </c>
      <c r="J317" s="33" t="s">
        <v>912</v>
      </c>
      <c r="K317" s="30" t="s">
        <v>53</v>
      </c>
      <c r="L317" s="33"/>
      <c r="M317" s="48" t="s">
        <v>913</v>
      </c>
      <c r="N317" s="30">
        <v>45121591</v>
      </c>
      <c r="O317" s="30" t="s">
        <v>68</v>
      </c>
      <c r="P317" s="30"/>
      <c r="Q317" s="48" t="s">
        <v>914</v>
      </c>
      <c r="R317" s="48" t="s">
        <v>423</v>
      </c>
      <c r="S317" s="92" t="s">
        <v>915</v>
      </c>
      <c r="T317" s="36">
        <v>46082</v>
      </c>
      <c r="U317" s="93">
        <v>46082</v>
      </c>
      <c r="V317" s="88">
        <v>46126</v>
      </c>
      <c r="W317" s="52"/>
      <c r="X317" s="30" t="s">
        <v>170</v>
      </c>
      <c r="Y317" s="30">
        <v>0.5</v>
      </c>
      <c r="Z317" s="30"/>
      <c r="AA317" s="93">
        <v>46092</v>
      </c>
      <c r="AB317" s="88">
        <v>46134</v>
      </c>
      <c r="AC317" s="30"/>
      <c r="AD317" s="56" t="s">
        <v>72</v>
      </c>
      <c r="AE317" s="30"/>
      <c r="AF317" s="88">
        <v>46099</v>
      </c>
      <c r="AG317" s="88">
        <v>46098</v>
      </c>
      <c r="AH317" s="88">
        <v>46147</v>
      </c>
      <c r="AI317" s="205"/>
      <c r="AJ317" s="205"/>
      <c r="AK317" s="178">
        <v>46106</v>
      </c>
      <c r="AL317" s="273">
        <v>27543.599999999999</v>
      </c>
      <c r="AM317" s="59"/>
      <c r="AN317" s="59"/>
      <c r="AO317" s="97"/>
      <c r="AP317" s="97"/>
      <c r="AQ317" s="33"/>
      <c r="AR317" s="30"/>
      <c r="AS317" s="33"/>
    </row>
    <row r="318" spans="1:45" ht="18.649999999999999" customHeight="1">
      <c r="A318" s="48" t="s">
        <v>624</v>
      </c>
      <c r="B318" s="199" t="s">
        <v>93</v>
      </c>
      <c r="C318" s="30"/>
      <c r="D318" s="48" t="s">
        <v>81</v>
      </c>
      <c r="E318" s="49" t="s">
        <v>909</v>
      </c>
      <c r="F318" s="49">
        <v>1000039790</v>
      </c>
      <c r="G318" s="107" t="s">
        <v>916</v>
      </c>
      <c r="H318" s="108">
        <v>720</v>
      </c>
      <c r="I318" s="108" t="s">
        <v>911</v>
      </c>
      <c r="J318" s="33" t="s">
        <v>912</v>
      </c>
      <c r="K318" s="30" t="s">
        <v>53</v>
      </c>
      <c r="L318" s="33"/>
      <c r="M318" s="48" t="s">
        <v>913</v>
      </c>
      <c r="N318" s="30">
        <v>45121591</v>
      </c>
      <c r="O318" s="30" t="s">
        <v>68</v>
      </c>
      <c r="P318" s="30"/>
      <c r="Q318" s="48" t="s">
        <v>914</v>
      </c>
      <c r="R318" s="48" t="s">
        <v>423</v>
      </c>
      <c r="S318" s="92" t="s">
        <v>915</v>
      </c>
      <c r="T318" s="36">
        <v>46082</v>
      </c>
      <c r="U318" s="93">
        <v>46082</v>
      </c>
      <c r="V318" s="88">
        <v>46126</v>
      </c>
      <c r="W318" s="52"/>
      <c r="X318" s="30" t="s">
        <v>170</v>
      </c>
      <c r="Y318" s="30">
        <v>0.5</v>
      </c>
      <c r="Z318" s="30"/>
      <c r="AA318" s="93">
        <v>46092</v>
      </c>
      <c r="AB318" s="88">
        <v>46134</v>
      </c>
      <c r="AC318" s="30"/>
      <c r="AD318" s="56" t="s">
        <v>72</v>
      </c>
      <c r="AE318" s="30"/>
      <c r="AF318" s="88">
        <v>46099</v>
      </c>
      <c r="AG318" s="88">
        <v>46098</v>
      </c>
      <c r="AH318" s="88">
        <v>46147</v>
      </c>
      <c r="AI318" s="205"/>
      <c r="AJ318" s="205"/>
      <c r="AK318" s="178">
        <v>46106</v>
      </c>
      <c r="AL318" s="273">
        <v>8395.2000000000007</v>
      </c>
      <c r="AM318" s="59"/>
      <c r="AN318" s="59"/>
      <c r="AO318" s="97"/>
      <c r="AP318" s="97"/>
      <c r="AQ318" s="33"/>
      <c r="AR318" s="30"/>
      <c r="AS318" s="33"/>
    </row>
    <row r="319" spans="1:45" ht="18.649999999999999" customHeight="1">
      <c r="B319" s="199" t="s">
        <v>93</v>
      </c>
      <c r="D319" s="48" t="s">
        <v>81</v>
      </c>
      <c r="E319" s="49" t="s">
        <v>590</v>
      </c>
      <c r="F319" s="49">
        <v>1000016272</v>
      </c>
      <c r="G319" s="49" t="s">
        <v>591</v>
      </c>
      <c r="H319" s="48">
        <v>3000</v>
      </c>
      <c r="I319" s="48" t="s">
        <v>85</v>
      </c>
      <c r="K319" s="21" t="s">
        <v>53</v>
      </c>
      <c r="M319" s="214" t="s">
        <v>917</v>
      </c>
      <c r="N319" s="21">
        <v>8000134811</v>
      </c>
      <c r="O319" s="48" t="s">
        <v>55</v>
      </c>
      <c r="Q319" s="20" t="s">
        <v>918</v>
      </c>
      <c r="R319" s="5" t="s">
        <v>423</v>
      </c>
      <c r="S319" s="5" t="s">
        <v>919</v>
      </c>
      <c r="T319" s="24">
        <v>46113</v>
      </c>
      <c r="U319" s="137">
        <v>46100</v>
      </c>
      <c r="V319" s="137">
        <v>46124</v>
      </c>
      <c r="X319" s="5" t="s">
        <v>170</v>
      </c>
      <c r="Y319" s="5">
        <v>3</v>
      </c>
      <c r="AA319" s="137">
        <v>46114</v>
      </c>
      <c r="AB319" s="137">
        <v>46130</v>
      </c>
      <c r="AD319" s="56" t="s">
        <v>72</v>
      </c>
      <c r="AE319" s="65">
        <v>46121</v>
      </c>
      <c r="AF319" s="65">
        <v>46121</v>
      </c>
      <c r="AG319" s="137">
        <v>46120</v>
      </c>
      <c r="AH319" s="177">
        <v>46135</v>
      </c>
      <c r="AI319" s="177">
        <v>46136</v>
      </c>
      <c r="AJ319" s="177"/>
      <c r="AK319" s="178">
        <v>46137</v>
      </c>
      <c r="AL319" s="184">
        <v>62250</v>
      </c>
      <c r="AM319" s="58"/>
      <c r="AN319" s="58"/>
      <c r="AR319" s="21"/>
    </row>
    <row r="320" spans="1:45" ht="18.649999999999999" customHeight="1">
      <c r="B320" s="199" t="s">
        <v>93</v>
      </c>
      <c r="D320" s="48" t="s">
        <v>81</v>
      </c>
      <c r="E320" s="49" t="s">
        <v>590</v>
      </c>
      <c r="F320" s="49">
        <v>1000016273</v>
      </c>
      <c r="G320" s="49" t="s">
        <v>591</v>
      </c>
      <c r="H320" s="48">
        <v>3000</v>
      </c>
      <c r="I320" s="48" t="s">
        <v>85</v>
      </c>
      <c r="K320" s="21" t="s">
        <v>53</v>
      </c>
      <c r="M320" s="214" t="s">
        <v>920</v>
      </c>
      <c r="N320" s="21">
        <v>8000135430</v>
      </c>
      <c r="O320" s="48" t="s">
        <v>55</v>
      </c>
      <c r="Q320" s="21" t="s">
        <v>921</v>
      </c>
      <c r="R320" s="20" t="s">
        <v>423</v>
      </c>
      <c r="S320" s="5" t="s">
        <v>922</v>
      </c>
      <c r="T320" s="24">
        <v>46143</v>
      </c>
      <c r="U320" s="230">
        <v>46128</v>
      </c>
      <c r="V320" s="230">
        <v>46151</v>
      </c>
      <c r="W320" s="274"/>
      <c r="X320" s="5" t="s">
        <v>170</v>
      </c>
      <c r="Y320" s="5">
        <v>3</v>
      </c>
      <c r="AA320" s="137">
        <v>46128</v>
      </c>
      <c r="AB320" s="137">
        <v>46143</v>
      </c>
      <c r="AD320" s="56" t="s">
        <v>72</v>
      </c>
      <c r="AE320" s="137">
        <v>46139</v>
      </c>
      <c r="AF320" s="137">
        <v>46139</v>
      </c>
      <c r="AG320" s="137">
        <v>46136</v>
      </c>
      <c r="AH320" s="137">
        <v>46150</v>
      </c>
      <c r="AI320" s="225"/>
      <c r="AJ320" s="225"/>
      <c r="AK320" s="275">
        <v>46157</v>
      </c>
      <c r="AL320" s="276">
        <v>61914.400000000001</v>
      </c>
      <c r="AM320" s="58"/>
      <c r="AN320" s="58"/>
      <c r="AR320" s="21"/>
    </row>
    <row r="321" spans="1:45" ht="18.649999999999999" customHeight="1">
      <c r="B321" s="268" t="s">
        <v>741</v>
      </c>
      <c r="D321" s="48" t="s">
        <v>81</v>
      </c>
      <c r="E321" s="49" t="s">
        <v>590</v>
      </c>
      <c r="F321" s="49">
        <v>1000016274</v>
      </c>
      <c r="G321" s="49" t="s">
        <v>591</v>
      </c>
      <c r="H321" s="48">
        <v>3000</v>
      </c>
      <c r="I321" s="48" t="s">
        <v>85</v>
      </c>
      <c r="K321" s="21" t="s">
        <v>53</v>
      </c>
      <c r="L321" s="177">
        <v>46076</v>
      </c>
      <c r="M321" s="20" t="s">
        <v>923</v>
      </c>
      <c r="N321" s="21"/>
      <c r="O321" s="48" t="s">
        <v>55</v>
      </c>
      <c r="Q321" s="21"/>
      <c r="T321" s="24">
        <v>46174</v>
      </c>
      <c r="U321" s="230">
        <v>46149</v>
      </c>
      <c r="V321" s="230">
        <v>46172</v>
      </c>
      <c r="W321" s="274"/>
      <c r="X321" s="5" t="s">
        <v>170</v>
      </c>
      <c r="Y321" s="5">
        <v>3</v>
      </c>
      <c r="AA321" s="5"/>
      <c r="AB321" s="5"/>
      <c r="AD321" s="56" t="s">
        <v>72</v>
      </c>
      <c r="AE321" s="21"/>
      <c r="AF321" s="21"/>
      <c r="AG321" s="21"/>
      <c r="AH321" s="21"/>
      <c r="AM321" s="58"/>
      <c r="AN321" s="58"/>
      <c r="AR321" s="21"/>
    </row>
    <row r="322" spans="1:45" ht="18.649999999999999" customHeight="1">
      <c r="B322" s="268" t="s">
        <v>741</v>
      </c>
      <c r="D322" s="48" t="s">
        <v>81</v>
      </c>
      <c r="E322" s="49" t="s">
        <v>590</v>
      </c>
      <c r="F322" s="49">
        <v>1000016275</v>
      </c>
      <c r="G322" s="49" t="s">
        <v>591</v>
      </c>
      <c r="H322" s="48">
        <v>3000</v>
      </c>
      <c r="I322" s="48" t="s">
        <v>85</v>
      </c>
      <c r="K322" s="21" t="s">
        <v>53</v>
      </c>
      <c r="L322" s="177">
        <v>46076</v>
      </c>
      <c r="M322" s="20" t="s">
        <v>924</v>
      </c>
      <c r="N322" s="21"/>
      <c r="O322" s="48" t="s">
        <v>55</v>
      </c>
      <c r="Q322" s="21"/>
      <c r="T322" s="24">
        <v>46204</v>
      </c>
      <c r="U322" s="230">
        <v>46198</v>
      </c>
      <c r="V322" s="230">
        <v>46225</v>
      </c>
      <c r="W322" s="274"/>
      <c r="X322" s="5" t="s">
        <v>170</v>
      </c>
      <c r="Y322" s="5">
        <v>3</v>
      </c>
      <c r="AA322" s="5"/>
      <c r="AB322" s="5"/>
      <c r="AD322" s="56" t="s">
        <v>72</v>
      </c>
      <c r="AE322" s="21"/>
      <c r="AF322" s="21"/>
      <c r="AG322" s="21"/>
      <c r="AH322" s="21"/>
      <c r="AM322" s="58"/>
      <c r="AN322" s="58"/>
      <c r="AR322" s="21"/>
    </row>
    <row r="323" spans="1:45" ht="18.649999999999999" customHeight="1">
      <c r="B323" s="277" t="s">
        <v>925</v>
      </c>
      <c r="C323" s="21" t="s">
        <v>53</v>
      </c>
      <c r="D323" s="48" t="s">
        <v>81</v>
      </c>
      <c r="E323" s="52" t="s">
        <v>590</v>
      </c>
      <c r="F323" s="49">
        <v>1000016276</v>
      </c>
      <c r="G323" s="49" t="s">
        <v>591</v>
      </c>
      <c r="H323" s="48">
        <v>3000</v>
      </c>
      <c r="I323" s="48" t="s">
        <v>85</v>
      </c>
      <c r="K323" s="5" t="s">
        <v>53</v>
      </c>
      <c r="L323" s="177">
        <v>46133</v>
      </c>
      <c r="M323" s="20" t="s">
        <v>926</v>
      </c>
      <c r="N323" s="21"/>
      <c r="O323" s="48" t="s">
        <v>55</v>
      </c>
      <c r="Q323" s="21"/>
      <c r="T323" s="24">
        <v>46235</v>
      </c>
      <c r="U323" s="278"/>
      <c r="V323" s="278"/>
      <c r="X323" s="5" t="s">
        <v>170</v>
      </c>
      <c r="Y323" s="5">
        <v>3</v>
      </c>
      <c r="AA323" s="5"/>
      <c r="AB323" s="5"/>
      <c r="AD323" s="56" t="s">
        <v>72</v>
      </c>
      <c r="AE323" s="21"/>
      <c r="AF323" s="21"/>
      <c r="AG323" s="21"/>
      <c r="AH323" s="21"/>
      <c r="AM323" s="58"/>
      <c r="AN323" s="58"/>
      <c r="AR323" s="21"/>
    </row>
    <row r="324" spans="1:45" ht="18.649999999999999" customHeight="1">
      <c r="D324" s="48" t="s">
        <v>81</v>
      </c>
      <c r="E324" s="52" t="s">
        <v>590</v>
      </c>
      <c r="F324" s="49">
        <v>1000016277</v>
      </c>
      <c r="G324" s="49" t="s">
        <v>591</v>
      </c>
      <c r="H324" s="48">
        <v>3000</v>
      </c>
      <c r="I324" s="48" t="s">
        <v>85</v>
      </c>
      <c r="N324" s="21"/>
      <c r="O324" s="48" t="s">
        <v>55</v>
      </c>
      <c r="Q324" s="21"/>
      <c r="T324" s="24">
        <v>46266</v>
      </c>
      <c r="U324" s="231"/>
      <c r="V324" s="231"/>
      <c r="X324" s="5" t="s">
        <v>170</v>
      </c>
      <c r="Y324" s="5">
        <v>3</v>
      </c>
      <c r="AA324" s="5"/>
      <c r="AB324" s="5"/>
      <c r="AD324" s="56" t="s">
        <v>72</v>
      </c>
      <c r="AE324" s="21"/>
      <c r="AF324" s="21"/>
      <c r="AG324" s="21"/>
      <c r="AH324" s="21"/>
      <c r="AM324" s="58"/>
      <c r="AN324" s="58"/>
      <c r="AR324" s="21"/>
    </row>
    <row r="325" spans="1:45" ht="18.649999999999999" customHeight="1">
      <c r="D325" s="48" t="s">
        <v>81</v>
      </c>
      <c r="E325" s="52" t="s">
        <v>590</v>
      </c>
      <c r="F325" s="49">
        <v>1000016278</v>
      </c>
      <c r="G325" s="49" t="s">
        <v>591</v>
      </c>
      <c r="H325" s="48">
        <v>3000</v>
      </c>
      <c r="I325" s="48" t="s">
        <v>85</v>
      </c>
      <c r="N325" s="21"/>
      <c r="O325" s="48" t="s">
        <v>55</v>
      </c>
      <c r="Q325" s="21"/>
      <c r="T325" s="24">
        <v>46296</v>
      </c>
      <c r="U325" s="231"/>
      <c r="V325" s="231"/>
      <c r="X325" s="5" t="s">
        <v>170</v>
      </c>
      <c r="Y325" s="5">
        <v>3</v>
      </c>
      <c r="AA325" s="5"/>
      <c r="AB325" s="5"/>
      <c r="AD325" s="56" t="s">
        <v>72</v>
      </c>
      <c r="AE325" s="21"/>
      <c r="AF325" s="21"/>
      <c r="AG325" s="21"/>
      <c r="AH325" s="21"/>
      <c r="AM325" s="58"/>
      <c r="AN325" s="58"/>
      <c r="AR325" s="21"/>
    </row>
    <row r="326" spans="1:45" ht="18.649999999999999" customHeight="1">
      <c r="D326" s="48" t="s">
        <v>81</v>
      </c>
      <c r="E326" s="52" t="s">
        <v>590</v>
      </c>
      <c r="F326" s="49">
        <v>1000016279</v>
      </c>
      <c r="G326" s="49" t="s">
        <v>591</v>
      </c>
      <c r="H326" s="48">
        <v>3000</v>
      </c>
      <c r="I326" s="48" t="s">
        <v>85</v>
      </c>
      <c r="N326" s="21"/>
      <c r="O326" s="48" t="s">
        <v>55</v>
      </c>
      <c r="Q326" s="21"/>
      <c r="T326" s="24">
        <v>46327</v>
      </c>
      <c r="U326" s="231"/>
      <c r="V326" s="231"/>
      <c r="X326" s="5" t="s">
        <v>170</v>
      </c>
      <c r="Y326" s="5">
        <v>3</v>
      </c>
      <c r="AA326" s="5"/>
      <c r="AB326" s="5"/>
      <c r="AD326" s="56" t="s">
        <v>72</v>
      </c>
      <c r="AE326" s="21"/>
      <c r="AF326" s="21"/>
      <c r="AG326" s="21"/>
      <c r="AH326" s="21"/>
      <c r="AM326" s="58"/>
      <c r="AN326" s="58"/>
      <c r="AR326" s="21"/>
    </row>
    <row r="327" spans="1:45" ht="18.649999999999999" customHeight="1">
      <c r="D327" s="48" t="s">
        <v>81</v>
      </c>
      <c r="E327" s="52" t="s">
        <v>590</v>
      </c>
      <c r="F327" s="49">
        <v>1000016280</v>
      </c>
      <c r="G327" s="49" t="s">
        <v>591</v>
      </c>
      <c r="H327" s="48">
        <v>3000</v>
      </c>
      <c r="I327" s="48" t="s">
        <v>85</v>
      </c>
      <c r="N327" s="21"/>
      <c r="O327" s="48" t="s">
        <v>55</v>
      </c>
      <c r="Q327" s="21"/>
      <c r="T327" s="24">
        <v>46357</v>
      </c>
      <c r="U327" s="231"/>
      <c r="V327" s="231"/>
      <c r="X327" s="5" t="s">
        <v>170</v>
      </c>
      <c r="Y327" s="5">
        <v>3</v>
      </c>
      <c r="AA327" s="5"/>
      <c r="AB327" s="5"/>
      <c r="AD327" s="56" t="s">
        <v>72</v>
      </c>
      <c r="AE327" s="21"/>
      <c r="AF327" s="21"/>
      <c r="AG327" s="21"/>
      <c r="AH327" s="21"/>
      <c r="AM327" s="58"/>
      <c r="AN327" s="58"/>
      <c r="AR327" s="21"/>
    </row>
    <row r="328" spans="1:45" ht="18.649999999999999" customHeight="1">
      <c r="A328" s="48" t="s">
        <v>624</v>
      </c>
      <c r="B328" s="199" t="s">
        <v>53</v>
      </c>
      <c r="D328" s="20" t="s">
        <v>81</v>
      </c>
      <c r="E328" s="31" t="s">
        <v>247</v>
      </c>
      <c r="F328" s="31" t="s">
        <v>248</v>
      </c>
      <c r="G328" s="32" t="s">
        <v>249</v>
      </c>
      <c r="H328" s="21">
        <v>960</v>
      </c>
      <c r="I328" s="48" t="s">
        <v>85</v>
      </c>
      <c r="J328" s="21" t="s">
        <v>927</v>
      </c>
      <c r="K328" s="21" t="s">
        <v>53</v>
      </c>
      <c r="M328" s="136" t="s">
        <v>928</v>
      </c>
      <c r="N328" s="20" t="s">
        <v>929</v>
      </c>
      <c r="O328" s="20" t="s">
        <v>68</v>
      </c>
      <c r="Q328" s="60" t="s">
        <v>930</v>
      </c>
      <c r="R328" s="20" t="s">
        <v>168</v>
      </c>
      <c r="S328" s="5" t="s">
        <v>931</v>
      </c>
      <c r="T328" s="24">
        <v>46113</v>
      </c>
      <c r="U328" s="137">
        <v>46084</v>
      </c>
      <c r="V328" s="137">
        <v>46104</v>
      </c>
      <c r="X328" s="5" t="s">
        <v>170</v>
      </c>
      <c r="Y328" s="5">
        <v>1</v>
      </c>
      <c r="AA328" s="65">
        <v>46087</v>
      </c>
      <c r="AB328" s="65">
        <v>46107</v>
      </c>
      <c r="AD328" s="42" t="s">
        <v>72</v>
      </c>
      <c r="AE328" s="21"/>
      <c r="AF328" s="65">
        <v>46092</v>
      </c>
      <c r="AG328" s="65">
        <v>46092</v>
      </c>
      <c r="AH328" s="65">
        <v>46112</v>
      </c>
      <c r="AI328" s="177">
        <v>46112</v>
      </c>
      <c r="AJ328" s="177"/>
      <c r="AK328" s="196">
        <v>46096</v>
      </c>
      <c r="AL328" s="184">
        <v>26051.98</v>
      </c>
      <c r="AM328" s="58"/>
      <c r="AN328" s="58"/>
      <c r="AR328" s="21">
        <v>15</v>
      </c>
      <c r="AS328" s="225" t="s">
        <v>932</v>
      </c>
    </row>
    <row r="329" spans="1:45" ht="18.649999999999999" customHeight="1">
      <c r="A329" s="60"/>
      <c r="B329" s="222" t="s">
        <v>741</v>
      </c>
      <c r="D329" s="20" t="s">
        <v>81</v>
      </c>
      <c r="E329" s="31" t="s">
        <v>247</v>
      </c>
      <c r="F329" s="31" t="s">
        <v>248</v>
      </c>
      <c r="G329" s="32" t="s">
        <v>249</v>
      </c>
      <c r="H329" s="21">
        <v>960</v>
      </c>
      <c r="I329" s="48" t="s">
        <v>85</v>
      </c>
      <c r="K329" s="21" t="s">
        <v>53</v>
      </c>
      <c r="M329" s="214" t="s">
        <v>933</v>
      </c>
      <c r="N329" s="20" t="s">
        <v>934</v>
      </c>
      <c r="O329" s="20" t="s">
        <v>68</v>
      </c>
      <c r="Q329" s="60">
        <v>2167559690</v>
      </c>
      <c r="R329" s="20" t="s">
        <v>168</v>
      </c>
      <c r="S329" s="5" t="s">
        <v>931</v>
      </c>
      <c r="T329" s="24">
        <v>46143</v>
      </c>
      <c r="U329" s="137">
        <v>46119</v>
      </c>
      <c r="V329" s="137">
        <v>46140</v>
      </c>
      <c r="X329" s="5" t="s">
        <v>170</v>
      </c>
      <c r="Y329" s="5">
        <v>1</v>
      </c>
      <c r="AA329" s="137">
        <v>46119</v>
      </c>
      <c r="AB329" s="137">
        <v>46140</v>
      </c>
      <c r="AD329" s="42" t="s">
        <v>72</v>
      </c>
      <c r="AF329" s="65">
        <v>46127</v>
      </c>
      <c r="AG329" s="65">
        <v>46122</v>
      </c>
      <c r="AH329" s="65">
        <v>46144</v>
      </c>
      <c r="AI329" s="177">
        <v>46147</v>
      </c>
      <c r="AJ329" s="177"/>
      <c r="AK329" s="178">
        <v>46127</v>
      </c>
      <c r="AL329" s="184">
        <v>27803.29</v>
      </c>
      <c r="AM329" s="58"/>
      <c r="AN329" s="58"/>
      <c r="AR329" s="21">
        <v>31</v>
      </c>
      <c r="AS329" s="21" t="s">
        <v>935</v>
      </c>
    </row>
    <row r="330" spans="1:45" ht="18.649999999999999" customHeight="1">
      <c r="A330" s="20" t="s">
        <v>730</v>
      </c>
      <c r="B330" s="268" t="s">
        <v>896</v>
      </c>
      <c r="C330" s="229">
        <v>46136</v>
      </c>
      <c r="D330" s="20" t="s">
        <v>81</v>
      </c>
      <c r="E330" s="22" t="s">
        <v>247</v>
      </c>
      <c r="F330" s="31" t="s">
        <v>248</v>
      </c>
      <c r="G330" s="32" t="s">
        <v>249</v>
      </c>
      <c r="H330" s="21">
        <v>960</v>
      </c>
      <c r="I330" s="48" t="s">
        <v>85</v>
      </c>
      <c r="K330" s="21" t="s">
        <v>53</v>
      </c>
      <c r="M330" s="217" t="s">
        <v>936</v>
      </c>
      <c r="N330" s="21"/>
      <c r="O330" s="20" t="s">
        <v>68</v>
      </c>
      <c r="Q330" s="21">
        <v>2168277550</v>
      </c>
      <c r="R330" s="20" t="s">
        <v>168</v>
      </c>
      <c r="S330" s="5" t="s">
        <v>709</v>
      </c>
      <c r="T330" s="24">
        <v>46174</v>
      </c>
      <c r="U330" s="279">
        <v>46161</v>
      </c>
      <c r="V330" s="279">
        <v>46181</v>
      </c>
      <c r="X330" s="5" t="s">
        <v>170</v>
      </c>
      <c r="Y330" s="5">
        <v>1</v>
      </c>
      <c r="AA330" s="279">
        <v>46161</v>
      </c>
      <c r="AB330" s="279">
        <v>46181</v>
      </c>
      <c r="AD330" s="42" t="s">
        <v>72</v>
      </c>
      <c r="AE330" s="21"/>
      <c r="AF330" s="21"/>
      <c r="AG330" s="21"/>
      <c r="AH330" s="21"/>
      <c r="AM330" s="58"/>
      <c r="AN330" s="58"/>
      <c r="AR330" s="21"/>
    </row>
    <row r="331" spans="1:45" ht="18.649999999999999" customHeight="1">
      <c r="B331" s="20" t="s">
        <v>476</v>
      </c>
      <c r="D331" s="20" t="s">
        <v>81</v>
      </c>
      <c r="E331" s="22" t="s">
        <v>247</v>
      </c>
      <c r="F331" s="31" t="s">
        <v>248</v>
      </c>
      <c r="G331" s="32" t="s">
        <v>249</v>
      </c>
      <c r="H331" s="21">
        <v>960</v>
      </c>
      <c r="I331" s="48" t="s">
        <v>85</v>
      </c>
      <c r="J331" s="21" t="s">
        <v>937</v>
      </c>
      <c r="K331" s="5" t="s">
        <v>53</v>
      </c>
      <c r="L331" s="177">
        <v>46127</v>
      </c>
      <c r="M331" s="20" t="s">
        <v>938</v>
      </c>
      <c r="N331" s="21"/>
      <c r="O331" s="20" t="s">
        <v>150</v>
      </c>
      <c r="Q331" s="21"/>
      <c r="T331" s="24">
        <v>46204</v>
      </c>
      <c r="X331" s="5" t="s">
        <v>170</v>
      </c>
      <c r="Y331" s="5">
        <v>1</v>
      </c>
      <c r="AA331" s="5"/>
      <c r="AB331" s="5"/>
      <c r="AD331" s="42" t="s">
        <v>72</v>
      </c>
      <c r="AE331" s="21"/>
      <c r="AF331" s="21"/>
      <c r="AG331" s="21"/>
      <c r="AH331" s="21"/>
      <c r="AM331" s="58"/>
      <c r="AN331" s="58"/>
      <c r="AR331" s="21"/>
    </row>
    <row r="332" spans="1:45" ht="18" customHeight="1">
      <c r="B332" s="20" t="s">
        <v>476</v>
      </c>
      <c r="D332" s="20" t="s">
        <v>81</v>
      </c>
      <c r="E332" s="22" t="s">
        <v>247</v>
      </c>
      <c r="F332" s="31" t="s">
        <v>248</v>
      </c>
      <c r="G332" s="32" t="s">
        <v>249</v>
      </c>
      <c r="H332" s="21" t="s">
        <v>939</v>
      </c>
      <c r="I332" s="48" t="s">
        <v>85</v>
      </c>
      <c r="J332" s="21" t="s">
        <v>937</v>
      </c>
      <c r="K332" s="5" t="s">
        <v>940</v>
      </c>
      <c r="L332" s="177">
        <v>46133</v>
      </c>
      <c r="M332" s="20" t="s">
        <v>941</v>
      </c>
      <c r="N332" s="21"/>
      <c r="O332" s="20" t="s">
        <v>150</v>
      </c>
      <c r="Q332" s="21"/>
      <c r="R332" s="20" t="s">
        <v>168</v>
      </c>
      <c r="S332" s="20" t="s">
        <v>308</v>
      </c>
      <c r="T332" s="24">
        <v>46235</v>
      </c>
      <c r="U332" s="278">
        <v>46210</v>
      </c>
      <c r="V332" s="278">
        <v>46230</v>
      </c>
      <c r="X332" s="5" t="s">
        <v>170</v>
      </c>
      <c r="Y332" s="5">
        <v>1</v>
      </c>
      <c r="AA332" s="5"/>
      <c r="AB332" s="5"/>
      <c r="AD332" s="42" t="s">
        <v>72</v>
      </c>
      <c r="AE332" s="21"/>
      <c r="AF332" s="21"/>
      <c r="AG332" s="21"/>
      <c r="AH332" s="21"/>
      <c r="AM332" s="58"/>
      <c r="AN332" s="58"/>
      <c r="AR332" s="21"/>
    </row>
    <row r="333" spans="1:45" ht="18.649999999999999" customHeight="1">
      <c r="D333" s="20" t="s">
        <v>81</v>
      </c>
      <c r="E333" s="22" t="s">
        <v>247</v>
      </c>
      <c r="F333" s="31" t="s">
        <v>248</v>
      </c>
      <c r="G333" s="32" t="s">
        <v>249</v>
      </c>
      <c r="H333" s="21" t="s">
        <v>939</v>
      </c>
      <c r="I333" s="48" t="s">
        <v>85</v>
      </c>
      <c r="J333" s="21" t="s">
        <v>937</v>
      </c>
      <c r="N333" s="21"/>
      <c r="O333" s="20" t="s">
        <v>150</v>
      </c>
      <c r="Q333" s="21"/>
      <c r="T333" s="24">
        <v>46266</v>
      </c>
      <c r="X333" s="5" t="s">
        <v>170</v>
      </c>
      <c r="Y333" s="5">
        <v>1</v>
      </c>
      <c r="AA333" s="5"/>
      <c r="AB333" s="5"/>
      <c r="AD333" s="42" t="s">
        <v>72</v>
      </c>
      <c r="AE333" s="21"/>
      <c r="AF333" s="21"/>
      <c r="AG333" s="21"/>
      <c r="AH333" s="21"/>
      <c r="AM333" s="58"/>
      <c r="AN333" s="58"/>
      <c r="AR333" s="21"/>
    </row>
    <row r="334" spans="1:45" ht="18.649999999999999" customHeight="1">
      <c r="D334" s="20" t="s">
        <v>81</v>
      </c>
      <c r="E334" s="22" t="s">
        <v>247</v>
      </c>
      <c r="F334" s="31" t="s">
        <v>248</v>
      </c>
      <c r="G334" s="32" t="s">
        <v>249</v>
      </c>
      <c r="H334" s="21" t="s">
        <v>939</v>
      </c>
      <c r="I334" s="48" t="s">
        <v>85</v>
      </c>
      <c r="J334" s="21" t="s">
        <v>937</v>
      </c>
      <c r="N334" s="21"/>
      <c r="O334" s="20" t="s">
        <v>150</v>
      </c>
      <c r="Q334" s="21"/>
      <c r="T334" s="24">
        <v>46296</v>
      </c>
      <c r="X334" s="5" t="s">
        <v>170</v>
      </c>
      <c r="Y334" s="5">
        <v>1</v>
      </c>
      <c r="AA334" s="5"/>
      <c r="AB334" s="5"/>
      <c r="AD334" s="42" t="s">
        <v>72</v>
      </c>
      <c r="AE334" s="21"/>
      <c r="AF334" s="21"/>
      <c r="AG334" s="21"/>
      <c r="AH334" s="21"/>
      <c r="AM334" s="58"/>
      <c r="AN334" s="58"/>
      <c r="AR334" s="21"/>
    </row>
    <row r="335" spans="1:45" ht="18.649999999999999" customHeight="1">
      <c r="D335" s="20" t="s">
        <v>81</v>
      </c>
      <c r="E335" s="22" t="s">
        <v>247</v>
      </c>
      <c r="F335" s="31" t="s">
        <v>248</v>
      </c>
      <c r="G335" s="32" t="s">
        <v>249</v>
      </c>
      <c r="H335" s="21" t="s">
        <v>939</v>
      </c>
      <c r="I335" s="48" t="s">
        <v>85</v>
      </c>
      <c r="J335" s="21" t="s">
        <v>937</v>
      </c>
      <c r="N335" s="21"/>
      <c r="O335" s="20" t="s">
        <v>150</v>
      </c>
      <c r="Q335" s="21"/>
      <c r="T335" s="24">
        <v>46327</v>
      </c>
      <c r="X335" s="5" t="s">
        <v>170</v>
      </c>
      <c r="Y335" s="5">
        <v>1</v>
      </c>
      <c r="AA335" s="5"/>
      <c r="AB335" s="5"/>
      <c r="AD335" s="42" t="s">
        <v>72</v>
      </c>
      <c r="AE335" s="21"/>
      <c r="AF335" s="21"/>
      <c r="AG335" s="21"/>
      <c r="AH335" s="21"/>
      <c r="AM335" s="58"/>
      <c r="AN335" s="58"/>
      <c r="AR335" s="21"/>
    </row>
    <row r="336" spans="1:45" ht="42">
      <c r="A336" s="48" t="s">
        <v>796</v>
      </c>
      <c r="B336" s="222" t="s">
        <v>741</v>
      </c>
      <c r="D336" s="48" t="s">
        <v>81</v>
      </c>
      <c r="E336" s="49" t="s">
        <v>600</v>
      </c>
      <c r="F336" s="49">
        <v>1000014362</v>
      </c>
      <c r="G336" s="107" t="s">
        <v>601</v>
      </c>
      <c r="H336" s="108">
        <v>10560</v>
      </c>
      <c r="I336" s="280" t="s">
        <v>52</v>
      </c>
      <c r="J336" s="21" t="s">
        <v>942</v>
      </c>
      <c r="K336" s="21" t="s">
        <v>53</v>
      </c>
      <c r="M336" s="136" t="s">
        <v>943</v>
      </c>
      <c r="N336" s="203" t="s">
        <v>944</v>
      </c>
      <c r="O336" s="20" t="s">
        <v>68</v>
      </c>
      <c r="Q336" s="215" t="s">
        <v>945</v>
      </c>
      <c r="R336" s="48" t="s">
        <v>79</v>
      </c>
      <c r="S336" s="5" t="s">
        <v>946</v>
      </c>
      <c r="T336" s="24">
        <v>46113</v>
      </c>
      <c r="U336" s="137">
        <v>46091</v>
      </c>
      <c r="V336" s="137">
        <v>46117</v>
      </c>
      <c r="X336" s="5" t="s">
        <v>58</v>
      </c>
      <c r="Y336" s="5">
        <v>4</v>
      </c>
      <c r="AA336" s="65">
        <v>46091</v>
      </c>
      <c r="AB336" s="65">
        <v>46127</v>
      </c>
      <c r="AD336" s="56" t="s">
        <v>72</v>
      </c>
      <c r="AE336" s="21"/>
      <c r="AF336" s="65">
        <v>46112</v>
      </c>
      <c r="AG336" s="65">
        <v>46107</v>
      </c>
      <c r="AH336" s="281">
        <v>46130</v>
      </c>
      <c r="AI336" s="177">
        <v>46133</v>
      </c>
      <c r="AJ336" s="177"/>
      <c r="AK336" s="178">
        <v>46127</v>
      </c>
      <c r="AL336" s="184">
        <v>330501.59999999998</v>
      </c>
      <c r="AM336" s="58"/>
      <c r="AN336" s="58"/>
      <c r="AR336" s="21"/>
    </row>
    <row r="337" spans="1:44" ht="18.649999999999999" customHeight="1">
      <c r="B337" s="222" t="s">
        <v>741</v>
      </c>
      <c r="D337" s="20" t="s">
        <v>81</v>
      </c>
      <c r="E337" s="31" t="s">
        <v>506</v>
      </c>
      <c r="F337" s="31">
        <v>1000032688</v>
      </c>
      <c r="G337" s="31" t="s">
        <v>947</v>
      </c>
      <c r="H337" s="20">
        <v>1900</v>
      </c>
      <c r="I337" s="20" t="s">
        <v>948</v>
      </c>
      <c r="J337" s="21" t="s">
        <v>949</v>
      </c>
      <c r="K337" s="21" t="s">
        <v>53</v>
      </c>
      <c r="M337" s="136" t="s">
        <v>950</v>
      </c>
      <c r="N337" s="20" t="s">
        <v>951</v>
      </c>
      <c r="O337" s="5" t="s">
        <v>150</v>
      </c>
      <c r="Q337" s="20">
        <v>2167218090</v>
      </c>
      <c r="R337" s="20" t="s">
        <v>168</v>
      </c>
      <c r="S337" s="5" t="s">
        <v>760</v>
      </c>
      <c r="T337" s="24">
        <v>46098</v>
      </c>
      <c r="U337" s="137">
        <v>46096</v>
      </c>
      <c r="V337" s="137">
        <v>46105</v>
      </c>
      <c r="X337" s="5" t="s">
        <v>58</v>
      </c>
      <c r="Y337" s="5">
        <v>1</v>
      </c>
      <c r="AA337" s="137">
        <v>46099</v>
      </c>
      <c r="AB337" s="282">
        <v>46108</v>
      </c>
      <c r="AD337" s="56" t="s">
        <v>72</v>
      </c>
      <c r="AE337" s="21"/>
      <c r="AF337" s="65">
        <v>46104</v>
      </c>
      <c r="AG337" s="65">
        <v>46100</v>
      </c>
      <c r="AH337" s="65">
        <v>46113</v>
      </c>
      <c r="AI337" s="177">
        <v>46114</v>
      </c>
      <c r="AJ337" s="177"/>
      <c r="AK337" s="178">
        <v>46106</v>
      </c>
      <c r="AL337" s="179">
        <v>19760</v>
      </c>
      <c r="AM337" s="58"/>
      <c r="AN337" s="58"/>
      <c r="AR337" s="21"/>
    </row>
    <row r="338" spans="1:44" ht="18.649999999999999" customHeight="1">
      <c r="A338" s="78"/>
      <c r="B338" s="60" t="s">
        <v>741</v>
      </c>
      <c r="C338" s="283"/>
      <c r="D338" s="20" t="s">
        <v>81</v>
      </c>
      <c r="E338" s="22" t="s">
        <v>506</v>
      </c>
      <c r="F338" s="31">
        <v>1000032688</v>
      </c>
      <c r="G338" s="31" t="s">
        <v>947</v>
      </c>
      <c r="H338" s="20" t="s">
        <v>952</v>
      </c>
      <c r="I338" s="20" t="s">
        <v>948</v>
      </c>
      <c r="J338" s="21" t="s">
        <v>953</v>
      </c>
      <c r="K338" s="21" t="s">
        <v>53</v>
      </c>
      <c r="M338" s="214" t="s">
        <v>954</v>
      </c>
      <c r="N338" s="21" t="s">
        <v>955</v>
      </c>
      <c r="O338" s="5" t="s">
        <v>150</v>
      </c>
      <c r="Q338" s="5">
        <v>2167786680</v>
      </c>
      <c r="R338" s="20" t="s">
        <v>168</v>
      </c>
      <c r="S338" s="5" t="s">
        <v>956</v>
      </c>
      <c r="T338" s="24">
        <v>46139</v>
      </c>
      <c r="U338" s="137">
        <v>46131</v>
      </c>
      <c r="V338" s="137">
        <v>46140</v>
      </c>
      <c r="X338" s="5" t="s">
        <v>58</v>
      </c>
      <c r="Y338" s="5">
        <v>1</v>
      </c>
      <c r="AA338" s="137">
        <v>46132</v>
      </c>
      <c r="AB338" s="137">
        <v>46142</v>
      </c>
      <c r="AD338" s="56" t="s">
        <v>72</v>
      </c>
      <c r="AE338" s="65">
        <v>46139</v>
      </c>
      <c r="AF338" s="65">
        <v>46139</v>
      </c>
      <c r="AG338" s="137">
        <v>46136</v>
      </c>
      <c r="AH338" s="137">
        <v>46148</v>
      </c>
      <c r="AI338" s="225"/>
      <c r="AJ338" s="225"/>
      <c r="AK338" s="178">
        <v>46137</v>
      </c>
      <c r="AL338" s="184">
        <v>20280</v>
      </c>
      <c r="AM338" s="58"/>
      <c r="AN338" s="58"/>
      <c r="AR338" s="21"/>
    </row>
    <row r="339" spans="1:44" ht="18.5" customHeight="1">
      <c r="A339" s="217" t="s">
        <v>957</v>
      </c>
      <c r="B339" s="60" t="s">
        <v>741</v>
      </c>
      <c r="C339" s="284"/>
      <c r="D339" s="20" t="s">
        <v>81</v>
      </c>
      <c r="E339" s="22" t="s">
        <v>506</v>
      </c>
      <c r="F339" s="31">
        <v>1000032688</v>
      </c>
      <c r="G339" s="31" t="s">
        <v>947</v>
      </c>
      <c r="H339" s="20" t="s">
        <v>958</v>
      </c>
      <c r="I339" s="20" t="s">
        <v>948</v>
      </c>
      <c r="J339" s="21" t="s">
        <v>959</v>
      </c>
      <c r="K339" s="21" t="s">
        <v>53</v>
      </c>
      <c r="M339" s="285" t="s">
        <v>960</v>
      </c>
      <c r="N339" s="21"/>
      <c r="O339" s="5" t="s">
        <v>150</v>
      </c>
      <c r="Q339" s="21"/>
      <c r="T339" s="24">
        <v>46168</v>
      </c>
      <c r="U339" s="231"/>
      <c r="V339" s="231"/>
      <c r="X339" s="5" t="s">
        <v>58</v>
      </c>
      <c r="Y339" s="5">
        <v>1</v>
      </c>
      <c r="AA339" s="5"/>
      <c r="AB339" s="5"/>
      <c r="AD339" s="56" t="s">
        <v>72</v>
      </c>
      <c r="AH339" s="5"/>
      <c r="AM339" s="58"/>
      <c r="AN339" s="58"/>
      <c r="AR339" s="21"/>
    </row>
    <row r="340" spans="1:44" ht="18.649999999999999" customHeight="1">
      <c r="B340" s="222" t="s">
        <v>741</v>
      </c>
      <c r="C340" s="229">
        <v>46183</v>
      </c>
      <c r="D340" s="20" t="s">
        <v>81</v>
      </c>
      <c r="E340" s="22" t="s">
        <v>506</v>
      </c>
      <c r="F340" s="31">
        <v>1000032688</v>
      </c>
      <c r="G340" s="31" t="s">
        <v>947</v>
      </c>
      <c r="H340" s="20">
        <v>1900</v>
      </c>
      <c r="I340" s="20" t="s">
        <v>948</v>
      </c>
      <c r="J340" s="21" t="s">
        <v>961</v>
      </c>
      <c r="K340" s="21" t="s">
        <v>53</v>
      </c>
      <c r="L340" s="177">
        <v>46100</v>
      </c>
      <c r="M340" s="286" t="s">
        <v>962</v>
      </c>
      <c r="N340" s="21"/>
      <c r="O340" s="5" t="s">
        <v>150</v>
      </c>
      <c r="Q340" s="21"/>
      <c r="T340" s="24">
        <v>46198</v>
      </c>
      <c r="X340" s="5" t="s">
        <v>58</v>
      </c>
      <c r="Y340" s="5">
        <v>1</v>
      </c>
      <c r="AA340" s="5"/>
      <c r="AB340" s="5"/>
      <c r="AD340" s="56" t="s">
        <v>72</v>
      </c>
      <c r="AE340" s="21"/>
      <c r="AF340" s="21"/>
      <c r="AG340" s="21"/>
      <c r="AH340" s="21"/>
      <c r="AM340" s="58"/>
      <c r="AN340" s="58"/>
      <c r="AR340" s="21"/>
    </row>
    <row r="341" spans="1:44" ht="18.649999999999999" customHeight="1">
      <c r="B341" s="222" t="s">
        <v>741</v>
      </c>
      <c r="C341" s="229">
        <v>46213</v>
      </c>
      <c r="D341" s="20" t="s">
        <v>81</v>
      </c>
      <c r="E341" s="22" t="s">
        <v>506</v>
      </c>
      <c r="F341" s="31">
        <v>1000032688</v>
      </c>
      <c r="G341" s="31" t="s">
        <v>947</v>
      </c>
      <c r="H341" s="20">
        <v>1900</v>
      </c>
      <c r="I341" s="20" t="s">
        <v>948</v>
      </c>
      <c r="J341" s="21" t="s">
        <v>961</v>
      </c>
      <c r="K341" s="5" t="s">
        <v>53</v>
      </c>
      <c r="L341" s="177">
        <v>46113</v>
      </c>
      <c r="M341" s="287" t="s">
        <v>963</v>
      </c>
      <c r="N341" s="21"/>
      <c r="O341" s="5" t="s">
        <v>150</v>
      </c>
      <c r="Q341" s="21"/>
      <c r="T341" s="24">
        <v>46228</v>
      </c>
      <c r="X341" s="5" t="s">
        <v>58</v>
      </c>
      <c r="Y341" s="5">
        <v>1</v>
      </c>
      <c r="AA341" s="5"/>
      <c r="AB341" s="5"/>
      <c r="AD341" s="56" t="s">
        <v>72</v>
      </c>
      <c r="AE341" s="21"/>
      <c r="AF341" s="21"/>
      <c r="AG341" s="21"/>
      <c r="AH341" s="21"/>
      <c r="AM341" s="58"/>
      <c r="AN341" s="58"/>
      <c r="AR341" s="21"/>
    </row>
    <row r="342" spans="1:44" ht="18.649999999999999" customHeight="1">
      <c r="D342" s="20" t="s">
        <v>81</v>
      </c>
      <c r="E342" s="22" t="s">
        <v>506</v>
      </c>
      <c r="F342" s="31">
        <v>1000032688</v>
      </c>
      <c r="G342" s="31" t="s">
        <v>947</v>
      </c>
      <c r="H342" s="20">
        <v>1900</v>
      </c>
      <c r="I342" s="20" t="s">
        <v>948</v>
      </c>
      <c r="J342" s="21" t="s">
        <v>961</v>
      </c>
      <c r="N342" s="21"/>
      <c r="O342" s="5" t="s">
        <v>150</v>
      </c>
      <c r="Q342" s="21"/>
      <c r="T342" s="24">
        <v>46258</v>
      </c>
      <c r="X342" s="5" t="s">
        <v>58</v>
      </c>
      <c r="Y342" s="5">
        <v>1</v>
      </c>
      <c r="AA342" s="5"/>
      <c r="AB342" s="5"/>
      <c r="AD342" s="56" t="s">
        <v>72</v>
      </c>
      <c r="AE342" s="21"/>
      <c r="AF342" s="21"/>
      <c r="AG342" s="21"/>
      <c r="AH342" s="21"/>
      <c r="AM342" s="58"/>
      <c r="AN342" s="58"/>
      <c r="AR342" s="21"/>
    </row>
    <row r="343" spans="1:44" ht="18.649999999999999" customHeight="1">
      <c r="D343" s="20" t="s">
        <v>81</v>
      </c>
      <c r="E343" s="22" t="s">
        <v>506</v>
      </c>
      <c r="F343" s="31">
        <v>1000032688</v>
      </c>
      <c r="G343" s="31" t="s">
        <v>947</v>
      </c>
      <c r="H343" s="20">
        <v>1900</v>
      </c>
      <c r="I343" s="20" t="s">
        <v>948</v>
      </c>
      <c r="J343" s="21" t="s">
        <v>961</v>
      </c>
      <c r="N343" s="21"/>
      <c r="O343" s="5" t="s">
        <v>150</v>
      </c>
      <c r="Q343" s="21"/>
      <c r="T343" s="24">
        <v>46288</v>
      </c>
      <c r="X343" s="5" t="s">
        <v>58</v>
      </c>
      <c r="Y343" s="5">
        <v>1</v>
      </c>
      <c r="AA343" s="5"/>
      <c r="AB343" s="5"/>
      <c r="AD343" s="56" t="s">
        <v>72</v>
      </c>
      <c r="AE343" s="21"/>
      <c r="AF343" s="21"/>
      <c r="AG343" s="21"/>
      <c r="AH343" s="21"/>
      <c r="AM343" s="58"/>
      <c r="AN343" s="58"/>
      <c r="AR343" s="21"/>
    </row>
    <row r="344" spans="1:44" ht="18.649999999999999" customHeight="1">
      <c r="D344" s="20" t="s">
        <v>81</v>
      </c>
      <c r="E344" s="22" t="s">
        <v>506</v>
      </c>
      <c r="F344" s="31">
        <v>1000032688</v>
      </c>
      <c r="G344" s="31" t="s">
        <v>947</v>
      </c>
      <c r="H344" s="20">
        <v>1900</v>
      </c>
      <c r="I344" s="20" t="s">
        <v>948</v>
      </c>
      <c r="J344" s="21" t="s">
        <v>961</v>
      </c>
      <c r="N344" s="21"/>
      <c r="O344" s="5" t="s">
        <v>150</v>
      </c>
      <c r="Q344" s="21"/>
      <c r="T344" s="24">
        <v>46318</v>
      </c>
      <c r="X344" s="5" t="s">
        <v>58</v>
      </c>
      <c r="Y344" s="5">
        <v>1</v>
      </c>
      <c r="AA344" s="5"/>
      <c r="AB344" s="5"/>
      <c r="AD344" s="56" t="s">
        <v>72</v>
      </c>
      <c r="AE344" s="21"/>
      <c r="AF344" s="21"/>
      <c r="AG344" s="21"/>
      <c r="AH344" s="21"/>
      <c r="AM344" s="58"/>
      <c r="AN344" s="58"/>
      <c r="AR344" s="21"/>
    </row>
    <row r="345" spans="1:44" ht="18.649999999999999" customHeight="1">
      <c r="D345" s="20" t="s">
        <v>81</v>
      </c>
      <c r="E345" s="22" t="s">
        <v>506</v>
      </c>
      <c r="F345" s="31">
        <v>1000032688</v>
      </c>
      <c r="G345" s="31" t="s">
        <v>947</v>
      </c>
      <c r="H345" s="20">
        <v>1900</v>
      </c>
      <c r="I345" s="20" t="s">
        <v>948</v>
      </c>
      <c r="J345" s="21" t="s">
        <v>961</v>
      </c>
      <c r="N345" s="21"/>
      <c r="O345" s="5" t="s">
        <v>150</v>
      </c>
      <c r="Q345" s="21"/>
      <c r="T345" s="24">
        <v>46350</v>
      </c>
      <c r="X345" s="5" t="s">
        <v>58</v>
      </c>
      <c r="Y345" s="5">
        <v>1</v>
      </c>
      <c r="AA345" s="5"/>
      <c r="AB345" s="5"/>
      <c r="AD345" s="56" t="s">
        <v>72</v>
      </c>
      <c r="AE345" s="21"/>
      <c r="AF345" s="21"/>
      <c r="AG345" s="21"/>
      <c r="AH345" s="21"/>
      <c r="AM345" s="58"/>
      <c r="AN345" s="58"/>
      <c r="AR345" s="21"/>
    </row>
    <row r="346" spans="1:44" ht="18.649999999999999" customHeight="1">
      <c r="D346" s="20" t="s">
        <v>81</v>
      </c>
      <c r="E346" s="22" t="s">
        <v>506</v>
      </c>
      <c r="F346" s="31">
        <v>1000032688</v>
      </c>
      <c r="G346" s="31" t="s">
        <v>947</v>
      </c>
      <c r="H346" s="20">
        <v>1900</v>
      </c>
      <c r="I346" s="20" t="s">
        <v>948</v>
      </c>
      <c r="J346" s="21" t="s">
        <v>961</v>
      </c>
      <c r="N346" s="21"/>
      <c r="O346" s="5" t="s">
        <v>150</v>
      </c>
      <c r="Q346" s="21"/>
      <c r="T346" s="24">
        <v>46363</v>
      </c>
      <c r="X346" s="5" t="s">
        <v>58</v>
      </c>
      <c r="Y346" s="5">
        <v>1</v>
      </c>
      <c r="AA346" s="5"/>
      <c r="AB346" s="5"/>
      <c r="AD346" s="56" t="s">
        <v>72</v>
      </c>
      <c r="AE346" s="21"/>
      <c r="AF346" s="21"/>
      <c r="AG346" s="21"/>
      <c r="AH346" s="21"/>
      <c r="AM346" s="58"/>
      <c r="AN346" s="58"/>
      <c r="AR346" s="21"/>
    </row>
    <row r="347" spans="1:44" ht="21">
      <c r="A347" s="48" t="s">
        <v>624</v>
      </c>
      <c r="B347" s="199"/>
      <c r="D347" s="48" t="s">
        <v>81</v>
      </c>
      <c r="E347" s="49" t="s">
        <v>964</v>
      </c>
      <c r="F347" s="49">
        <v>1000033716</v>
      </c>
      <c r="G347" s="49" t="s">
        <v>965</v>
      </c>
      <c r="H347" s="48">
        <v>300</v>
      </c>
      <c r="I347" s="48" t="s">
        <v>948</v>
      </c>
      <c r="J347" s="21" t="s">
        <v>966</v>
      </c>
      <c r="K347" s="21"/>
      <c r="L347" s="177">
        <v>46058</v>
      </c>
      <c r="M347" s="288" t="s">
        <v>967</v>
      </c>
      <c r="N347" s="21" t="s">
        <v>968</v>
      </c>
      <c r="O347" s="5" t="s">
        <v>55</v>
      </c>
      <c r="Q347" s="20" t="s">
        <v>969</v>
      </c>
      <c r="R347" s="20" t="s">
        <v>970</v>
      </c>
      <c r="S347" s="5" t="s">
        <v>971</v>
      </c>
      <c r="T347" s="24">
        <v>46082</v>
      </c>
      <c r="U347" s="137">
        <v>46095</v>
      </c>
      <c r="V347" s="137">
        <v>46104</v>
      </c>
      <c r="X347" s="5" t="s">
        <v>58</v>
      </c>
      <c r="Y347" s="30">
        <v>0.5</v>
      </c>
      <c r="AA347" s="137">
        <v>46095</v>
      </c>
      <c r="AB347" s="137">
        <v>46105</v>
      </c>
      <c r="AD347" s="56" t="s">
        <v>72</v>
      </c>
      <c r="AE347" s="21"/>
      <c r="AF347" s="65">
        <v>46101</v>
      </c>
      <c r="AG347" s="65">
        <v>46099</v>
      </c>
      <c r="AH347" s="65">
        <v>46108</v>
      </c>
      <c r="AI347" s="177">
        <v>46111</v>
      </c>
      <c r="AJ347" s="177"/>
      <c r="AK347" s="178">
        <v>46096</v>
      </c>
      <c r="AL347" s="91">
        <v>2676</v>
      </c>
      <c r="AM347" s="58"/>
      <c r="AN347" s="58"/>
      <c r="AR347" s="21"/>
    </row>
    <row r="348" spans="1:44" ht="18.649999999999999" customHeight="1">
      <c r="A348" s="48" t="s">
        <v>624</v>
      </c>
      <c r="B348" s="199"/>
      <c r="D348" s="48" t="s">
        <v>81</v>
      </c>
      <c r="E348" s="49" t="s">
        <v>964</v>
      </c>
      <c r="F348" s="49">
        <v>1000032688</v>
      </c>
      <c r="G348" s="49" t="s">
        <v>947</v>
      </c>
      <c r="H348" s="48">
        <v>50</v>
      </c>
      <c r="I348" s="48" t="s">
        <v>948</v>
      </c>
      <c r="J348" s="21" t="s">
        <v>966</v>
      </c>
      <c r="K348" s="21"/>
      <c r="L348" s="177">
        <v>46058</v>
      </c>
      <c r="M348" s="117" t="s">
        <v>972</v>
      </c>
      <c r="N348" s="21" t="s">
        <v>968</v>
      </c>
      <c r="O348" s="5" t="s">
        <v>55</v>
      </c>
      <c r="Q348" s="20" t="s">
        <v>969</v>
      </c>
      <c r="R348" s="20" t="s">
        <v>970</v>
      </c>
      <c r="S348" s="5" t="s">
        <v>971</v>
      </c>
      <c r="T348" s="24">
        <v>46082</v>
      </c>
      <c r="U348" s="137">
        <v>46095</v>
      </c>
      <c r="V348" s="137">
        <v>46104</v>
      </c>
      <c r="X348" s="5" t="s">
        <v>58</v>
      </c>
      <c r="Y348" s="30">
        <v>0.5</v>
      </c>
      <c r="AA348" s="137">
        <v>46095</v>
      </c>
      <c r="AB348" s="137">
        <v>46105</v>
      </c>
      <c r="AD348" s="56" t="s">
        <v>72</v>
      </c>
      <c r="AE348" s="21"/>
      <c r="AF348" s="65">
        <v>46101</v>
      </c>
      <c r="AG348" s="65">
        <v>46099</v>
      </c>
      <c r="AH348" s="65">
        <v>46108</v>
      </c>
      <c r="AI348" s="177">
        <v>46111</v>
      </c>
      <c r="AJ348" s="177"/>
      <c r="AK348" s="178">
        <v>46096</v>
      </c>
      <c r="AL348" s="91">
        <v>2000</v>
      </c>
      <c r="AM348" s="58"/>
      <c r="AN348" s="58"/>
      <c r="AR348" s="21"/>
    </row>
    <row r="349" spans="1:44" ht="18.649999999999999" customHeight="1">
      <c r="A349" s="48" t="s">
        <v>624</v>
      </c>
      <c r="B349" s="199"/>
      <c r="D349" s="48" t="s">
        <v>81</v>
      </c>
      <c r="E349" s="49" t="s">
        <v>964</v>
      </c>
      <c r="F349" s="49">
        <v>1000031896</v>
      </c>
      <c r="G349" s="49" t="s">
        <v>973</v>
      </c>
      <c r="H349" s="48">
        <v>50</v>
      </c>
      <c r="I349" s="48" t="s">
        <v>948</v>
      </c>
      <c r="J349" s="21" t="s">
        <v>966</v>
      </c>
      <c r="K349" s="21"/>
      <c r="L349" s="177">
        <v>46058</v>
      </c>
      <c r="M349" s="117" t="s">
        <v>972</v>
      </c>
      <c r="N349" s="21" t="s">
        <v>968</v>
      </c>
      <c r="O349" s="5" t="s">
        <v>55</v>
      </c>
      <c r="Q349" s="20" t="s">
        <v>969</v>
      </c>
      <c r="R349" s="20" t="s">
        <v>970</v>
      </c>
      <c r="S349" s="5" t="s">
        <v>971</v>
      </c>
      <c r="T349" s="24">
        <v>46082</v>
      </c>
      <c r="U349" s="137">
        <v>46095</v>
      </c>
      <c r="V349" s="137">
        <v>46104</v>
      </c>
      <c r="X349" s="5" t="s">
        <v>58</v>
      </c>
      <c r="Y349" s="30">
        <v>0.5</v>
      </c>
      <c r="AA349" s="137">
        <v>46095</v>
      </c>
      <c r="AB349" s="137">
        <v>46105</v>
      </c>
      <c r="AD349" s="56" t="s">
        <v>72</v>
      </c>
      <c r="AE349" s="21"/>
      <c r="AF349" s="65">
        <v>46101</v>
      </c>
      <c r="AG349" s="65">
        <v>46099</v>
      </c>
      <c r="AH349" s="65">
        <v>46108</v>
      </c>
      <c r="AI349" s="177">
        <v>46111</v>
      </c>
      <c r="AJ349" s="177"/>
      <c r="AK349" s="178">
        <v>46096</v>
      </c>
      <c r="AL349" s="91">
        <v>2960</v>
      </c>
      <c r="AM349" s="58"/>
      <c r="AN349" s="58"/>
      <c r="AR349" s="21"/>
    </row>
    <row r="350" spans="1:44" ht="18.649999999999999" customHeight="1">
      <c r="A350" s="48" t="s">
        <v>624</v>
      </c>
      <c r="B350" s="199"/>
      <c r="D350" s="48" t="s">
        <v>81</v>
      </c>
      <c r="E350" s="49" t="s">
        <v>964</v>
      </c>
      <c r="F350" s="49">
        <v>1000032694</v>
      </c>
      <c r="G350" s="49" t="s">
        <v>974</v>
      </c>
      <c r="H350" s="48">
        <v>50</v>
      </c>
      <c r="I350" s="48" t="s">
        <v>948</v>
      </c>
      <c r="J350" s="21" t="s">
        <v>966</v>
      </c>
      <c r="K350" s="21"/>
      <c r="L350" s="177">
        <v>46058</v>
      </c>
      <c r="M350" s="117" t="s">
        <v>972</v>
      </c>
      <c r="N350" s="21" t="s">
        <v>968</v>
      </c>
      <c r="O350" s="5" t="s">
        <v>55</v>
      </c>
      <c r="Q350" s="20" t="s">
        <v>969</v>
      </c>
      <c r="R350" s="20" t="s">
        <v>970</v>
      </c>
      <c r="S350" s="5" t="s">
        <v>971</v>
      </c>
      <c r="T350" s="24">
        <v>46082</v>
      </c>
      <c r="U350" s="137">
        <v>46095</v>
      </c>
      <c r="V350" s="137">
        <v>46104</v>
      </c>
      <c r="X350" s="5" t="s">
        <v>58</v>
      </c>
      <c r="Y350" s="30">
        <v>0.5</v>
      </c>
      <c r="AA350" s="137">
        <v>46095</v>
      </c>
      <c r="AB350" s="137">
        <v>46105</v>
      </c>
      <c r="AD350" s="56" t="s">
        <v>72</v>
      </c>
      <c r="AE350" s="21"/>
      <c r="AF350" s="65">
        <v>46101</v>
      </c>
      <c r="AG350" s="65">
        <v>46099</v>
      </c>
      <c r="AH350" s="65">
        <v>46108</v>
      </c>
      <c r="AI350" s="177">
        <v>46111</v>
      </c>
      <c r="AJ350" s="177"/>
      <c r="AK350" s="178">
        <v>46096</v>
      </c>
      <c r="AL350" s="91">
        <v>1500</v>
      </c>
      <c r="AM350" s="58"/>
      <c r="AN350" s="58"/>
      <c r="AR350" s="21"/>
    </row>
    <row r="351" spans="1:44" ht="18.649999999999999" customHeight="1">
      <c r="A351" s="48" t="s">
        <v>624</v>
      </c>
      <c r="B351" s="199"/>
      <c r="D351" s="48" t="s">
        <v>81</v>
      </c>
      <c r="E351" s="49" t="s">
        <v>964</v>
      </c>
      <c r="F351" s="49">
        <v>1000033248</v>
      </c>
      <c r="G351" s="49" t="s">
        <v>975</v>
      </c>
      <c r="H351" s="48">
        <v>4540</v>
      </c>
      <c r="I351" s="48" t="s">
        <v>976</v>
      </c>
      <c r="J351" s="21" t="s">
        <v>966</v>
      </c>
      <c r="K351" s="21"/>
      <c r="L351" s="177">
        <v>46058</v>
      </c>
      <c r="M351" s="117" t="s">
        <v>972</v>
      </c>
      <c r="N351" s="21" t="s">
        <v>968</v>
      </c>
      <c r="O351" s="5" t="s">
        <v>55</v>
      </c>
      <c r="Q351" s="20" t="s">
        <v>969</v>
      </c>
      <c r="R351" s="20" t="s">
        <v>970</v>
      </c>
      <c r="S351" s="5" t="s">
        <v>971</v>
      </c>
      <c r="T351" s="24">
        <v>46082</v>
      </c>
      <c r="U351" s="137">
        <v>46095</v>
      </c>
      <c r="V351" s="137">
        <v>46104</v>
      </c>
      <c r="X351" s="5" t="s">
        <v>58</v>
      </c>
      <c r="Y351" s="30">
        <v>0.5</v>
      </c>
      <c r="AA351" s="137">
        <v>46095</v>
      </c>
      <c r="AB351" s="137">
        <v>46105</v>
      </c>
      <c r="AD351" s="56" t="s">
        <v>72</v>
      </c>
      <c r="AE351" s="21"/>
      <c r="AF351" s="65">
        <v>46101</v>
      </c>
      <c r="AG351" s="65">
        <v>46099</v>
      </c>
      <c r="AH351" s="65">
        <v>46108</v>
      </c>
      <c r="AI351" s="177">
        <v>46111</v>
      </c>
      <c r="AJ351" s="177"/>
      <c r="AK351" s="178">
        <v>46096</v>
      </c>
      <c r="AL351" s="135">
        <v>600</v>
      </c>
      <c r="AM351" s="58"/>
      <c r="AN351" s="58"/>
      <c r="AR351" s="21"/>
    </row>
    <row r="352" spans="1:44" ht="18.649999999999999" customHeight="1">
      <c r="D352" s="48" t="s">
        <v>81</v>
      </c>
      <c r="E352" s="52" t="s">
        <v>590</v>
      </c>
      <c r="F352" s="49">
        <v>1000016280</v>
      </c>
      <c r="G352" s="49" t="s">
        <v>591</v>
      </c>
      <c r="H352" s="48">
        <v>6000</v>
      </c>
      <c r="I352" s="48" t="s">
        <v>85</v>
      </c>
      <c r="N352" s="21"/>
      <c r="O352" s="48" t="s">
        <v>55</v>
      </c>
      <c r="Q352" s="21"/>
      <c r="T352" s="24">
        <v>46388</v>
      </c>
      <c r="X352" s="5" t="s">
        <v>170</v>
      </c>
      <c r="Y352" s="5">
        <v>6</v>
      </c>
      <c r="AA352" s="5"/>
      <c r="AB352" s="5"/>
      <c r="AD352" s="56" t="s">
        <v>72</v>
      </c>
      <c r="AE352" s="21"/>
      <c r="AF352" s="21"/>
      <c r="AG352" s="21"/>
      <c r="AH352" s="21"/>
      <c r="AM352" s="58"/>
      <c r="AN352" s="58"/>
      <c r="AR352" s="21"/>
    </row>
    <row r="353" spans="1:45" ht="18.649999999999999" customHeight="1">
      <c r="D353" s="48" t="s">
        <v>81</v>
      </c>
      <c r="E353" s="52" t="s">
        <v>590</v>
      </c>
      <c r="F353" s="49">
        <v>1000016280</v>
      </c>
      <c r="G353" s="49" t="s">
        <v>591</v>
      </c>
      <c r="H353" s="48">
        <v>6000</v>
      </c>
      <c r="I353" s="48" t="s">
        <v>85</v>
      </c>
      <c r="N353" s="21"/>
      <c r="O353" s="48" t="s">
        <v>55</v>
      </c>
      <c r="Q353" s="21"/>
      <c r="T353" s="24">
        <v>46419</v>
      </c>
      <c r="X353" s="5" t="s">
        <v>170</v>
      </c>
      <c r="Y353" s="5">
        <v>6</v>
      </c>
      <c r="AA353" s="5"/>
      <c r="AB353" s="5"/>
      <c r="AD353" s="56" t="s">
        <v>72</v>
      </c>
      <c r="AE353" s="21"/>
      <c r="AF353" s="21"/>
      <c r="AG353" s="21"/>
      <c r="AH353" s="21"/>
      <c r="AM353" s="58"/>
      <c r="AN353" s="58"/>
      <c r="AR353" s="21"/>
    </row>
    <row r="354" spans="1:45" ht="18.649999999999999" customHeight="1">
      <c r="D354" s="48" t="s">
        <v>81</v>
      </c>
      <c r="E354" s="52" t="s">
        <v>590</v>
      </c>
      <c r="F354" s="49">
        <v>1000016280</v>
      </c>
      <c r="G354" s="49" t="s">
        <v>591</v>
      </c>
      <c r="H354" s="48" t="s">
        <v>977</v>
      </c>
      <c r="I354" s="48" t="s">
        <v>85</v>
      </c>
      <c r="N354" s="21"/>
      <c r="O354" s="48" t="s">
        <v>55</v>
      </c>
      <c r="Q354" s="21"/>
      <c r="T354" s="24">
        <v>46447</v>
      </c>
      <c r="X354" s="5" t="s">
        <v>170</v>
      </c>
      <c r="Y354" s="5">
        <v>6</v>
      </c>
      <c r="AA354" s="5"/>
      <c r="AB354" s="5"/>
      <c r="AD354" s="56" t="s">
        <v>72</v>
      </c>
      <c r="AE354" s="21"/>
      <c r="AF354" s="21"/>
      <c r="AG354" s="21"/>
      <c r="AH354" s="21"/>
      <c r="AM354" s="58"/>
      <c r="AN354" s="58"/>
      <c r="AR354" s="21"/>
    </row>
    <row r="355" spans="1:45" ht="18.649999999999999" customHeight="1">
      <c r="D355" s="48" t="s">
        <v>81</v>
      </c>
      <c r="E355" s="52" t="s">
        <v>590</v>
      </c>
      <c r="F355" s="49">
        <v>1000016280</v>
      </c>
      <c r="G355" s="49" t="s">
        <v>591</v>
      </c>
      <c r="H355" s="48">
        <v>6000</v>
      </c>
      <c r="I355" s="48" t="s">
        <v>85</v>
      </c>
      <c r="N355" s="21"/>
      <c r="O355" s="48" t="s">
        <v>55</v>
      </c>
      <c r="Q355" s="21"/>
      <c r="T355" s="24">
        <v>46478</v>
      </c>
      <c r="X355" s="5" t="s">
        <v>170</v>
      </c>
      <c r="Y355" s="5">
        <v>6</v>
      </c>
      <c r="AA355" s="5"/>
      <c r="AB355" s="5"/>
      <c r="AD355" s="56" t="s">
        <v>72</v>
      </c>
      <c r="AE355" s="21"/>
      <c r="AF355" s="21"/>
      <c r="AG355" s="21"/>
      <c r="AH355" s="21"/>
      <c r="AM355" s="58"/>
      <c r="AN355" s="58"/>
      <c r="AR355" s="21"/>
    </row>
    <row r="356" spans="1:45" ht="18.649999999999999" customHeight="1">
      <c r="D356" s="48" t="s">
        <v>81</v>
      </c>
      <c r="E356" s="52" t="s">
        <v>590</v>
      </c>
      <c r="F356" s="49">
        <v>1000016280</v>
      </c>
      <c r="G356" s="49" t="s">
        <v>591</v>
      </c>
      <c r="H356" s="48">
        <v>6000</v>
      </c>
      <c r="I356" s="48" t="s">
        <v>85</v>
      </c>
      <c r="N356" s="21"/>
      <c r="O356" s="48" t="s">
        <v>55</v>
      </c>
      <c r="Q356" s="21"/>
      <c r="T356" s="24">
        <v>46508</v>
      </c>
      <c r="X356" s="5" t="s">
        <v>170</v>
      </c>
      <c r="Y356" s="5">
        <v>6</v>
      </c>
      <c r="AA356" s="5"/>
      <c r="AB356" s="5"/>
      <c r="AD356" s="56" t="s">
        <v>72</v>
      </c>
      <c r="AE356" s="21"/>
      <c r="AF356" s="21"/>
      <c r="AG356" s="21"/>
      <c r="AH356" s="21"/>
      <c r="AM356" s="58"/>
      <c r="AN356" s="58"/>
      <c r="AR356" s="21"/>
    </row>
    <row r="357" spans="1:45" ht="18.649999999999999" customHeight="1">
      <c r="D357" s="48" t="s">
        <v>81</v>
      </c>
      <c r="E357" s="52" t="s">
        <v>590</v>
      </c>
      <c r="F357" s="49">
        <v>1000016280</v>
      </c>
      <c r="G357" s="49" t="s">
        <v>591</v>
      </c>
      <c r="H357" s="48">
        <v>6000</v>
      </c>
      <c r="I357" s="48" t="s">
        <v>85</v>
      </c>
      <c r="N357" s="21"/>
      <c r="O357" s="48" t="s">
        <v>55</v>
      </c>
      <c r="Q357" s="21"/>
      <c r="T357" s="24">
        <v>46539</v>
      </c>
      <c r="X357" s="5" t="s">
        <v>170</v>
      </c>
      <c r="Y357" s="5">
        <v>6</v>
      </c>
      <c r="AA357" s="5"/>
      <c r="AB357" s="5"/>
      <c r="AD357" s="56" t="s">
        <v>72</v>
      </c>
      <c r="AE357" s="21"/>
      <c r="AF357" s="21"/>
      <c r="AG357" s="21"/>
      <c r="AH357" s="21"/>
      <c r="AM357" s="58"/>
      <c r="AN357" s="58"/>
      <c r="AR357" s="21"/>
    </row>
    <row r="358" spans="1:45" ht="21">
      <c r="A358" s="20" t="s">
        <v>730</v>
      </c>
      <c r="B358" s="222" t="s">
        <v>741</v>
      </c>
      <c r="D358" s="48" t="s">
        <v>81</v>
      </c>
      <c r="E358" s="49" t="s">
        <v>262</v>
      </c>
      <c r="F358" s="49" t="s">
        <v>299</v>
      </c>
      <c r="G358" s="107" t="s">
        <v>300</v>
      </c>
      <c r="H358" s="108" t="s">
        <v>978</v>
      </c>
      <c r="I358" s="108" t="s">
        <v>85</v>
      </c>
      <c r="K358" s="21" t="s">
        <v>53</v>
      </c>
      <c r="L358" s="177">
        <v>46065</v>
      </c>
      <c r="M358" s="226" t="s">
        <v>979</v>
      </c>
      <c r="N358" s="21">
        <v>90478537</v>
      </c>
      <c r="O358" s="30" t="s">
        <v>68</v>
      </c>
      <c r="Q358" s="20" t="s">
        <v>980</v>
      </c>
      <c r="R358" s="20" t="s">
        <v>728</v>
      </c>
      <c r="S358" s="5" t="s">
        <v>981</v>
      </c>
      <c r="T358" s="24">
        <v>46106</v>
      </c>
      <c r="U358" s="137">
        <v>46094</v>
      </c>
      <c r="V358" s="137">
        <v>46100</v>
      </c>
      <c r="X358" s="5" t="s">
        <v>309</v>
      </c>
      <c r="Y358" s="5">
        <v>5</v>
      </c>
      <c r="AA358" s="137">
        <v>46094</v>
      </c>
      <c r="AB358" s="137">
        <v>46099</v>
      </c>
      <c r="AD358" s="42" t="s">
        <v>59</v>
      </c>
      <c r="AE358" s="21"/>
      <c r="AF358" s="65">
        <v>46101</v>
      </c>
      <c r="AG358" s="65">
        <v>46100</v>
      </c>
      <c r="AH358" s="20" t="s">
        <v>982</v>
      </c>
      <c r="AI358" s="177">
        <v>46113</v>
      </c>
      <c r="AJ358" s="177"/>
      <c r="AK358" s="178">
        <v>46106</v>
      </c>
      <c r="AL358" s="184">
        <v>140994</v>
      </c>
      <c r="AM358" s="58"/>
      <c r="AN358" s="58"/>
      <c r="AR358" s="21"/>
    </row>
    <row r="359" spans="1:45" ht="18.649999999999999" customHeight="1">
      <c r="A359" s="48" t="s">
        <v>624</v>
      </c>
      <c r="B359" s="199" t="s">
        <v>625</v>
      </c>
      <c r="C359" s="89">
        <v>46062</v>
      </c>
      <c r="D359" s="48" t="s">
        <v>611</v>
      </c>
      <c r="E359" s="49" t="s">
        <v>983</v>
      </c>
      <c r="F359" s="49">
        <v>1000032643</v>
      </c>
      <c r="G359" s="50" t="s">
        <v>984</v>
      </c>
      <c r="H359" s="48" t="s">
        <v>985</v>
      </c>
      <c r="I359" s="48" t="s">
        <v>986</v>
      </c>
      <c r="J359" s="33" t="s">
        <v>987</v>
      </c>
      <c r="K359" s="30" t="s">
        <v>53</v>
      </c>
      <c r="L359" s="289">
        <v>45980</v>
      </c>
      <c r="M359" s="34" t="s">
        <v>988</v>
      </c>
      <c r="N359" s="30" t="s">
        <v>989</v>
      </c>
      <c r="O359" s="48" t="s">
        <v>150</v>
      </c>
      <c r="P359" s="30"/>
      <c r="Q359" s="48">
        <v>640021561</v>
      </c>
      <c r="R359" s="48" t="s">
        <v>79</v>
      </c>
      <c r="S359" s="30" t="s">
        <v>990</v>
      </c>
      <c r="T359" s="36">
        <v>46054</v>
      </c>
      <c r="U359" s="93">
        <v>46068</v>
      </c>
      <c r="V359" s="88">
        <v>46109</v>
      </c>
      <c r="W359" s="52"/>
      <c r="X359" s="120" t="s">
        <v>170</v>
      </c>
      <c r="Y359" s="120">
        <v>1</v>
      </c>
      <c r="Z359" s="120"/>
      <c r="AA359" s="93">
        <v>46075</v>
      </c>
      <c r="AB359" s="88">
        <v>46107</v>
      </c>
      <c r="AC359" s="30"/>
      <c r="AD359" s="42" t="s">
        <v>72</v>
      </c>
      <c r="AE359" s="33"/>
      <c r="AF359" s="88">
        <v>46086</v>
      </c>
      <c r="AG359" s="88">
        <v>46077</v>
      </c>
      <c r="AH359" s="88">
        <v>46115</v>
      </c>
      <c r="AI359" s="89">
        <v>46119</v>
      </c>
      <c r="AJ359" s="89"/>
      <c r="AK359" s="258">
        <v>46096</v>
      </c>
      <c r="AL359" s="45">
        <v>64160</v>
      </c>
      <c r="AM359" s="59"/>
      <c r="AN359" s="59"/>
      <c r="AO359" s="47">
        <v>0</v>
      </c>
      <c r="AP359" s="47" t="s">
        <v>61</v>
      </c>
      <c r="AQ359" s="33"/>
      <c r="AR359" s="30" t="s">
        <v>991</v>
      </c>
      <c r="AS359" s="207" t="s">
        <v>992</v>
      </c>
    </row>
    <row r="360" spans="1:45" ht="18.5" customHeight="1">
      <c r="A360" s="48" t="s">
        <v>796</v>
      </c>
      <c r="B360" s="199" t="s">
        <v>93</v>
      </c>
      <c r="C360" s="89">
        <v>46081</v>
      </c>
      <c r="D360" s="48" t="s">
        <v>611</v>
      </c>
      <c r="E360" s="49" t="s">
        <v>983</v>
      </c>
      <c r="F360" s="49" t="s">
        <v>993</v>
      </c>
      <c r="G360" s="50" t="s">
        <v>984</v>
      </c>
      <c r="H360" s="48">
        <v>880</v>
      </c>
      <c r="I360" s="48" t="s">
        <v>986</v>
      </c>
      <c r="J360" s="33" t="s">
        <v>994</v>
      </c>
      <c r="K360" s="30" t="s">
        <v>53</v>
      </c>
      <c r="L360" s="289">
        <v>45980</v>
      </c>
      <c r="M360" s="62" t="s">
        <v>995</v>
      </c>
      <c r="N360" s="30" t="s">
        <v>996</v>
      </c>
      <c r="O360" s="48" t="s">
        <v>150</v>
      </c>
      <c r="P360" s="30"/>
      <c r="Q360" s="290" t="s">
        <v>997</v>
      </c>
      <c r="R360" s="48" t="s">
        <v>79</v>
      </c>
      <c r="S360" s="30" t="s">
        <v>998</v>
      </c>
      <c r="T360" s="36">
        <v>46082</v>
      </c>
      <c r="U360" s="93">
        <v>46105</v>
      </c>
      <c r="V360" s="88">
        <v>46138</v>
      </c>
      <c r="W360" s="52"/>
      <c r="X360" s="120" t="s">
        <v>170</v>
      </c>
      <c r="Y360" s="120">
        <v>1</v>
      </c>
      <c r="Z360" s="120"/>
      <c r="AA360" s="93">
        <v>46103</v>
      </c>
      <c r="AB360" s="88">
        <v>46139</v>
      </c>
      <c r="AC360" s="30"/>
      <c r="AD360" s="42" t="s">
        <v>72</v>
      </c>
      <c r="AE360" s="65">
        <v>46112</v>
      </c>
      <c r="AF360" s="65">
        <v>46112</v>
      </c>
      <c r="AG360" s="88">
        <v>46108</v>
      </c>
      <c r="AH360" s="88">
        <v>46142</v>
      </c>
      <c r="AI360" s="89">
        <v>46147</v>
      </c>
      <c r="AJ360" s="89"/>
      <c r="AK360" s="178">
        <v>46127</v>
      </c>
      <c r="AL360" s="45">
        <v>70184.14</v>
      </c>
      <c r="AM360" s="59"/>
      <c r="AN360" s="59"/>
      <c r="AO360" s="47">
        <v>0</v>
      </c>
      <c r="AP360" s="47" t="s">
        <v>61</v>
      </c>
      <c r="AQ360" s="33"/>
      <c r="AR360" s="30"/>
      <c r="AS360" s="33"/>
    </row>
    <row r="361" spans="1:45" ht="18.5" customHeight="1">
      <c r="B361" s="291" t="s">
        <v>93</v>
      </c>
      <c r="D361" s="48" t="s">
        <v>611</v>
      </c>
      <c r="E361" s="52" t="s">
        <v>612</v>
      </c>
      <c r="F361" s="49">
        <v>1000033050</v>
      </c>
      <c r="G361" s="49" t="s">
        <v>613</v>
      </c>
      <c r="H361" s="48">
        <v>1259</v>
      </c>
      <c r="I361" s="48" t="s">
        <v>614</v>
      </c>
      <c r="J361" s="203" t="s">
        <v>999</v>
      </c>
      <c r="K361" s="21" t="s">
        <v>53</v>
      </c>
      <c r="M361" s="214" t="s">
        <v>1000</v>
      </c>
      <c r="N361" s="21" t="s">
        <v>1001</v>
      </c>
      <c r="O361" s="5" t="s">
        <v>150</v>
      </c>
      <c r="Q361" s="21" t="s">
        <v>1002</v>
      </c>
      <c r="R361" s="5" t="s">
        <v>476</v>
      </c>
      <c r="S361" s="21" t="s">
        <v>1003</v>
      </c>
      <c r="T361" s="24">
        <v>46082</v>
      </c>
      <c r="U361" s="137">
        <v>46140</v>
      </c>
      <c r="V361" s="137">
        <v>46150</v>
      </c>
      <c r="X361" s="5" t="s">
        <v>170</v>
      </c>
      <c r="Y361" s="5">
        <v>1</v>
      </c>
      <c r="AA361" s="137">
        <v>46140</v>
      </c>
      <c r="AB361" s="137">
        <v>46152</v>
      </c>
      <c r="AD361" s="56" t="s">
        <v>72</v>
      </c>
      <c r="AF361" s="292" t="s">
        <v>1004</v>
      </c>
      <c r="AG361" s="137">
        <v>46142</v>
      </c>
      <c r="AH361" s="5"/>
      <c r="AJ361" s="21" t="s">
        <v>1005</v>
      </c>
      <c r="AK361" s="178">
        <v>46047</v>
      </c>
      <c r="AL361" s="179">
        <v>13597.199999999999</v>
      </c>
      <c r="AM361" s="21" t="s">
        <v>1006</v>
      </c>
      <c r="AR361" s="21"/>
    </row>
    <row r="362" spans="1:45" ht="18.649999999999999" customHeight="1">
      <c r="B362" s="291" t="s">
        <v>93</v>
      </c>
      <c r="D362" s="48" t="s">
        <v>611</v>
      </c>
      <c r="E362" s="52" t="s">
        <v>612</v>
      </c>
      <c r="F362" s="49">
        <v>1000033050</v>
      </c>
      <c r="G362" s="49" t="s">
        <v>613</v>
      </c>
      <c r="H362" s="48">
        <v>1259</v>
      </c>
      <c r="I362" s="48" t="s">
        <v>614</v>
      </c>
      <c r="J362" s="203" t="s">
        <v>1007</v>
      </c>
      <c r="K362" s="21" t="s">
        <v>53</v>
      </c>
      <c r="M362" s="214" t="s">
        <v>1008</v>
      </c>
      <c r="N362" s="21" t="s">
        <v>1001</v>
      </c>
      <c r="O362" s="5" t="s">
        <v>150</v>
      </c>
      <c r="Q362" s="21" t="s">
        <v>1002</v>
      </c>
      <c r="R362" s="5" t="s">
        <v>476</v>
      </c>
      <c r="S362" s="21" t="s">
        <v>1003</v>
      </c>
      <c r="T362" s="24">
        <v>46113</v>
      </c>
      <c r="U362" s="137">
        <v>46140</v>
      </c>
      <c r="V362" s="137">
        <v>46150</v>
      </c>
      <c r="X362" s="5" t="s">
        <v>170</v>
      </c>
      <c r="Y362" s="5">
        <v>1</v>
      </c>
      <c r="AA362" s="137">
        <v>46140</v>
      </c>
      <c r="AB362" s="137">
        <v>46152</v>
      </c>
      <c r="AD362" s="56" t="s">
        <v>72</v>
      </c>
      <c r="AF362" s="292" t="s">
        <v>1004</v>
      </c>
      <c r="AG362" s="137">
        <v>46142</v>
      </c>
      <c r="AH362" s="5"/>
      <c r="AJ362" s="21" t="s">
        <v>1005</v>
      </c>
      <c r="AK362" s="178">
        <v>46047</v>
      </c>
      <c r="AL362" s="179">
        <v>13597.199999999999</v>
      </c>
      <c r="AM362" s="21" t="s">
        <v>1006</v>
      </c>
      <c r="AR362" s="21"/>
    </row>
    <row r="363" spans="1:45" ht="18" customHeight="1">
      <c r="B363" s="291" t="s">
        <v>93</v>
      </c>
      <c r="D363" s="48" t="s">
        <v>611</v>
      </c>
      <c r="E363" s="52" t="s">
        <v>612</v>
      </c>
      <c r="F363" s="49">
        <v>1000033050</v>
      </c>
      <c r="G363" s="49" t="s">
        <v>613</v>
      </c>
      <c r="H363" s="48">
        <v>1259</v>
      </c>
      <c r="I363" s="48" t="s">
        <v>614</v>
      </c>
      <c r="J363" s="203" t="s">
        <v>1009</v>
      </c>
      <c r="K363" s="21" t="s">
        <v>53</v>
      </c>
      <c r="M363" s="20" t="s">
        <v>1010</v>
      </c>
      <c r="N363" s="21"/>
      <c r="O363" s="5" t="s">
        <v>150</v>
      </c>
      <c r="Q363" s="21"/>
      <c r="T363" s="24">
        <v>46143</v>
      </c>
      <c r="X363" s="5" t="s">
        <v>170</v>
      </c>
      <c r="Y363" s="5">
        <v>1</v>
      </c>
      <c r="AA363" s="5"/>
      <c r="AB363" s="5" t="s">
        <v>1011</v>
      </c>
      <c r="AD363" s="56" t="s">
        <v>72</v>
      </c>
      <c r="AH363" s="5"/>
      <c r="AK363" s="27" t="s">
        <v>1012</v>
      </c>
      <c r="AM363" s="58"/>
      <c r="AN363" s="58"/>
      <c r="AR363" s="21"/>
    </row>
    <row r="364" spans="1:45" ht="18.649999999999999" customHeight="1">
      <c r="B364" s="291" t="s">
        <v>93</v>
      </c>
      <c r="D364" s="48" t="s">
        <v>611</v>
      </c>
      <c r="E364" s="52" t="s">
        <v>612</v>
      </c>
      <c r="F364" s="49">
        <v>1000033050</v>
      </c>
      <c r="G364" s="49" t="s">
        <v>613</v>
      </c>
      <c r="H364" s="48">
        <v>1259</v>
      </c>
      <c r="I364" s="48" t="s">
        <v>614</v>
      </c>
      <c r="J364" s="203" t="s">
        <v>1009</v>
      </c>
      <c r="K364" s="21" t="s">
        <v>53</v>
      </c>
      <c r="M364" s="20" t="s">
        <v>1013</v>
      </c>
      <c r="N364" s="21"/>
      <c r="O364" s="5" t="s">
        <v>150</v>
      </c>
      <c r="Q364" s="21"/>
      <c r="T364" s="24">
        <v>46174</v>
      </c>
      <c r="X364" s="5" t="s">
        <v>170</v>
      </c>
      <c r="Y364" s="5">
        <v>1</v>
      </c>
      <c r="AA364" s="5"/>
      <c r="AB364" s="5"/>
      <c r="AD364" s="56" t="s">
        <v>72</v>
      </c>
      <c r="AE364" s="21"/>
      <c r="AF364" s="21"/>
      <c r="AG364" s="21"/>
      <c r="AH364" s="21"/>
      <c r="AK364" s="27" t="s">
        <v>1012</v>
      </c>
      <c r="AM364" s="58"/>
      <c r="AN364" s="58"/>
      <c r="AR364" s="21"/>
    </row>
    <row r="365" spans="1:45" ht="18.649999999999999" customHeight="1">
      <c r="B365" s="199" t="s">
        <v>93</v>
      </c>
      <c r="D365" s="48" t="s">
        <v>611</v>
      </c>
      <c r="E365" s="49" t="s">
        <v>1014</v>
      </c>
      <c r="F365" s="49">
        <v>2101022139</v>
      </c>
      <c r="G365" s="49" t="s">
        <v>1015</v>
      </c>
      <c r="H365" s="5">
        <v>1150</v>
      </c>
      <c r="I365" s="5" t="s">
        <v>614</v>
      </c>
      <c r="K365" s="21"/>
      <c r="M365" s="136">
        <v>24015926</v>
      </c>
      <c r="N365" s="293" t="s">
        <v>1016</v>
      </c>
      <c r="O365" s="5" t="s">
        <v>150</v>
      </c>
      <c r="Q365" s="5" t="s">
        <v>1017</v>
      </c>
      <c r="R365" s="5" t="s">
        <v>423</v>
      </c>
      <c r="S365" s="5" t="s">
        <v>1018</v>
      </c>
      <c r="T365" s="24">
        <v>46073</v>
      </c>
      <c r="U365" s="137">
        <v>46099</v>
      </c>
      <c r="V365" s="137">
        <v>46108</v>
      </c>
      <c r="X365" s="5" t="s">
        <v>170</v>
      </c>
      <c r="Y365" s="5">
        <v>1</v>
      </c>
      <c r="AA365" s="137">
        <v>46108</v>
      </c>
      <c r="AB365" s="137">
        <v>46117</v>
      </c>
      <c r="AD365" s="56" t="s">
        <v>72</v>
      </c>
      <c r="AE365" s="65">
        <v>46113</v>
      </c>
      <c r="AF365" s="65">
        <v>46113</v>
      </c>
      <c r="AG365" s="137">
        <v>46111</v>
      </c>
      <c r="AH365" s="65">
        <v>46130</v>
      </c>
      <c r="AI365" s="177">
        <v>46133</v>
      </c>
      <c r="AJ365" s="177"/>
      <c r="AK365" s="178">
        <v>45580</v>
      </c>
      <c r="AL365" s="184">
        <v>11902.5</v>
      </c>
      <c r="AM365" s="294">
        <v>45621</v>
      </c>
      <c r="AN365" s="184">
        <v>27772.5</v>
      </c>
      <c r="AR365" s="21">
        <v>42</v>
      </c>
      <c r="AS365" s="21" t="s">
        <v>1019</v>
      </c>
    </row>
    <row r="366" spans="1:45" ht="18.649999999999999" customHeight="1">
      <c r="A366" s="295"/>
      <c r="B366" s="291" t="s">
        <v>93</v>
      </c>
      <c r="C366" s="73"/>
      <c r="D366" s="20" t="s">
        <v>99</v>
      </c>
      <c r="E366" s="22" t="s">
        <v>1020</v>
      </c>
      <c r="F366" s="31">
        <v>2000013399</v>
      </c>
      <c r="G366" s="32" t="s">
        <v>1021</v>
      </c>
      <c r="H366" s="20">
        <v>1000</v>
      </c>
      <c r="I366" s="20" t="s">
        <v>1022</v>
      </c>
      <c r="J366" s="161" t="s">
        <v>1023</v>
      </c>
      <c r="K366" s="20"/>
      <c r="L366" s="22"/>
      <c r="M366" s="296" t="s">
        <v>1024</v>
      </c>
      <c r="N366" s="20" t="s">
        <v>1025</v>
      </c>
      <c r="O366" s="20" t="s">
        <v>55</v>
      </c>
      <c r="P366" s="20"/>
      <c r="S366" s="20"/>
      <c r="T366" s="25">
        <v>45992</v>
      </c>
      <c r="U366" s="76"/>
      <c r="V366" s="76"/>
      <c r="W366" s="297"/>
      <c r="X366" s="20" t="s">
        <v>209</v>
      </c>
      <c r="Y366" s="20">
        <v>1</v>
      </c>
      <c r="Z366" s="20"/>
      <c r="AA366" s="25"/>
      <c r="AB366" s="25" t="s">
        <v>1026</v>
      </c>
      <c r="AC366" s="25"/>
      <c r="AD366" s="42" t="s">
        <v>59</v>
      </c>
      <c r="AE366" s="20"/>
      <c r="AF366" s="20"/>
      <c r="AG366" s="20"/>
      <c r="AI366" s="20"/>
      <c r="AJ366" s="20"/>
      <c r="AK366" s="81">
        <v>45853</v>
      </c>
      <c r="AL366" s="126">
        <v>4695</v>
      </c>
      <c r="AM366" s="298">
        <v>45863</v>
      </c>
      <c r="AN366" s="299">
        <v>10955</v>
      </c>
      <c r="AO366" s="47">
        <v>15650</v>
      </c>
      <c r="AP366" s="47" t="s">
        <v>61</v>
      </c>
      <c r="AQ366" s="22"/>
      <c r="AR366" s="22"/>
      <c r="AS366" s="22"/>
    </row>
    <row r="367" spans="1:45" ht="18.649999999999999" customHeight="1">
      <c r="A367" s="201" t="s">
        <v>633</v>
      </c>
      <c r="B367" s="199"/>
      <c r="C367" s="30"/>
      <c r="D367" s="20" t="s">
        <v>99</v>
      </c>
      <c r="E367" s="31" t="s">
        <v>63</v>
      </c>
      <c r="F367" s="31">
        <v>1000031684</v>
      </c>
      <c r="G367" s="107" t="s">
        <v>100</v>
      </c>
      <c r="H367" s="108" t="s">
        <v>101</v>
      </c>
      <c r="I367" s="108" t="s">
        <v>52</v>
      </c>
      <c r="J367" s="33" t="s">
        <v>1027</v>
      </c>
      <c r="K367" s="30" t="s">
        <v>53</v>
      </c>
      <c r="L367" s="33"/>
      <c r="M367" s="34" t="s">
        <v>1028</v>
      </c>
      <c r="N367" s="30" t="s">
        <v>1029</v>
      </c>
      <c r="O367" s="20" t="s">
        <v>68</v>
      </c>
      <c r="P367" s="30"/>
      <c r="Q367" s="48">
        <v>7266310220</v>
      </c>
      <c r="R367" s="30" t="s">
        <v>365</v>
      </c>
      <c r="S367" s="30" t="s">
        <v>1030</v>
      </c>
      <c r="T367" s="36">
        <v>46082</v>
      </c>
      <c r="U367" s="93">
        <v>46067</v>
      </c>
      <c r="V367" s="88">
        <v>46087</v>
      </c>
      <c r="W367" s="52"/>
      <c r="X367" s="120" t="s">
        <v>58</v>
      </c>
      <c r="Y367" s="30">
        <v>2</v>
      </c>
      <c r="Z367" s="30"/>
      <c r="AA367" s="93">
        <v>46067</v>
      </c>
      <c r="AB367" s="88">
        <v>46087</v>
      </c>
      <c r="AC367" s="30"/>
      <c r="AD367" s="56" t="s">
        <v>72</v>
      </c>
      <c r="AE367" s="33"/>
      <c r="AF367" s="88">
        <v>46086</v>
      </c>
      <c r="AG367" s="88">
        <v>46086</v>
      </c>
      <c r="AH367" s="88">
        <v>46092</v>
      </c>
      <c r="AI367" s="89">
        <v>46092</v>
      </c>
      <c r="AJ367" s="89"/>
      <c r="AK367" s="258">
        <v>46096</v>
      </c>
      <c r="AL367" s="45">
        <v>52920</v>
      </c>
      <c r="AM367" s="59"/>
      <c r="AN367" s="59"/>
      <c r="AO367" s="97"/>
      <c r="AP367" s="97"/>
      <c r="AQ367" s="33"/>
      <c r="AR367" s="30"/>
      <c r="AS367" s="33"/>
    </row>
    <row r="368" spans="1:45" ht="18.649999999999999" customHeight="1">
      <c r="A368" s="48" t="s">
        <v>796</v>
      </c>
      <c r="B368" s="199" t="s">
        <v>93</v>
      </c>
      <c r="D368" s="48" t="s">
        <v>99</v>
      </c>
      <c r="E368" s="49" t="s">
        <v>360</v>
      </c>
      <c r="F368" s="49">
        <v>1000021842</v>
      </c>
      <c r="G368" s="49" t="s">
        <v>1031</v>
      </c>
      <c r="H368" s="48" t="s">
        <v>1032</v>
      </c>
      <c r="I368" s="48" t="s">
        <v>85</v>
      </c>
      <c r="J368" s="21" t="s">
        <v>1033</v>
      </c>
      <c r="K368" s="21" t="s">
        <v>53</v>
      </c>
      <c r="M368" s="226" t="s">
        <v>1034</v>
      </c>
      <c r="N368" s="20" t="s">
        <v>1035</v>
      </c>
      <c r="O368" s="30" t="s">
        <v>68</v>
      </c>
      <c r="Q368" s="20">
        <v>2167382760</v>
      </c>
      <c r="R368" s="20" t="s">
        <v>168</v>
      </c>
      <c r="S368" s="5" t="s">
        <v>760</v>
      </c>
      <c r="T368" s="24">
        <v>46082</v>
      </c>
      <c r="U368" s="137">
        <v>46080</v>
      </c>
      <c r="V368" s="137">
        <v>46091</v>
      </c>
      <c r="X368" s="5" t="s">
        <v>309</v>
      </c>
      <c r="Y368" s="5">
        <v>1</v>
      </c>
      <c r="AA368" s="137">
        <v>46099</v>
      </c>
      <c r="AB368" s="137">
        <v>46108</v>
      </c>
      <c r="AD368" s="56" t="s">
        <v>59</v>
      </c>
      <c r="AE368" s="21"/>
      <c r="AF368" s="65">
        <v>46104</v>
      </c>
      <c r="AG368" s="65">
        <v>46105</v>
      </c>
      <c r="AH368" s="65">
        <v>46114</v>
      </c>
      <c r="AI368" s="177">
        <v>46115</v>
      </c>
      <c r="AJ368" s="177"/>
      <c r="AK368" s="178">
        <v>46106</v>
      </c>
      <c r="AL368" s="184">
        <v>29638</v>
      </c>
      <c r="AM368" s="58"/>
      <c r="AN368" s="58"/>
      <c r="AR368" s="21">
        <v>1</v>
      </c>
      <c r="AS368" s="21" t="s">
        <v>577</v>
      </c>
    </row>
    <row r="369" spans="1:44" ht="18.649999999999999" customHeight="1">
      <c r="A369" s="300" t="s">
        <v>1036</v>
      </c>
      <c r="B369" s="222" t="s">
        <v>741</v>
      </c>
      <c r="D369" s="20" t="s">
        <v>99</v>
      </c>
      <c r="E369" s="31" t="s">
        <v>626</v>
      </c>
      <c r="F369" s="31">
        <v>1000038245</v>
      </c>
      <c r="G369" s="31" t="s">
        <v>1037</v>
      </c>
      <c r="H369" s="5">
        <v>950</v>
      </c>
      <c r="I369" s="48" t="s">
        <v>85</v>
      </c>
      <c r="J369" s="21" t="s">
        <v>927</v>
      </c>
      <c r="K369" s="21" t="s">
        <v>53</v>
      </c>
      <c r="M369" s="20" t="s">
        <v>1038</v>
      </c>
      <c r="N369" s="21">
        <v>173663</v>
      </c>
      <c r="O369" s="5" t="s">
        <v>68</v>
      </c>
      <c r="Q369" s="60" t="s">
        <v>1039</v>
      </c>
      <c r="R369" s="301" t="s">
        <v>1040</v>
      </c>
      <c r="S369" s="302" t="s">
        <v>1041</v>
      </c>
      <c r="T369" s="24">
        <v>46096</v>
      </c>
      <c r="U369" s="137" t="s">
        <v>53</v>
      </c>
      <c r="V369" s="137" t="s">
        <v>53</v>
      </c>
      <c r="X369" s="5" t="s">
        <v>170</v>
      </c>
      <c r="Y369" s="5">
        <v>1</v>
      </c>
      <c r="AA369" s="137" t="s">
        <v>53</v>
      </c>
      <c r="AB369" s="137" t="s">
        <v>1042</v>
      </c>
      <c r="AD369" s="42" t="s">
        <v>72</v>
      </c>
      <c r="AF369" s="20"/>
      <c r="AG369" s="20"/>
      <c r="AK369" s="233" t="s">
        <v>53</v>
      </c>
      <c r="AM369" s="58"/>
      <c r="AN369" s="58"/>
      <c r="AR369" s="21"/>
    </row>
    <row r="370" spans="1:44" ht="18.649999999999999" customHeight="1">
      <c r="A370" s="78"/>
      <c r="B370" s="303" t="s">
        <v>93</v>
      </c>
      <c r="C370" s="304"/>
      <c r="D370" s="20" t="s">
        <v>99</v>
      </c>
      <c r="E370" s="22" t="s">
        <v>1043</v>
      </c>
      <c r="F370" s="23">
        <v>1000038007</v>
      </c>
      <c r="G370" s="21" t="s">
        <v>1044</v>
      </c>
      <c r="H370" s="5">
        <v>637</v>
      </c>
      <c r="I370" s="48" t="s">
        <v>85</v>
      </c>
      <c r="J370" s="21">
        <f>H370*2</f>
        <v>1274</v>
      </c>
      <c r="K370" s="21"/>
      <c r="M370" s="20" t="s">
        <v>1045</v>
      </c>
      <c r="N370" s="21"/>
      <c r="O370" s="5" t="s">
        <v>55</v>
      </c>
      <c r="Q370" s="21"/>
      <c r="T370" s="24">
        <v>46113</v>
      </c>
      <c r="X370" s="30" t="s">
        <v>58</v>
      </c>
      <c r="Y370" s="5">
        <v>0.5</v>
      </c>
      <c r="AA370" s="5"/>
      <c r="AB370" s="5" t="s">
        <v>1046</v>
      </c>
      <c r="AD370" s="56" t="s">
        <v>72</v>
      </c>
      <c r="AH370" s="5"/>
      <c r="AK370" s="178">
        <v>46078</v>
      </c>
      <c r="AL370" s="179">
        <v>12306.84</v>
      </c>
      <c r="AM370" s="177">
        <v>46167</v>
      </c>
      <c r="AN370" s="21">
        <v>12306.84</v>
      </c>
      <c r="AR370" s="21"/>
    </row>
    <row r="371" spans="1:44" ht="18.649999999999999" customHeight="1">
      <c r="A371" s="78"/>
      <c r="B371" s="303" t="s">
        <v>93</v>
      </c>
      <c r="C371" s="304"/>
      <c r="D371" s="20" t="s">
        <v>99</v>
      </c>
      <c r="E371" s="22" t="s">
        <v>1043</v>
      </c>
      <c r="F371" s="23">
        <v>1000038017</v>
      </c>
      <c r="G371" s="21" t="s">
        <v>1047</v>
      </c>
      <c r="H371" s="5">
        <v>273</v>
      </c>
      <c r="I371" s="48" t="s">
        <v>85</v>
      </c>
      <c r="J371" s="21">
        <f>H371*2</f>
        <v>546</v>
      </c>
      <c r="K371" s="21" t="s">
        <v>53</v>
      </c>
      <c r="M371" s="20" t="s">
        <v>1045</v>
      </c>
      <c r="N371" s="21"/>
      <c r="O371" s="5" t="s">
        <v>55</v>
      </c>
      <c r="Q371" s="21"/>
      <c r="T371" s="24">
        <v>46113</v>
      </c>
      <c r="X371" s="30" t="s">
        <v>58</v>
      </c>
      <c r="Y371" s="5">
        <v>0.5</v>
      </c>
      <c r="AA371" s="5"/>
      <c r="AB371" s="5" t="s">
        <v>1046</v>
      </c>
      <c r="AD371" s="56" t="s">
        <v>72</v>
      </c>
      <c r="AH371" s="5"/>
      <c r="AK371" s="178">
        <v>46078</v>
      </c>
      <c r="AL371" s="179">
        <v>5274.36</v>
      </c>
      <c r="AM371" s="177">
        <v>46167</v>
      </c>
      <c r="AN371" s="21">
        <v>5274.36</v>
      </c>
      <c r="AR371" s="21"/>
    </row>
    <row r="372" spans="1:44" ht="18.649999999999999" customHeight="1">
      <c r="B372" s="222" t="s">
        <v>741</v>
      </c>
      <c r="D372" s="20" t="s">
        <v>99</v>
      </c>
      <c r="E372" s="23" t="s">
        <v>1048</v>
      </c>
      <c r="F372" s="23" t="s">
        <v>1049</v>
      </c>
      <c r="G372" s="21" t="s">
        <v>1050</v>
      </c>
      <c r="H372" s="5">
        <v>504</v>
      </c>
      <c r="I372" s="108" t="s">
        <v>239</v>
      </c>
      <c r="J372" s="21" t="s">
        <v>1051</v>
      </c>
      <c r="K372" s="21" t="s">
        <v>53</v>
      </c>
      <c r="L372" s="177">
        <v>46058</v>
      </c>
      <c r="M372" s="136" t="s">
        <v>1052</v>
      </c>
      <c r="N372" s="21" t="s">
        <v>1053</v>
      </c>
      <c r="O372" s="5" t="s">
        <v>55</v>
      </c>
      <c r="Q372" s="21" t="s">
        <v>1054</v>
      </c>
      <c r="R372" s="20" t="s">
        <v>217</v>
      </c>
      <c r="S372" s="5" t="s">
        <v>1055</v>
      </c>
      <c r="T372" s="24">
        <v>46068</v>
      </c>
      <c r="U372" s="137">
        <v>46101</v>
      </c>
      <c r="V372" s="137">
        <v>46101</v>
      </c>
      <c r="X372" s="5" t="s">
        <v>217</v>
      </c>
      <c r="Y372" s="5">
        <v>1</v>
      </c>
      <c r="AA372" s="137">
        <v>46101</v>
      </c>
      <c r="AB372" s="137">
        <v>46101</v>
      </c>
      <c r="AD372" s="56" t="s">
        <v>72</v>
      </c>
      <c r="AE372" s="21"/>
      <c r="AF372" s="177">
        <v>46108</v>
      </c>
      <c r="AG372" s="177">
        <v>46106</v>
      </c>
      <c r="AH372" s="177">
        <v>46108</v>
      </c>
      <c r="AI372" s="177">
        <v>46111</v>
      </c>
      <c r="AJ372" s="177"/>
      <c r="AK372" s="178">
        <v>46106</v>
      </c>
      <c r="AL372" s="184">
        <v>5034</v>
      </c>
      <c r="AM372" s="58"/>
      <c r="AN372" s="58"/>
      <c r="AR372" s="21"/>
    </row>
    <row r="373" spans="1:44" s="244" customFormat="1" ht="18.649999999999999" customHeight="1">
      <c r="A373" s="305" t="s">
        <v>1056</v>
      </c>
      <c r="B373" s="306" t="s">
        <v>93</v>
      </c>
      <c r="D373" s="239" t="s">
        <v>48</v>
      </c>
      <c r="E373" s="240" t="s">
        <v>678</v>
      </c>
      <c r="F373" s="307">
        <v>2000009979</v>
      </c>
      <c r="G373" s="242" t="s">
        <v>679</v>
      </c>
      <c r="H373" s="243">
        <v>35</v>
      </c>
      <c r="I373" s="189" t="s">
        <v>1057</v>
      </c>
      <c r="L373" s="245">
        <v>46094</v>
      </c>
      <c r="M373" s="308" t="s">
        <v>1058</v>
      </c>
      <c r="N373" s="244" t="s">
        <v>1059</v>
      </c>
      <c r="O373" s="189" t="s">
        <v>55</v>
      </c>
      <c r="Q373" s="244" t="s">
        <v>1060</v>
      </c>
      <c r="R373" s="239" t="s">
        <v>1061</v>
      </c>
      <c r="S373" s="189" t="s">
        <v>1062</v>
      </c>
      <c r="T373" s="309">
        <v>46143</v>
      </c>
      <c r="U373" s="310">
        <v>46143</v>
      </c>
      <c r="V373" s="310">
        <v>46150</v>
      </c>
      <c r="X373" s="189" t="s">
        <v>209</v>
      </c>
      <c r="Y373" s="189">
        <v>0.5</v>
      </c>
      <c r="AA373" s="272">
        <v>46142</v>
      </c>
      <c r="AB373" s="272">
        <v>46152</v>
      </c>
      <c r="AD373" s="311" t="s">
        <v>72</v>
      </c>
      <c r="AE373" s="189"/>
      <c r="AF373" s="312"/>
      <c r="AG373" s="137">
        <v>46147</v>
      </c>
      <c r="AH373" s="189"/>
      <c r="AK373" s="313">
        <v>46157</v>
      </c>
      <c r="AL373" s="314">
        <v>218.75</v>
      </c>
      <c r="AM373" s="315"/>
      <c r="AN373" s="316"/>
    </row>
    <row r="374" spans="1:44" s="244" customFormat="1" ht="18.649999999999999" customHeight="1">
      <c r="A374" s="305" t="s">
        <v>1056</v>
      </c>
      <c r="B374" s="306" t="s">
        <v>93</v>
      </c>
      <c r="D374" s="239" t="s">
        <v>48</v>
      </c>
      <c r="E374" s="240" t="s">
        <v>678</v>
      </c>
      <c r="F374" s="307">
        <v>2000004959</v>
      </c>
      <c r="G374" s="242" t="s">
        <v>1063</v>
      </c>
      <c r="H374" s="243">
        <v>120</v>
      </c>
      <c r="I374" s="189" t="s">
        <v>1057</v>
      </c>
      <c r="L374" s="245">
        <v>46094</v>
      </c>
      <c r="M374" s="308" t="s">
        <v>1058</v>
      </c>
      <c r="N374" s="244" t="s">
        <v>1059</v>
      </c>
      <c r="O374" s="189" t="s">
        <v>55</v>
      </c>
      <c r="Q374" s="244" t="s">
        <v>1060</v>
      </c>
      <c r="R374" s="239" t="s">
        <v>1061</v>
      </c>
      <c r="S374" s="189" t="s">
        <v>1062</v>
      </c>
      <c r="T374" s="309">
        <v>46143</v>
      </c>
      <c r="U374" s="310">
        <v>46143</v>
      </c>
      <c r="V374" s="310">
        <v>46150</v>
      </c>
      <c r="X374" s="189" t="s">
        <v>209</v>
      </c>
      <c r="Y374" s="189">
        <v>0.5</v>
      </c>
      <c r="AA374" s="272">
        <v>46142</v>
      </c>
      <c r="AB374" s="272">
        <v>46152</v>
      </c>
      <c r="AD374" s="311" t="s">
        <v>72</v>
      </c>
      <c r="AE374" s="189"/>
      <c r="AF374" s="312"/>
      <c r="AG374" s="137">
        <v>46147</v>
      </c>
      <c r="AH374" s="189"/>
      <c r="AK374" s="313">
        <v>46157</v>
      </c>
      <c r="AL374" s="314">
        <v>297.60000000000002</v>
      </c>
      <c r="AM374" s="315"/>
      <c r="AN374" s="316"/>
    </row>
    <row r="375" spans="1:44" s="244" customFormat="1" ht="18.649999999999999" customHeight="1">
      <c r="A375" s="305" t="s">
        <v>1056</v>
      </c>
      <c r="B375" s="306" t="s">
        <v>93</v>
      </c>
      <c r="D375" s="239" t="s">
        <v>48</v>
      </c>
      <c r="E375" s="240" t="s">
        <v>678</v>
      </c>
      <c r="F375" s="307">
        <v>2000010477</v>
      </c>
      <c r="G375" s="242" t="s">
        <v>685</v>
      </c>
      <c r="H375" s="243">
        <v>75</v>
      </c>
      <c r="I375" s="189" t="s">
        <v>1057</v>
      </c>
      <c r="L375" s="245">
        <v>46094</v>
      </c>
      <c r="M375" s="308" t="s">
        <v>1058</v>
      </c>
      <c r="N375" s="244" t="s">
        <v>1059</v>
      </c>
      <c r="O375" s="189" t="s">
        <v>55</v>
      </c>
      <c r="Q375" s="244" t="s">
        <v>1060</v>
      </c>
      <c r="R375" s="239" t="s">
        <v>1061</v>
      </c>
      <c r="S375" s="189" t="s">
        <v>1062</v>
      </c>
      <c r="T375" s="309">
        <v>46143</v>
      </c>
      <c r="U375" s="310">
        <v>46143</v>
      </c>
      <c r="V375" s="310">
        <v>46150</v>
      </c>
      <c r="X375" s="189" t="s">
        <v>209</v>
      </c>
      <c r="Y375" s="189">
        <v>0.5</v>
      </c>
      <c r="AA375" s="272">
        <v>46142</v>
      </c>
      <c r="AB375" s="272">
        <v>46152</v>
      </c>
      <c r="AD375" s="311" t="s">
        <v>72</v>
      </c>
      <c r="AE375" s="189"/>
      <c r="AF375" s="312"/>
      <c r="AG375" s="137">
        <v>46147</v>
      </c>
      <c r="AH375" s="189"/>
      <c r="AK375" s="313">
        <v>46157</v>
      </c>
      <c r="AL375" s="314">
        <v>262.5</v>
      </c>
      <c r="AM375" s="315"/>
      <c r="AN375" s="316"/>
    </row>
    <row r="376" spans="1:44" s="244" customFormat="1" ht="18.649999999999999" customHeight="1">
      <c r="A376" s="305" t="s">
        <v>1056</v>
      </c>
      <c r="B376" s="306" t="s">
        <v>93</v>
      </c>
      <c r="D376" s="239" t="s">
        <v>48</v>
      </c>
      <c r="E376" s="240" t="s">
        <v>678</v>
      </c>
      <c r="F376" s="307">
        <v>2000010519</v>
      </c>
      <c r="G376" s="242" t="s">
        <v>687</v>
      </c>
      <c r="H376" s="243">
        <v>20</v>
      </c>
      <c r="I376" s="189" t="s">
        <v>1057</v>
      </c>
      <c r="L376" s="245">
        <v>46094</v>
      </c>
      <c r="M376" s="308" t="s">
        <v>1058</v>
      </c>
      <c r="N376" s="244" t="s">
        <v>1059</v>
      </c>
      <c r="O376" s="189" t="s">
        <v>55</v>
      </c>
      <c r="Q376" s="244" t="s">
        <v>1060</v>
      </c>
      <c r="R376" s="239" t="s">
        <v>1061</v>
      </c>
      <c r="S376" s="189" t="s">
        <v>1062</v>
      </c>
      <c r="T376" s="309">
        <v>46143</v>
      </c>
      <c r="U376" s="310">
        <v>46143</v>
      </c>
      <c r="V376" s="310">
        <v>46150</v>
      </c>
      <c r="X376" s="189" t="s">
        <v>209</v>
      </c>
      <c r="Y376" s="189">
        <v>0.5</v>
      </c>
      <c r="AA376" s="272">
        <v>46142</v>
      </c>
      <c r="AB376" s="272">
        <v>46152</v>
      </c>
      <c r="AD376" s="311" t="s">
        <v>72</v>
      </c>
      <c r="AE376" s="189"/>
      <c r="AF376" s="312"/>
      <c r="AG376" s="137">
        <v>46147</v>
      </c>
      <c r="AH376" s="189"/>
      <c r="AK376" s="313">
        <v>46157</v>
      </c>
      <c r="AL376" s="314">
        <v>29.2</v>
      </c>
      <c r="AM376" s="315"/>
      <c r="AN376" s="316"/>
    </row>
    <row r="377" spans="1:44" s="244" customFormat="1" ht="18.649999999999999" customHeight="1">
      <c r="A377" s="305" t="s">
        <v>1056</v>
      </c>
      <c r="B377" s="306" t="s">
        <v>93</v>
      </c>
      <c r="D377" s="239" t="s">
        <v>48</v>
      </c>
      <c r="E377" s="240" t="s">
        <v>678</v>
      </c>
      <c r="F377" s="307">
        <v>2000008264</v>
      </c>
      <c r="G377" s="242" t="s">
        <v>1064</v>
      </c>
      <c r="H377" s="243">
        <v>10</v>
      </c>
      <c r="I377" s="189" t="s">
        <v>1057</v>
      </c>
      <c r="L377" s="245">
        <v>46094</v>
      </c>
      <c r="M377" s="308" t="s">
        <v>1058</v>
      </c>
      <c r="N377" s="244" t="s">
        <v>1059</v>
      </c>
      <c r="O377" s="189" t="s">
        <v>55</v>
      </c>
      <c r="Q377" s="244" t="s">
        <v>1060</v>
      </c>
      <c r="R377" s="239" t="s">
        <v>1061</v>
      </c>
      <c r="S377" s="189" t="s">
        <v>1062</v>
      </c>
      <c r="T377" s="309">
        <v>46143</v>
      </c>
      <c r="U377" s="310">
        <v>46143</v>
      </c>
      <c r="V377" s="310">
        <v>46150</v>
      </c>
      <c r="X377" s="189" t="s">
        <v>209</v>
      </c>
      <c r="Y377" s="189">
        <v>0.5</v>
      </c>
      <c r="AA377" s="272">
        <v>46142</v>
      </c>
      <c r="AB377" s="272">
        <v>46152</v>
      </c>
      <c r="AD377" s="311" t="s">
        <v>72</v>
      </c>
      <c r="AE377" s="189"/>
      <c r="AF377" s="312"/>
      <c r="AG377" s="137">
        <v>46147</v>
      </c>
      <c r="AH377" s="189"/>
      <c r="AK377" s="313">
        <v>46157</v>
      </c>
      <c r="AL377" s="314">
        <v>14.6</v>
      </c>
      <c r="AM377" s="315"/>
      <c r="AN377" s="316"/>
    </row>
    <row r="378" spans="1:44" s="244" customFormat="1" ht="18.649999999999999" customHeight="1">
      <c r="A378" s="305" t="s">
        <v>1056</v>
      </c>
      <c r="B378" s="306" t="s">
        <v>93</v>
      </c>
      <c r="D378" s="239" t="s">
        <v>48</v>
      </c>
      <c r="E378" s="240" t="s">
        <v>678</v>
      </c>
      <c r="F378" s="307">
        <v>2000008357</v>
      </c>
      <c r="G378" s="242" t="s">
        <v>689</v>
      </c>
      <c r="H378" s="243">
        <v>60</v>
      </c>
      <c r="I378" s="189" t="s">
        <v>1057</v>
      </c>
      <c r="L378" s="245">
        <v>46094</v>
      </c>
      <c r="M378" s="308" t="s">
        <v>1058</v>
      </c>
      <c r="N378" s="244" t="s">
        <v>1059</v>
      </c>
      <c r="O378" s="189" t="s">
        <v>55</v>
      </c>
      <c r="Q378" s="244" t="s">
        <v>1060</v>
      </c>
      <c r="R378" s="239" t="s">
        <v>1061</v>
      </c>
      <c r="S378" s="189" t="s">
        <v>1062</v>
      </c>
      <c r="T378" s="309">
        <v>46143</v>
      </c>
      <c r="U378" s="310">
        <v>46143</v>
      </c>
      <c r="V378" s="310">
        <v>46150</v>
      </c>
      <c r="X378" s="189" t="s">
        <v>209</v>
      </c>
      <c r="Y378" s="189">
        <v>0.5</v>
      </c>
      <c r="AA378" s="272">
        <v>46142</v>
      </c>
      <c r="AB378" s="272">
        <v>46152</v>
      </c>
      <c r="AD378" s="311" t="s">
        <v>72</v>
      </c>
      <c r="AE378" s="189"/>
      <c r="AF378" s="312"/>
      <c r="AG378" s="137">
        <v>46147</v>
      </c>
      <c r="AH378" s="189"/>
      <c r="AK378" s="313">
        <v>46157</v>
      </c>
      <c r="AL378" s="314">
        <v>148.80000000000001</v>
      </c>
      <c r="AM378" s="315"/>
      <c r="AN378" s="316"/>
    </row>
    <row r="379" spans="1:44" s="244" customFormat="1" ht="18.649999999999999" customHeight="1">
      <c r="A379" s="305" t="s">
        <v>1056</v>
      </c>
      <c r="B379" s="306" t="s">
        <v>93</v>
      </c>
      <c r="D379" s="239" t="s">
        <v>48</v>
      </c>
      <c r="E379" s="240" t="s">
        <v>678</v>
      </c>
      <c r="F379" s="307">
        <v>2000012109</v>
      </c>
      <c r="G379" s="242" t="s">
        <v>1065</v>
      </c>
      <c r="H379" s="243">
        <v>15</v>
      </c>
      <c r="I379" s="189" t="s">
        <v>1057</v>
      </c>
      <c r="L379" s="245">
        <v>46094</v>
      </c>
      <c r="M379" s="308" t="s">
        <v>1058</v>
      </c>
      <c r="N379" s="244" t="s">
        <v>1059</v>
      </c>
      <c r="O379" s="189" t="s">
        <v>55</v>
      </c>
      <c r="Q379" s="244" t="s">
        <v>1060</v>
      </c>
      <c r="R379" s="239" t="s">
        <v>1061</v>
      </c>
      <c r="S379" s="189" t="s">
        <v>1062</v>
      </c>
      <c r="T379" s="309">
        <v>46143</v>
      </c>
      <c r="U379" s="310">
        <v>46143</v>
      </c>
      <c r="V379" s="310">
        <v>46150</v>
      </c>
      <c r="X379" s="189" t="s">
        <v>209</v>
      </c>
      <c r="Y379" s="189">
        <v>0.5</v>
      </c>
      <c r="AA379" s="272">
        <v>46142</v>
      </c>
      <c r="AB379" s="272">
        <v>46152</v>
      </c>
      <c r="AD379" s="311" t="s">
        <v>72</v>
      </c>
      <c r="AE379" s="189"/>
      <c r="AF379" s="312"/>
      <c r="AG379" s="137">
        <v>46147</v>
      </c>
      <c r="AH379" s="189"/>
      <c r="AK379" s="313">
        <v>46157</v>
      </c>
      <c r="AL379" s="314">
        <v>54.75</v>
      </c>
      <c r="AM379" s="315"/>
      <c r="AN379" s="316"/>
    </row>
    <row r="380" spans="1:44" s="244" customFormat="1" ht="18.649999999999999" customHeight="1">
      <c r="A380" s="305" t="s">
        <v>1056</v>
      </c>
      <c r="B380" s="306" t="s">
        <v>93</v>
      </c>
      <c r="D380" s="239" t="s">
        <v>48</v>
      </c>
      <c r="E380" s="240" t="s">
        <v>678</v>
      </c>
      <c r="F380" s="307">
        <v>2000006926</v>
      </c>
      <c r="G380" s="242" t="s">
        <v>1066</v>
      </c>
      <c r="H380" s="243">
        <v>10</v>
      </c>
      <c r="I380" s="189" t="s">
        <v>1057</v>
      </c>
      <c r="L380" s="245">
        <v>46094</v>
      </c>
      <c r="M380" s="308" t="s">
        <v>1058</v>
      </c>
      <c r="N380" s="244" t="s">
        <v>1059</v>
      </c>
      <c r="O380" s="189" t="s">
        <v>55</v>
      </c>
      <c r="Q380" s="244" t="s">
        <v>1060</v>
      </c>
      <c r="R380" s="239" t="s">
        <v>1061</v>
      </c>
      <c r="S380" s="189" t="s">
        <v>1062</v>
      </c>
      <c r="T380" s="309">
        <v>46143</v>
      </c>
      <c r="U380" s="310">
        <v>46143</v>
      </c>
      <c r="V380" s="310">
        <v>46150</v>
      </c>
      <c r="X380" s="189" t="s">
        <v>209</v>
      </c>
      <c r="Y380" s="189">
        <v>0.5</v>
      </c>
      <c r="AA380" s="272">
        <v>46142</v>
      </c>
      <c r="AB380" s="272">
        <v>46152</v>
      </c>
      <c r="AD380" s="311" t="s">
        <v>72</v>
      </c>
      <c r="AE380" s="189"/>
      <c r="AF380" s="312"/>
      <c r="AG380" s="137">
        <v>46147</v>
      </c>
      <c r="AH380" s="189"/>
      <c r="AK380" s="313">
        <v>46157</v>
      </c>
      <c r="AL380" s="314">
        <v>402.8</v>
      </c>
      <c r="AM380" s="315"/>
      <c r="AN380" s="316"/>
    </row>
    <row r="381" spans="1:44" s="244" customFormat="1" ht="18.649999999999999" customHeight="1">
      <c r="A381" s="305" t="s">
        <v>1056</v>
      </c>
      <c r="B381" s="306" t="s">
        <v>93</v>
      </c>
      <c r="D381" s="239" t="s">
        <v>48</v>
      </c>
      <c r="E381" s="240" t="s">
        <v>678</v>
      </c>
      <c r="F381" s="307">
        <v>2000006178</v>
      </c>
      <c r="G381" s="242" t="s">
        <v>1067</v>
      </c>
      <c r="H381" s="243">
        <v>30</v>
      </c>
      <c r="I381" s="189" t="s">
        <v>1057</v>
      </c>
      <c r="L381" s="245">
        <v>46094</v>
      </c>
      <c r="M381" s="308" t="s">
        <v>1058</v>
      </c>
      <c r="N381" s="244" t="s">
        <v>1059</v>
      </c>
      <c r="O381" s="189" t="s">
        <v>55</v>
      </c>
      <c r="Q381" s="244" t="s">
        <v>1060</v>
      </c>
      <c r="R381" s="239" t="s">
        <v>1061</v>
      </c>
      <c r="S381" s="189" t="s">
        <v>1062</v>
      </c>
      <c r="T381" s="309">
        <v>46143</v>
      </c>
      <c r="U381" s="310">
        <v>46143</v>
      </c>
      <c r="V381" s="310">
        <v>46150</v>
      </c>
      <c r="X381" s="189" t="s">
        <v>209</v>
      </c>
      <c r="Y381" s="189">
        <v>0.5</v>
      </c>
      <c r="AA381" s="272">
        <v>46142</v>
      </c>
      <c r="AB381" s="272">
        <v>46152</v>
      </c>
      <c r="AD381" s="311" t="s">
        <v>72</v>
      </c>
      <c r="AE381" s="189"/>
      <c r="AF381" s="312"/>
      <c r="AG381" s="137">
        <v>46147</v>
      </c>
      <c r="AH381" s="189"/>
      <c r="AK381" s="313">
        <v>46157</v>
      </c>
      <c r="AL381" s="314">
        <v>354</v>
      </c>
      <c r="AM381" s="315"/>
      <c r="AN381" s="316"/>
    </row>
    <row r="382" spans="1:44" s="244" customFormat="1" ht="18.649999999999999" customHeight="1">
      <c r="A382" s="305" t="s">
        <v>1056</v>
      </c>
      <c r="B382" s="306" t="s">
        <v>93</v>
      </c>
      <c r="D382" s="239" t="s">
        <v>48</v>
      </c>
      <c r="E382" s="240" t="s">
        <v>678</v>
      </c>
      <c r="F382" s="307">
        <v>2000010805</v>
      </c>
      <c r="G382" s="242" t="s">
        <v>1068</v>
      </c>
      <c r="H382" s="243">
        <v>20</v>
      </c>
      <c r="I382" s="189" t="s">
        <v>1057</v>
      </c>
      <c r="L382" s="245">
        <v>46094</v>
      </c>
      <c r="M382" s="308" t="s">
        <v>1058</v>
      </c>
      <c r="N382" s="244" t="s">
        <v>1059</v>
      </c>
      <c r="O382" s="189" t="s">
        <v>55</v>
      </c>
      <c r="Q382" s="244" t="s">
        <v>1060</v>
      </c>
      <c r="R382" s="239" t="s">
        <v>1061</v>
      </c>
      <c r="S382" s="189" t="s">
        <v>1062</v>
      </c>
      <c r="T382" s="309">
        <v>46143</v>
      </c>
      <c r="U382" s="310">
        <v>46143</v>
      </c>
      <c r="V382" s="310">
        <v>46150</v>
      </c>
      <c r="X382" s="189" t="s">
        <v>209</v>
      </c>
      <c r="Y382" s="189">
        <v>0.5</v>
      </c>
      <c r="AA382" s="272">
        <v>46142</v>
      </c>
      <c r="AB382" s="272">
        <v>46152</v>
      </c>
      <c r="AD382" s="311" t="s">
        <v>72</v>
      </c>
      <c r="AE382" s="189"/>
      <c r="AF382" s="312"/>
      <c r="AG382" s="137">
        <v>46147</v>
      </c>
      <c r="AH382" s="189"/>
      <c r="AK382" s="313">
        <v>46157</v>
      </c>
      <c r="AL382" s="314">
        <v>80.599999999999994</v>
      </c>
      <c r="AM382" s="315"/>
      <c r="AN382" s="316"/>
    </row>
    <row r="383" spans="1:44" s="244" customFormat="1" ht="18.649999999999999" customHeight="1">
      <c r="A383" s="305" t="s">
        <v>1056</v>
      </c>
      <c r="B383" s="306" t="s">
        <v>93</v>
      </c>
      <c r="D383" s="239" t="s">
        <v>48</v>
      </c>
      <c r="E383" s="240" t="s">
        <v>678</v>
      </c>
      <c r="F383" s="307">
        <v>2000007272</v>
      </c>
      <c r="G383" s="242" t="s">
        <v>693</v>
      </c>
      <c r="H383" s="243">
        <v>10</v>
      </c>
      <c r="I383" s="189" t="s">
        <v>1057</v>
      </c>
      <c r="L383" s="245">
        <v>46094</v>
      </c>
      <c r="M383" s="308" t="s">
        <v>1058</v>
      </c>
      <c r="N383" s="244" t="s">
        <v>1059</v>
      </c>
      <c r="O383" s="189" t="s">
        <v>55</v>
      </c>
      <c r="Q383" s="244" t="s">
        <v>1060</v>
      </c>
      <c r="R383" s="239" t="s">
        <v>1061</v>
      </c>
      <c r="S383" s="189" t="s">
        <v>1062</v>
      </c>
      <c r="T383" s="309">
        <v>46143</v>
      </c>
      <c r="U383" s="310">
        <v>46143</v>
      </c>
      <c r="V383" s="310">
        <v>46150</v>
      </c>
      <c r="X383" s="189" t="s">
        <v>209</v>
      </c>
      <c r="Y383" s="189">
        <v>0.5</v>
      </c>
      <c r="AA383" s="272">
        <v>46142</v>
      </c>
      <c r="AB383" s="272">
        <v>46152</v>
      </c>
      <c r="AD383" s="311" t="s">
        <v>72</v>
      </c>
      <c r="AE383" s="189"/>
      <c r="AF383" s="312"/>
      <c r="AG383" s="137">
        <v>46147</v>
      </c>
      <c r="AH383" s="189"/>
      <c r="AK383" s="313">
        <v>46157</v>
      </c>
      <c r="AL383" s="314">
        <v>48.7</v>
      </c>
      <c r="AM383" s="315"/>
      <c r="AN383" s="316"/>
    </row>
    <row r="384" spans="1:44" s="244" customFormat="1" ht="18.649999999999999" customHeight="1">
      <c r="A384" s="305" t="s">
        <v>1056</v>
      </c>
      <c r="B384" s="306" t="s">
        <v>93</v>
      </c>
      <c r="D384" s="239" t="s">
        <v>48</v>
      </c>
      <c r="E384" s="240" t="s">
        <v>678</v>
      </c>
      <c r="F384" s="307">
        <v>2000014502</v>
      </c>
      <c r="G384" s="242" t="s">
        <v>1069</v>
      </c>
      <c r="H384" s="243">
        <v>20</v>
      </c>
      <c r="I384" s="189" t="s">
        <v>1057</v>
      </c>
      <c r="L384" s="245">
        <v>46094</v>
      </c>
      <c r="M384" s="308" t="s">
        <v>1058</v>
      </c>
      <c r="N384" s="244" t="s">
        <v>1059</v>
      </c>
      <c r="O384" s="189" t="s">
        <v>55</v>
      </c>
      <c r="Q384" s="244" t="s">
        <v>1060</v>
      </c>
      <c r="R384" s="239" t="s">
        <v>1061</v>
      </c>
      <c r="S384" s="189" t="s">
        <v>1062</v>
      </c>
      <c r="T384" s="309">
        <v>46143</v>
      </c>
      <c r="U384" s="310">
        <v>46143</v>
      </c>
      <c r="V384" s="310">
        <v>46150</v>
      </c>
      <c r="X384" s="189" t="s">
        <v>209</v>
      </c>
      <c r="Y384" s="189">
        <v>0.5</v>
      </c>
      <c r="AA384" s="272">
        <v>46142</v>
      </c>
      <c r="AB384" s="272">
        <v>46152</v>
      </c>
      <c r="AD384" s="311" t="s">
        <v>72</v>
      </c>
      <c r="AE384" s="189"/>
      <c r="AF384" s="312"/>
      <c r="AG384" s="137">
        <v>46147</v>
      </c>
      <c r="AH384" s="189"/>
      <c r="AK384" s="313">
        <v>46157</v>
      </c>
      <c r="AL384" s="314">
        <v>50</v>
      </c>
      <c r="AM384" s="315"/>
      <c r="AN384" s="316"/>
    </row>
    <row r="385" spans="1:45" s="244" customFormat="1" ht="18.649999999999999" customHeight="1">
      <c r="A385" s="305" t="s">
        <v>1056</v>
      </c>
      <c r="B385" s="306" t="s">
        <v>93</v>
      </c>
      <c r="D385" s="239" t="s">
        <v>48</v>
      </c>
      <c r="E385" s="240" t="s">
        <v>678</v>
      </c>
      <c r="F385" s="307">
        <v>2000014271</v>
      </c>
      <c r="G385" s="242" t="s">
        <v>1070</v>
      </c>
      <c r="H385" s="243">
        <v>15</v>
      </c>
      <c r="I385" s="189" t="s">
        <v>1057</v>
      </c>
      <c r="L385" s="245">
        <v>46094</v>
      </c>
      <c r="M385" s="308" t="s">
        <v>1058</v>
      </c>
      <c r="N385" s="244" t="s">
        <v>1059</v>
      </c>
      <c r="O385" s="189" t="s">
        <v>55</v>
      </c>
      <c r="Q385" s="244" t="s">
        <v>1060</v>
      </c>
      <c r="R385" s="239" t="s">
        <v>1061</v>
      </c>
      <c r="S385" s="189" t="s">
        <v>1062</v>
      </c>
      <c r="T385" s="309">
        <v>46143</v>
      </c>
      <c r="U385" s="310">
        <v>46143</v>
      </c>
      <c r="V385" s="310">
        <v>46150</v>
      </c>
      <c r="X385" s="189" t="s">
        <v>209</v>
      </c>
      <c r="Y385" s="189">
        <v>0.5</v>
      </c>
      <c r="AA385" s="272">
        <v>46142</v>
      </c>
      <c r="AB385" s="272">
        <v>46152</v>
      </c>
      <c r="AD385" s="311" t="s">
        <v>72</v>
      </c>
      <c r="AE385" s="189"/>
      <c r="AF385" s="312"/>
      <c r="AG385" s="137">
        <v>46147</v>
      </c>
      <c r="AH385" s="189"/>
      <c r="AK385" s="313">
        <v>46157</v>
      </c>
      <c r="AL385" s="314">
        <v>96.75</v>
      </c>
      <c r="AM385" s="315"/>
      <c r="AN385" s="316"/>
    </row>
    <row r="386" spans="1:45" ht="18.649999999999999" customHeight="1">
      <c r="A386" s="317" t="s">
        <v>1071</v>
      </c>
      <c r="B386" s="318" t="s">
        <v>93</v>
      </c>
      <c r="D386" s="48" t="s">
        <v>235</v>
      </c>
      <c r="E386" s="49" t="s">
        <v>236</v>
      </c>
      <c r="F386" s="49">
        <v>2000017284</v>
      </c>
      <c r="G386" s="61" t="s">
        <v>237</v>
      </c>
      <c r="H386" s="48">
        <v>2000</v>
      </c>
      <c r="I386" s="48" t="s">
        <v>239</v>
      </c>
      <c r="J386" s="21" t="s">
        <v>1072</v>
      </c>
      <c r="K386" s="21" t="s">
        <v>53</v>
      </c>
      <c r="L386" s="177">
        <v>46085</v>
      </c>
      <c r="M386" s="214" t="s">
        <v>1073</v>
      </c>
      <c r="N386" s="5" t="s">
        <v>1074</v>
      </c>
      <c r="O386" s="5" t="s">
        <v>55</v>
      </c>
      <c r="Q386" s="21" t="s">
        <v>1075</v>
      </c>
      <c r="R386" s="20" t="s">
        <v>244</v>
      </c>
      <c r="S386" s="5" t="s">
        <v>1076</v>
      </c>
      <c r="T386" s="24">
        <v>46113</v>
      </c>
      <c r="U386" s="282">
        <v>46137</v>
      </c>
      <c r="V386" s="282">
        <v>46147</v>
      </c>
      <c r="X386" s="5" t="s">
        <v>209</v>
      </c>
      <c r="Y386" s="5">
        <v>1</v>
      </c>
      <c r="AA386" s="65">
        <v>46138</v>
      </c>
      <c r="AB386" s="65">
        <v>46145</v>
      </c>
      <c r="AD386" s="56" t="s">
        <v>72</v>
      </c>
      <c r="AF386" s="137">
        <v>46141</v>
      </c>
      <c r="AG386" s="137">
        <v>46141</v>
      </c>
      <c r="AH386" s="5"/>
      <c r="AJ386" s="319" t="s">
        <v>765</v>
      </c>
      <c r="AK386" s="320">
        <v>46157</v>
      </c>
      <c r="AL386" s="321">
        <v>41800</v>
      </c>
      <c r="AM386" s="58"/>
      <c r="AN386" s="58"/>
      <c r="AR386" s="21"/>
    </row>
    <row r="387" spans="1:45" ht="18.5" customHeight="1">
      <c r="A387" s="73" t="s">
        <v>710</v>
      </c>
      <c r="D387" s="48" t="s">
        <v>48</v>
      </c>
      <c r="E387" s="49" t="s">
        <v>171</v>
      </c>
      <c r="F387" s="49">
        <v>1000011836</v>
      </c>
      <c r="G387" s="107" t="s">
        <v>172</v>
      </c>
      <c r="H387" s="108">
        <v>120</v>
      </c>
      <c r="I387" s="108" t="s">
        <v>52</v>
      </c>
      <c r="J387" s="21" t="s">
        <v>1077</v>
      </c>
      <c r="L387" s="177">
        <v>46108</v>
      </c>
      <c r="M387" s="20" t="s">
        <v>1078</v>
      </c>
      <c r="N387" s="5" t="s">
        <v>1079</v>
      </c>
      <c r="O387" s="5" t="s">
        <v>176</v>
      </c>
      <c r="Q387" s="217" t="s">
        <v>1080</v>
      </c>
      <c r="R387" s="20" t="s">
        <v>178</v>
      </c>
      <c r="S387" s="5" t="s">
        <v>308</v>
      </c>
      <c r="T387" s="24">
        <v>46160</v>
      </c>
      <c r="U387" s="137">
        <v>46145</v>
      </c>
      <c r="V387" s="137">
        <v>46160</v>
      </c>
      <c r="X387" s="30" t="s">
        <v>58</v>
      </c>
      <c r="Y387" s="5">
        <v>0.5</v>
      </c>
      <c r="AA387" s="137">
        <v>46147</v>
      </c>
      <c r="AB387" s="322">
        <v>46160</v>
      </c>
      <c r="AC387" s="106">
        <f t="shared" ref="AC387:AC395" si="3">AB387-V387</f>
        <v>0</v>
      </c>
      <c r="AD387" s="56" t="s">
        <v>72</v>
      </c>
      <c r="AF387" s="20"/>
      <c r="AG387" s="20"/>
      <c r="AM387" s="58"/>
      <c r="AN387" s="58"/>
      <c r="AR387" s="21"/>
    </row>
    <row r="388" spans="1:45" ht="18.649999999999999" customHeight="1">
      <c r="A388" s="73" t="s">
        <v>710</v>
      </c>
      <c r="D388" s="48" t="s">
        <v>48</v>
      </c>
      <c r="E388" s="49" t="s">
        <v>171</v>
      </c>
      <c r="F388" s="49">
        <v>1000022205</v>
      </c>
      <c r="G388" s="107" t="s">
        <v>181</v>
      </c>
      <c r="H388" s="108">
        <v>610</v>
      </c>
      <c r="I388" s="108" t="s">
        <v>52</v>
      </c>
      <c r="J388" s="21" t="s">
        <v>1077</v>
      </c>
      <c r="L388" s="177">
        <v>46108</v>
      </c>
      <c r="M388" s="20" t="s">
        <v>1078</v>
      </c>
      <c r="N388" s="5" t="s">
        <v>1079</v>
      </c>
      <c r="O388" s="5" t="s">
        <v>176</v>
      </c>
      <c r="Q388" s="217" t="s">
        <v>1080</v>
      </c>
      <c r="R388" s="20" t="s">
        <v>178</v>
      </c>
      <c r="S388" s="5" t="s">
        <v>308</v>
      </c>
      <c r="T388" s="24">
        <v>46160</v>
      </c>
      <c r="U388" s="137">
        <v>46145</v>
      </c>
      <c r="V388" s="137">
        <v>46160</v>
      </c>
      <c r="X388" s="30" t="s">
        <v>58</v>
      </c>
      <c r="Y388" s="5">
        <v>0.5</v>
      </c>
      <c r="AA388" s="137">
        <v>46147</v>
      </c>
      <c r="AB388" s="322">
        <v>46160</v>
      </c>
      <c r="AC388" s="106">
        <f t="shared" si="3"/>
        <v>0</v>
      </c>
      <c r="AD388" s="56" t="s">
        <v>72</v>
      </c>
      <c r="AF388" s="20"/>
      <c r="AG388" s="20"/>
      <c r="AM388" s="58"/>
      <c r="AN388" s="58"/>
      <c r="AR388" s="21"/>
    </row>
    <row r="389" spans="1:45" ht="18.649999999999999" customHeight="1">
      <c r="A389" s="73" t="s">
        <v>710</v>
      </c>
      <c r="D389" s="48" t="s">
        <v>48</v>
      </c>
      <c r="E389" s="49" t="s">
        <v>171</v>
      </c>
      <c r="F389" s="49">
        <v>1000036622</v>
      </c>
      <c r="G389" s="107" t="s">
        <v>182</v>
      </c>
      <c r="H389" s="108">
        <v>700</v>
      </c>
      <c r="I389" s="108" t="s">
        <v>52</v>
      </c>
      <c r="J389" s="21" t="s">
        <v>1077</v>
      </c>
      <c r="L389" s="177">
        <v>46108</v>
      </c>
      <c r="M389" s="20" t="s">
        <v>1078</v>
      </c>
      <c r="N389" s="5" t="s">
        <v>1079</v>
      </c>
      <c r="O389" s="5" t="s">
        <v>176</v>
      </c>
      <c r="Q389" s="217" t="s">
        <v>1080</v>
      </c>
      <c r="R389" s="20" t="s">
        <v>178</v>
      </c>
      <c r="S389" s="5" t="s">
        <v>308</v>
      </c>
      <c r="T389" s="24">
        <v>46160</v>
      </c>
      <c r="U389" s="137">
        <v>46145</v>
      </c>
      <c r="V389" s="137">
        <v>46160</v>
      </c>
      <c r="X389" s="30" t="s">
        <v>58</v>
      </c>
      <c r="Y389" s="5">
        <v>0.5</v>
      </c>
      <c r="AA389" s="137">
        <v>46147</v>
      </c>
      <c r="AB389" s="322">
        <v>46160</v>
      </c>
      <c r="AC389" s="106">
        <f t="shared" si="3"/>
        <v>0</v>
      </c>
      <c r="AD389" s="56" t="s">
        <v>72</v>
      </c>
      <c r="AF389" s="20"/>
      <c r="AG389" s="20"/>
      <c r="AM389" s="58"/>
      <c r="AN389" s="58"/>
      <c r="AR389" s="21"/>
    </row>
    <row r="390" spans="1:45" ht="18.649999999999999" customHeight="1">
      <c r="A390" s="73" t="s">
        <v>710</v>
      </c>
      <c r="D390" s="48" t="s">
        <v>48</v>
      </c>
      <c r="E390" s="49" t="s">
        <v>171</v>
      </c>
      <c r="F390" s="49">
        <v>1000011836</v>
      </c>
      <c r="G390" s="107" t="s">
        <v>172</v>
      </c>
      <c r="H390" s="108">
        <v>140</v>
      </c>
      <c r="I390" s="108" t="s">
        <v>52</v>
      </c>
      <c r="J390" s="21" t="s">
        <v>1081</v>
      </c>
      <c r="L390" s="177" t="s">
        <v>1082</v>
      </c>
      <c r="M390" s="20" t="s">
        <v>1083</v>
      </c>
      <c r="N390" s="5" t="s">
        <v>1084</v>
      </c>
      <c r="O390" s="5" t="s">
        <v>176</v>
      </c>
      <c r="Q390" s="217" t="s">
        <v>1085</v>
      </c>
      <c r="R390" s="20" t="s">
        <v>178</v>
      </c>
      <c r="S390" s="5" t="s">
        <v>471</v>
      </c>
      <c r="T390" s="24">
        <v>46167</v>
      </c>
      <c r="U390" s="137">
        <v>46152</v>
      </c>
      <c r="V390" s="137">
        <v>46167</v>
      </c>
      <c r="X390" s="5" t="s">
        <v>309</v>
      </c>
      <c r="Y390" s="5">
        <v>0.5</v>
      </c>
      <c r="AA390" s="137">
        <v>46155</v>
      </c>
      <c r="AB390" s="322">
        <v>46167</v>
      </c>
      <c r="AC390" s="106">
        <f t="shared" si="3"/>
        <v>0</v>
      </c>
      <c r="AD390" s="56" t="s">
        <v>72</v>
      </c>
      <c r="AF390" s="20"/>
      <c r="AG390" s="20"/>
      <c r="AM390" s="58"/>
      <c r="AN390" s="58"/>
      <c r="AR390" s="21"/>
    </row>
    <row r="391" spans="1:45" ht="18.649999999999999" customHeight="1">
      <c r="A391" s="73" t="s">
        <v>710</v>
      </c>
      <c r="D391" s="48" t="s">
        <v>48</v>
      </c>
      <c r="E391" s="49" t="s">
        <v>171</v>
      </c>
      <c r="F391" s="49">
        <v>1000022205</v>
      </c>
      <c r="G391" s="107" t="s">
        <v>181</v>
      </c>
      <c r="H391" s="108">
        <v>90</v>
      </c>
      <c r="I391" s="108" t="s">
        <v>52</v>
      </c>
      <c r="J391" s="21" t="s">
        <v>1086</v>
      </c>
      <c r="L391" s="177" t="s">
        <v>1082</v>
      </c>
      <c r="M391" s="20" t="s">
        <v>1083</v>
      </c>
      <c r="N391" s="5" t="s">
        <v>1084</v>
      </c>
      <c r="O391" s="5" t="s">
        <v>176</v>
      </c>
      <c r="Q391" s="217" t="s">
        <v>1085</v>
      </c>
      <c r="R391" s="20" t="s">
        <v>178</v>
      </c>
      <c r="S391" s="5" t="s">
        <v>471</v>
      </c>
      <c r="T391" s="24">
        <v>46167</v>
      </c>
      <c r="U391" s="137">
        <v>46152</v>
      </c>
      <c r="V391" s="137">
        <v>46167</v>
      </c>
      <c r="X391" s="5" t="s">
        <v>309</v>
      </c>
      <c r="Y391" s="5">
        <v>0.5</v>
      </c>
      <c r="AA391" s="137">
        <v>46155</v>
      </c>
      <c r="AB391" s="322">
        <v>46167</v>
      </c>
      <c r="AC391" s="106">
        <f t="shared" si="3"/>
        <v>0</v>
      </c>
      <c r="AD391" s="56" t="s">
        <v>72</v>
      </c>
      <c r="AF391" s="20"/>
      <c r="AG391" s="20"/>
      <c r="AM391" s="58"/>
      <c r="AN391" s="58"/>
      <c r="AR391" s="21"/>
    </row>
    <row r="392" spans="1:45" ht="18.649999999999999" customHeight="1">
      <c r="A392" s="73" t="s">
        <v>710</v>
      </c>
      <c r="D392" s="48" t="s">
        <v>48</v>
      </c>
      <c r="E392" s="49" t="s">
        <v>171</v>
      </c>
      <c r="F392" s="49">
        <v>1000036622</v>
      </c>
      <c r="G392" s="107" t="s">
        <v>182</v>
      </c>
      <c r="H392" s="108">
        <v>420</v>
      </c>
      <c r="I392" s="108" t="s">
        <v>52</v>
      </c>
      <c r="J392" s="21" t="s">
        <v>1086</v>
      </c>
      <c r="L392" s="177" t="s">
        <v>1082</v>
      </c>
      <c r="M392" s="20" t="s">
        <v>1083</v>
      </c>
      <c r="N392" s="5" t="s">
        <v>1084</v>
      </c>
      <c r="O392" s="5" t="s">
        <v>176</v>
      </c>
      <c r="Q392" s="217" t="s">
        <v>1085</v>
      </c>
      <c r="R392" s="20" t="s">
        <v>178</v>
      </c>
      <c r="S392" s="5" t="s">
        <v>471</v>
      </c>
      <c r="T392" s="24">
        <v>46167</v>
      </c>
      <c r="U392" s="137">
        <v>46152</v>
      </c>
      <c r="V392" s="137">
        <v>46167</v>
      </c>
      <c r="X392" s="5" t="s">
        <v>309</v>
      </c>
      <c r="Y392" s="5">
        <v>0.5</v>
      </c>
      <c r="AA392" s="137">
        <v>46155</v>
      </c>
      <c r="AB392" s="322">
        <v>46167</v>
      </c>
      <c r="AC392" s="106">
        <f t="shared" si="3"/>
        <v>0</v>
      </c>
      <c r="AD392" s="56" t="s">
        <v>72</v>
      </c>
      <c r="AF392" s="20"/>
      <c r="AG392" s="20"/>
      <c r="AM392" s="58"/>
      <c r="AN392" s="58"/>
      <c r="AR392" s="21"/>
    </row>
    <row r="393" spans="1:45" ht="18.649999999999999" customHeight="1">
      <c r="A393" s="73" t="s">
        <v>710</v>
      </c>
      <c r="D393" s="48" t="s">
        <v>48</v>
      </c>
      <c r="E393" s="49" t="s">
        <v>171</v>
      </c>
      <c r="F393" s="49">
        <v>1000011836</v>
      </c>
      <c r="G393" s="107" t="s">
        <v>172</v>
      </c>
      <c r="H393" s="108">
        <v>160</v>
      </c>
      <c r="I393" s="108" t="s">
        <v>52</v>
      </c>
      <c r="J393" s="21" t="s">
        <v>1087</v>
      </c>
      <c r="L393" s="177" t="s">
        <v>1082</v>
      </c>
      <c r="M393" s="20" t="s">
        <v>1088</v>
      </c>
      <c r="N393" s="5" t="s">
        <v>1089</v>
      </c>
      <c r="O393" s="5" t="s">
        <v>176</v>
      </c>
      <c r="Q393" s="20" t="s">
        <v>1090</v>
      </c>
      <c r="R393" s="20" t="s">
        <v>178</v>
      </c>
      <c r="S393" s="5" t="s">
        <v>709</v>
      </c>
      <c r="T393" s="24">
        <v>46174</v>
      </c>
      <c r="U393" s="137">
        <v>46159</v>
      </c>
      <c r="V393" s="137">
        <v>46174</v>
      </c>
      <c r="X393" s="30" t="s">
        <v>58</v>
      </c>
      <c r="Y393" s="5">
        <v>0.5</v>
      </c>
      <c r="AA393" s="137">
        <v>46160</v>
      </c>
      <c r="AB393" s="137">
        <v>46174</v>
      </c>
      <c r="AC393" s="106">
        <f t="shared" si="3"/>
        <v>0</v>
      </c>
      <c r="AD393" s="56" t="s">
        <v>72</v>
      </c>
      <c r="AE393" s="21"/>
      <c r="AF393" s="20"/>
      <c r="AG393" s="20"/>
      <c r="AM393" s="58"/>
      <c r="AN393" s="58"/>
      <c r="AR393" s="21"/>
    </row>
    <row r="394" spans="1:45" ht="18.649999999999999" customHeight="1">
      <c r="A394" s="73" t="s">
        <v>710</v>
      </c>
      <c r="D394" s="48" t="s">
        <v>48</v>
      </c>
      <c r="E394" s="49" t="s">
        <v>171</v>
      </c>
      <c r="F394" s="49">
        <v>1000022205</v>
      </c>
      <c r="G394" s="107" t="s">
        <v>181</v>
      </c>
      <c r="H394" s="108">
        <v>600</v>
      </c>
      <c r="I394" s="108" t="s">
        <v>52</v>
      </c>
      <c r="J394" s="21" t="s">
        <v>1091</v>
      </c>
      <c r="L394" s="177" t="s">
        <v>1082</v>
      </c>
      <c r="M394" s="20" t="s">
        <v>1088</v>
      </c>
      <c r="N394" s="5" t="s">
        <v>1089</v>
      </c>
      <c r="O394" s="5" t="s">
        <v>176</v>
      </c>
      <c r="Q394" s="20" t="s">
        <v>1090</v>
      </c>
      <c r="R394" s="20" t="s">
        <v>178</v>
      </c>
      <c r="S394" s="5" t="s">
        <v>709</v>
      </c>
      <c r="T394" s="24">
        <v>46174</v>
      </c>
      <c r="U394" s="137">
        <v>46159</v>
      </c>
      <c r="V394" s="137">
        <v>46174</v>
      </c>
      <c r="X394" s="30" t="s">
        <v>58</v>
      </c>
      <c r="Y394" s="5">
        <v>0.5</v>
      </c>
      <c r="AA394" s="137">
        <v>46160</v>
      </c>
      <c r="AB394" s="137">
        <v>46174</v>
      </c>
      <c r="AC394" s="106">
        <f t="shared" si="3"/>
        <v>0</v>
      </c>
      <c r="AD394" s="56" t="s">
        <v>72</v>
      </c>
      <c r="AE394" s="21"/>
      <c r="AF394" s="20"/>
      <c r="AG394" s="20"/>
      <c r="AM394" s="58"/>
      <c r="AN394" s="58"/>
      <c r="AR394" s="21"/>
    </row>
    <row r="395" spans="1:45" ht="18.649999999999999" customHeight="1">
      <c r="A395" s="73" t="s">
        <v>710</v>
      </c>
      <c r="D395" s="48" t="s">
        <v>48</v>
      </c>
      <c r="E395" s="49" t="s">
        <v>171</v>
      </c>
      <c r="F395" s="49">
        <v>1000036622</v>
      </c>
      <c r="G395" s="107" t="s">
        <v>182</v>
      </c>
      <c r="H395" s="108">
        <v>500</v>
      </c>
      <c r="I395" s="108" t="s">
        <v>52</v>
      </c>
      <c r="J395" s="21" t="s">
        <v>1091</v>
      </c>
      <c r="L395" s="177" t="s">
        <v>1082</v>
      </c>
      <c r="M395" s="20" t="s">
        <v>1088</v>
      </c>
      <c r="N395" s="5" t="s">
        <v>1089</v>
      </c>
      <c r="O395" s="5" t="s">
        <v>176</v>
      </c>
      <c r="Q395" s="20" t="s">
        <v>1090</v>
      </c>
      <c r="R395" s="20" t="s">
        <v>178</v>
      </c>
      <c r="S395" s="5" t="s">
        <v>709</v>
      </c>
      <c r="T395" s="24">
        <v>46174</v>
      </c>
      <c r="U395" s="137">
        <v>46159</v>
      </c>
      <c r="V395" s="137">
        <v>46174</v>
      </c>
      <c r="X395" s="30" t="s">
        <v>58</v>
      </c>
      <c r="Y395" s="5">
        <v>0.5</v>
      </c>
      <c r="AA395" s="137">
        <v>46160</v>
      </c>
      <c r="AB395" s="137">
        <v>46174</v>
      </c>
      <c r="AC395" s="106">
        <f t="shared" si="3"/>
        <v>0</v>
      </c>
      <c r="AD395" s="56" t="s">
        <v>72</v>
      </c>
      <c r="AE395" s="21"/>
      <c r="AF395" s="20"/>
      <c r="AG395" s="20"/>
      <c r="AM395" s="58"/>
      <c r="AN395" s="58"/>
      <c r="AR395" s="21"/>
    </row>
    <row r="396" spans="1:45" ht="18.649999999999999" customHeight="1">
      <c r="A396" s="78"/>
      <c r="B396" s="323" t="s">
        <v>741</v>
      </c>
      <c r="C396" s="304"/>
      <c r="D396" s="48" t="s">
        <v>48</v>
      </c>
      <c r="E396" s="52" t="s">
        <v>63</v>
      </c>
      <c r="F396" s="49">
        <v>1000038424</v>
      </c>
      <c r="G396" s="61" t="s">
        <v>64</v>
      </c>
      <c r="H396" s="30">
        <v>2814</v>
      </c>
      <c r="I396" s="61" t="s">
        <v>65</v>
      </c>
      <c r="K396" s="21" t="s">
        <v>53</v>
      </c>
      <c r="L396" s="177">
        <v>46063</v>
      </c>
      <c r="M396" s="20" t="s">
        <v>1092</v>
      </c>
      <c r="N396" s="21"/>
      <c r="O396" s="30" t="s">
        <v>68</v>
      </c>
      <c r="Q396" s="21"/>
      <c r="T396" s="24">
        <v>46174</v>
      </c>
      <c r="U396" s="282">
        <v>46160</v>
      </c>
      <c r="V396" s="282">
        <v>46172</v>
      </c>
      <c r="X396" s="120" t="s">
        <v>58</v>
      </c>
      <c r="Y396" s="30">
        <v>2</v>
      </c>
      <c r="AD396" s="56" t="s">
        <v>72</v>
      </c>
      <c r="AE396" s="21"/>
      <c r="AF396" s="21"/>
      <c r="AH396" s="21"/>
      <c r="AM396" s="58"/>
      <c r="AN396" s="58"/>
      <c r="AR396" s="21"/>
    </row>
    <row r="397" spans="1:45" ht="18.5" customHeight="1">
      <c r="B397" s="222" t="s">
        <v>741</v>
      </c>
      <c r="C397" s="324"/>
      <c r="D397" s="20" t="s">
        <v>160</v>
      </c>
      <c r="E397" s="22" t="s">
        <v>281</v>
      </c>
      <c r="F397" s="31">
        <v>1000013182</v>
      </c>
      <c r="G397" s="32" t="s">
        <v>282</v>
      </c>
      <c r="H397" s="20" t="s">
        <v>1093</v>
      </c>
      <c r="I397" s="20" t="s">
        <v>52</v>
      </c>
      <c r="J397" s="21" t="s">
        <v>1094</v>
      </c>
      <c r="K397" s="21" t="s">
        <v>53</v>
      </c>
      <c r="L397" s="325">
        <v>46065</v>
      </c>
      <c r="M397" s="221" t="s">
        <v>1095</v>
      </c>
      <c r="N397" s="20">
        <v>3710091601</v>
      </c>
      <c r="O397" s="20" t="s">
        <v>150</v>
      </c>
      <c r="Q397" s="20" t="s">
        <v>1096</v>
      </c>
      <c r="R397" s="48" t="s">
        <v>1097</v>
      </c>
      <c r="S397" s="5" t="s">
        <v>1098</v>
      </c>
      <c r="T397" s="24">
        <v>46143</v>
      </c>
      <c r="U397" s="137">
        <v>46138</v>
      </c>
      <c r="V397" s="137">
        <v>46142</v>
      </c>
      <c r="X397" s="120" t="s">
        <v>58</v>
      </c>
      <c r="Y397" s="120">
        <v>1</v>
      </c>
      <c r="AA397" s="137">
        <v>46142</v>
      </c>
      <c r="AB397" s="137">
        <v>46146</v>
      </c>
      <c r="AD397" s="56" t="s">
        <v>72</v>
      </c>
      <c r="AF397" s="137">
        <v>46144</v>
      </c>
      <c r="AG397" s="137">
        <v>46144</v>
      </c>
      <c r="AH397" s="5"/>
      <c r="AK397" s="178">
        <v>46137</v>
      </c>
      <c r="AL397" s="179">
        <v>206975.34</v>
      </c>
      <c r="AM397" s="58"/>
      <c r="AN397" s="58"/>
      <c r="AR397" s="21"/>
    </row>
    <row r="398" spans="1:45" ht="18.649999999999999" customHeight="1">
      <c r="A398" s="78"/>
      <c r="B398" s="268" t="s">
        <v>896</v>
      </c>
      <c r="C398" s="322">
        <v>46158</v>
      </c>
      <c r="D398" s="20" t="s">
        <v>160</v>
      </c>
      <c r="E398" s="22" t="s">
        <v>281</v>
      </c>
      <c r="F398" s="31">
        <v>1000013182</v>
      </c>
      <c r="G398" s="32" t="s">
        <v>282</v>
      </c>
      <c r="H398" s="20">
        <v>1989</v>
      </c>
      <c r="I398" s="20" t="s">
        <v>52</v>
      </c>
      <c r="J398" s="203" t="s">
        <v>1099</v>
      </c>
      <c r="K398" s="21" t="s">
        <v>53</v>
      </c>
      <c r="L398" s="325">
        <v>46065</v>
      </c>
      <c r="M398" s="73" t="s">
        <v>1100</v>
      </c>
      <c r="N398" s="5">
        <v>3491643210</v>
      </c>
      <c r="O398" s="20" t="s">
        <v>150</v>
      </c>
      <c r="Q398" s="326"/>
      <c r="R398" s="217" t="s">
        <v>1101</v>
      </c>
      <c r="T398" s="24">
        <v>46174</v>
      </c>
      <c r="U398" s="282" t="s">
        <v>53</v>
      </c>
      <c r="V398" s="282" t="s">
        <v>53</v>
      </c>
      <c r="X398" s="120" t="s">
        <v>58</v>
      </c>
      <c r="Y398" s="120">
        <v>1</v>
      </c>
      <c r="AA398" s="217"/>
      <c r="AB398" s="217"/>
      <c r="AD398" s="56" t="s">
        <v>1101</v>
      </c>
      <c r="AE398" s="21"/>
      <c r="AF398" s="21"/>
      <c r="AH398" s="21"/>
      <c r="AK398" s="275">
        <v>46157</v>
      </c>
      <c r="AL398" s="327">
        <v>206975.34</v>
      </c>
      <c r="AM398" s="58"/>
      <c r="AN398" s="58"/>
      <c r="AR398" s="21"/>
    </row>
    <row r="399" spans="1:45" s="58" customFormat="1" ht="18.649999999999999" customHeight="1">
      <c r="A399" s="217" t="s">
        <v>957</v>
      </c>
      <c r="B399" s="268" t="s">
        <v>741</v>
      </c>
      <c r="C399" s="328">
        <v>46136</v>
      </c>
      <c r="D399" s="48" t="s">
        <v>160</v>
      </c>
      <c r="E399" s="52" t="s">
        <v>281</v>
      </c>
      <c r="F399" s="49">
        <v>1000019446</v>
      </c>
      <c r="G399" s="107" t="s">
        <v>293</v>
      </c>
      <c r="H399" s="108" t="s">
        <v>1102</v>
      </c>
      <c r="I399" s="108" t="s">
        <v>85</v>
      </c>
      <c r="J399" s="21" t="s">
        <v>1103</v>
      </c>
      <c r="K399" s="21" t="s">
        <v>53</v>
      </c>
      <c r="L399" s="325">
        <v>46065</v>
      </c>
      <c r="M399" s="221" t="s">
        <v>1104</v>
      </c>
      <c r="N399" s="20">
        <v>3710091601</v>
      </c>
      <c r="O399" s="20" t="s">
        <v>150</v>
      </c>
      <c r="P399" s="21"/>
      <c r="Q399" s="20" t="s">
        <v>1096</v>
      </c>
      <c r="R399" s="48" t="s">
        <v>1097</v>
      </c>
      <c r="S399" s="5" t="s">
        <v>1098</v>
      </c>
      <c r="T399" s="24">
        <v>46143</v>
      </c>
      <c r="U399" s="137">
        <v>46138</v>
      </c>
      <c r="V399" s="137">
        <v>46142</v>
      </c>
      <c r="W399" s="21"/>
      <c r="X399" s="120" t="s">
        <v>58</v>
      </c>
      <c r="Y399" s="120">
        <v>1</v>
      </c>
      <c r="Z399" s="21"/>
      <c r="AA399" s="137">
        <v>46142</v>
      </c>
      <c r="AB399" s="137">
        <v>46146</v>
      </c>
      <c r="AC399" s="21"/>
      <c r="AD399" s="56" t="s">
        <v>72</v>
      </c>
      <c r="AE399" s="5"/>
      <c r="AF399" s="137">
        <v>46144</v>
      </c>
      <c r="AG399" s="137">
        <v>46144</v>
      </c>
      <c r="AH399" s="5"/>
      <c r="AI399" s="21"/>
      <c r="AJ399" s="21"/>
      <c r="AK399" s="178">
        <v>46137</v>
      </c>
      <c r="AL399" s="179">
        <v>221696</v>
      </c>
      <c r="AO399" s="21"/>
      <c r="AP399" s="21"/>
      <c r="AQ399" s="21"/>
      <c r="AR399" s="21"/>
      <c r="AS399" s="21"/>
    </row>
    <row r="400" spans="1:45" s="58" customFormat="1" ht="18.649999999999999" customHeight="1">
      <c r="A400" s="69" t="s">
        <v>1105</v>
      </c>
      <c r="B400" s="69" t="s">
        <v>53</v>
      </c>
      <c r="C400" s="58" t="s">
        <v>53</v>
      </c>
      <c r="D400" s="69" t="s">
        <v>1106</v>
      </c>
      <c r="E400" s="329" t="s">
        <v>1107</v>
      </c>
      <c r="F400" s="68">
        <v>1000038066</v>
      </c>
      <c r="G400" s="58" t="s">
        <v>1108</v>
      </c>
      <c r="H400" s="330">
        <v>1428</v>
      </c>
      <c r="I400" s="331" t="s">
        <v>85</v>
      </c>
      <c r="J400" s="58" t="s">
        <v>53</v>
      </c>
      <c r="K400" s="330" t="s">
        <v>53</v>
      </c>
      <c r="M400" s="69"/>
      <c r="O400" s="330" t="s">
        <v>189</v>
      </c>
      <c r="R400" s="69"/>
      <c r="S400" s="330"/>
      <c r="T400" s="332">
        <v>46174</v>
      </c>
      <c r="U400" s="330"/>
      <c r="V400" s="330"/>
      <c r="X400" s="259" t="s">
        <v>58</v>
      </c>
      <c r="Y400" s="330">
        <v>0.5</v>
      </c>
      <c r="AA400" s="69"/>
      <c r="AB400" s="193" t="s">
        <v>880</v>
      </c>
      <c r="AD400" s="263" t="s">
        <v>72</v>
      </c>
      <c r="AG400" s="330"/>
      <c r="AK400" s="138"/>
    </row>
    <row r="401" spans="1:45" s="58" customFormat="1" ht="18.649999999999999" customHeight="1">
      <c r="A401" s="69" t="s">
        <v>1105</v>
      </c>
      <c r="B401" s="69" t="s">
        <v>53</v>
      </c>
      <c r="C401" s="58" t="s">
        <v>53</v>
      </c>
      <c r="D401" s="69" t="s">
        <v>1106</v>
      </c>
      <c r="E401" s="329" t="s">
        <v>1107</v>
      </c>
      <c r="F401" s="68">
        <v>1000017170</v>
      </c>
      <c r="G401" s="58" t="s">
        <v>1109</v>
      </c>
      <c r="H401" s="330">
        <v>600</v>
      </c>
      <c r="I401" s="330" t="s">
        <v>1110</v>
      </c>
      <c r="J401" s="58" t="s">
        <v>53</v>
      </c>
      <c r="K401" s="330" t="s">
        <v>53</v>
      </c>
      <c r="M401" s="69"/>
      <c r="O401" s="330" t="s">
        <v>189</v>
      </c>
      <c r="R401" s="69"/>
      <c r="S401" s="330"/>
      <c r="T401" s="332">
        <v>46174</v>
      </c>
      <c r="U401" s="330"/>
      <c r="V401" s="330"/>
      <c r="X401" s="259" t="s">
        <v>58</v>
      </c>
      <c r="Y401" s="330">
        <v>0.5</v>
      </c>
      <c r="AA401" s="69"/>
      <c r="AB401" s="193" t="s">
        <v>880</v>
      </c>
      <c r="AD401" s="263" t="s">
        <v>72</v>
      </c>
      <c r="AG401" s="330"/>
      <c r="AK401" s="138"/>
    </row>
    <row r="402" spans="1:45" ht="18.649999999999999" customHeight="1">
      <c r="A402" s="69" t="s">
        <v>1105</v>
      </c>
      <c r="B402" s="69" t="s">
        <v>53</v>
      </c>
      <c r="C402" s="58"/>
      <c r="D402" s="259" t="s">
        <v>81</v>
      </c>
      <c r="E402" s="260" t="s">
        <v>144</v>
      </c>
      <c r="F402" s="47" t="s">
        <v>607</v>
      </c>
      <c r="G402" s="47" t="s">
        <v>145</v>
      </c>
      <c r="H402" s="331">
        <v>11200</v>
      </c>
      <c r="I402" s="259" t="s">
        <v>146</v>
      </c>
      <c r="J402" s="58"/>
      <c r="K402" s="58" t="s">
        <v>53</v>
      </c>
      <c r="L402" s="333">
        <v>46064</v>
      </c>
      <c r="M402" s="69" t="s">
        <v>1111</v>
      </c>
      <c r="N402" s="58"/>
      <c r="O402" s="330" t="s">
        <v>150</v>
      </c>
      <c r="P402" s="58"/>
      <c r="Q402" s="58"/>
      <c r="R402" s="69"/>
      <c r="S402" s="330"/>
      <c r="T402" s="332">
        <v>46111</v>
      </c>
      <c r="U402" s="330"/>
      <c r="V402" s="330"/>
      <c r="W402" s="58"/>
      <c r="X402" s="330" t="s">
        <v>58</v>
      </c>
      <c r="Y402" s="330">
        <v>2</v>
      </c>
      <c r="Z402" s="58"/>
      <c r="AA402" s="69"/>
      <c r="AB402" s="193" t="s">
        <v>880</v>
      </c>
      <c r="AC402" s="58"/>
      <c r="AD402" s="263" t="s">
        <v>72</v>
      </c>
      <c r="AE402" s="330"/>
      <c r="AF402" s="330"/>
      <c r="AG402" s="330"/>
      <c r="AH402" s="5"/>
      <c r="AI402" s="58"/>
      <c r="AJ402" s="58"/>
      <c r="AK402" s="138" t="s">
        <v>53</v>
      </c>
      <c r="AL402" s="58"/>
      <c r="AM402" s="58"/>
      <c r="AN402" s="58"/>
      <c r="AO402" s="58"/>
      <c r="AP402" s="58"/>
      <c r="AQ402" s="58"/>
      <c r="AR402" s="58"/>
      <c r="AS402" s="58"/>
    </row>
    <row r="403" spans="1:45" ht="10.5" customHeight="1">
      <c r="A403" s="201" t="s">
        <v>633</v>
      </c>
      <c r="B403" s="222"/>
      <c r="D403" s="20" t="s">
        <v>99</v>
      </c>
      <c r="E403" s="23" t="s">
        <v>1112</v>
      </c>
      <c r="F403" s="23">
        <v>2000005713</v>
      </c>
      <c r="G403" s="21" t="s">
        <v>1113</v>
      </c>
      <c r="H403" s="5">
        <v>60</v>
      </c>
      <c r="I403" s="5" t="s">
        <v>1114</v>
      </c>
      <c r="J403" s="21" t="s">
        <v>1115</v>
      </c>
      <c r="K403" s="21"/>
      <c r="L403" s="177">
        <v>46066</v>
      </c>
      <c r="M403" s="136" t="s">
        <v>1116</v>
      </c>
      <c r="N403" s="21" t="s">
        <v>1117</v>
      </c>
      <c r="O403" s="5" t="s">
        <v>189</v>
      </c>
      <c r="Q403" s="20" t="s">
        <v>1118</v>
      </c>
      <c r="R403" s="21" t="s">
        <v>1119</v>
      </c>
      <c r="S403" s="5" t="s">
        <v>1119</v>
      </c>
      <c r="T403" s="24">
        <v>46082</v>
      </c>
      <c r="U403" s="137">
        <v>46084</v>
      </c>
      <c r="V403" s="137">
        <v>46087</v>
      </c>
      <c r="X403" s="5" t="s">
        <v>217</v>
      </c>
      <c r="Y403" s="5">
        <v>1</v>
      </c>
      <c r="AA403" s="137">
        <v>46085</v>
      </c>
      <c r="AB403" s="137">
        <v>46088</v>
      </c>
      <c r="AD403" s="56" t="s">
        <v>72</v>
      </c>
      <c r="AE403" s="21"/>
      <c r="AF403" s="65">
        <v>46086</v>
      </c>
      <c r="AG403" s="65">
        <v>46086</v>
      </c>
      <c r="AH403" s="65">
        <v>46091</v>
      </c>
      <c r="AI403" s="177">
        <v>46092</v>
      </c>
      <c r="AJ403" s="177"/>
      <c r="AK403" s="178">
        <v>46078</v>
      </c>
      <c r="AL403" s="179">
        <v>309</v>
      </c>
      <c r="AM403" s="58"/>
      <c r="AN403" s="58"/>
      <c r="AR403" s="21"/>
    </row>
    <row r="404" spans="1:45" ht="18.649999999999999" customHeight="1" thickBot="1">
      <c r="A404" s="73" t="s">
        <v>710</v>
      </c>
      <c r="D404" s="48" t="s">
        <v>48</v>
      </c>
      <c r="E404" s="49" t="s">
        <v>171</v>
      </c>
      <c r="F404" s="49">
        <v>1000022205</v>
      </c>
      <c r="G404" s="107" t="s">
        <v>181</v>
      </c>
      <c r="H404" s="108">
        <v>350</v>
      </c>
      <c r="I404" s="108" t="s">
        <v>52</v>
      </c>
      <c r="J404" s="21" t="s">
        <v>1120</v>
      </c>
      <c r="L404" s="177">
        <v>46106</v>
      </c>
      <c r="M404" s="214" t="s">
        <v>1121</v>
      </c>
      <c r="N404" s="5" t="s">
        <v>1122</v>
      </c>
      <c r="O404" s="5" t="s">
        <v>176</v>
      </c>
      <c r="Q404" s="217" t="s">
        <v>1123</v>
      </c>
      <c r="R404" s="20" t="s">
        <v>178</v>
      </c>
      <c r="S404" s="5" t="s">
        <v>709</v>
      </c>
      <c r="T404" s="24">
        <v>46146</v>
      </c>
      <c r="U404" s="137">
        <v>46131</v>
      </c>
      <c r="V404" s="137">
        <v>46146</v>
      </c>
      <c r="X404" s="5" t="s">
        <v>309</v>
      </c>
      <c r="Y404" s="5">
        <v>0.5</v>
      </c>
      <c r="AA404" s="137">
        <v>46136</v>
      </c>
      <c r="AB404" s="322">
        <v>46153</v>
      </c>
      <c r="AC404" s="106">
        <f>AB404-V404</f>
        <v>7</v>
      </c>
      <c r="AD404" s="56" t="s">
        <v>72</v>
      </c>
      <c r="AF404" s="65">
        <v>46140</v>
      </c>
      <c r="AG404" s="65">
        <v>46140</v>
      </c>
      <c r="AH404" s="65">
        <v>46156</v>
      </c>
      <c r="AI404" s="225"/>
      <c r="AJ404" s="225"/>
      <c r="AK404" s="275">
        <v>46157</v>
      </c>
      <c r="AL404" s="237">
        <v>58154.25</v>
      </c>
      <c r="AM404" s="58"/>
      <c r="AN404" s="58"/>
      <c r="AR404" s="21"/>
    </row>
    <row r="405" spans="1:45" ht="18.649999999999999" customHeight="1" thickBot="1">
      <c r="A405" s="73" t="s">
        <v>710</v>
      </c>
      <c r="D405" s="48" t="s">
        <v>48</v>
      </c>
      <c r="E405" s="49" t="s">
        <v>171</v>
      </c>
      <c r="F405" s="49">
        <v>1000036622</v>
      </c>
      <c r="G405" s="107" t="s">
        <v>182</v>
      </c>
      <c r="H405" s="108">
        <v>300</v>
      </c>
      <c r="I405" s="108" t="s">
        <v>52</v>
      </c>
      <c r="J405" s="21" t="s">
        <v>1124</v>
      </c>
      <c r="L405" s="177">
        <v>46106</v>
      </c>
      <c r="M405" s="214" t="s">
        <v>1121</v>
      </c>
      <c r="N405" s="5" t="s">
        <v>1122</v>
      </c>
      <c r="O405" s="5" t="s">
        <v>176</v>
      </c>
      <c r="Q405" s="217" t="s">
        <v>1123</v>
      </c>
      <c r="R405" s="20" t="s">
        <v>178</v>
      </c>
      <c r="S405" s="5" t="s">
        <v>709</v>
      </c>
      <c r="T405" s="24">
        <v>46146</v>
      </c>
      <c r="U405" s="137">
        <v>46131</v>
      </c>
      <c r="V405" s="137">
        <v>46146</v>
      </c>
      <c r="X405" s="5" t="s">
        <v>309</v>
      </c>
      <c r="Y405" s="5">
        <v>0.5</v>
      </c>
      <c r="AA405" s="137">
        <v>46136</v>
      </c>
      <c r="AB405" s="322">
        <v>46153</v>
      </c>
      <c r="AC405" s="106">
        <f>AB405-V405</f>
        <v>7</v>
      </c>
      <c r="AD405" s="56" t="s">
        <v>72</v>
      </c>
      <c r="AF405" s="65">
        <v>46140</v>
      </c>
      <c r="AG405" s="65">
        <v>46140</v>
      </c>
      <c r="AH405" s="65">
        <v>46156</v>
      </c>
      <c r="AI405" s="225"/>
      <c r="AJ405" s="225"/>
      <c r="AK405" s="275">
        <v>46157</v>
      </c>
      <c r="AL405" s="237">
        <v>49242.3</v>
      </c>
      <c r="AM405" s="58"/>
      <c r="AN405" s="58"/>
      <c r="AR405" s="21"/>
    </row>
    <row r="406" spans="1:45" ht="18.649999999999999" customHeight="1">
      <c r="A406" s="201" t="s">
        <v>633</v>
      </c>
      <c r="B406" s="222"/>
      <c r="D406" s="20" t="s">
        <v>99</v>
      </c>
      <c r="E406" s="23" t="s">
        <v>1112</v>
      </c>
      <c r="F406" s="23">
        <v>2000013275</v>
      </c>
      <c r="G406" s="21" t="s">
        <v>1125</v>
      </c>
      <c r="H406" s="5">
        <v>35</v>
      </c>
      <c r="I406" s="5" t="s">
        <v>1114</v>
      </c>
      <c r="K406" s="21"/>
      <c r="L406" s="177">
        <v>46066</v>
      </c>
      <c r="M406" s="136" t="s">
        <v>1116</v>
      </c>
      <c r="N406" s="21" t="s">
        <v>1117</v>
      </c>
      <c r="O406" s="5" t="s">
        <v>189</v>
      </c>
      <c r="Q406" s="20" t="s">
        <v>1118</v>
      </c>
      <c r="R406" s="21" t="s">
        <v>1119</v>
      </c>
      <c r="S406" s="5" t="s">
        <v>1119</v>
      </c>
      <c r="T406" s="24">
        <v>46082</v>
      </c>
      <c r="U406" s="137">
        <v>46084</v>
      </c>
      <c r="V406" s="137">
        <v>46087</v>
      </c>
      <c r="X406" s="5" t="s">
        <v>217</v>
      </c>
      <c r="Y406" s="5">
        <v>1</v>
      </c>
      <c r="AA406" s="137">
        <v>46085</v>
      </c>
      <c r="AB406" s="137">
        <v>46088</v>
      </c>
      <c r="AD406" s="56" t="s">
        <v>72</v>
      </c>
      <c r="AE406" s="21"/>
      <c r="AF406" s="65">
        <v>46086</v>
      </c>
      <c r="AG406" s="65">
        <v>46086</v>
      </c>
      <c r="AH406" s="65">
        <v>46091</v>
      </c>
      <c r="AI406" s="177">
        <v>46092</v>
      </c>
      <c r="AJ406" s="177"/>
      <c r="AK406" s="178">
        <v>46078</v>
      </c>
      <c r="AL406" s="179">
        <v>203</v>
      </c>
      <c r="AM406" s="58"/>
      <c r="AN406" s="58"/>
      <c r="AR406" s="21"/>
    </row>
    <row r="407" spans="1:45" ht="18.649999999999999" customHeight="1">
      <c r="A407" s="201" t="s">
        <v>633</v>
      </c>
      <c r="B407" s="222"/>
      <c r="D407" s="20" t="s">
        <v>99</v>
      </c>
      <c r="E407" s="23" t="s">
        <v>1112</v>
      </c>
      <c r="F407" s="23">
        <v>2000005713.0999999</v>
      </c>
      <c r="G407" s="21" t="s">
        <v>1113</v>
      </c>
      <c r="H407" s="5">
        <v>30</v>
      </c>
      <c r="I407" s="5" t="s">
        <v>1114</v>
      </c>
      <c r="K407" s="21"/>
      <c r="L407" s="177">
        <v>46066</v>
      </c>
      <c r="M407" s="136" t="s">
        <v>1116</v>
      </c>
      <c r="N407" s="21" t="s">
        <v>1117</v>
      </c>
      <c r="O407" s="5" t="s">
        <v>189</v>
      </c>
      <c r="Q407" s="20" t="s">
        <v>1118</v>
      </c>
      <c r="R407" s="21" t="s">
        <v>1119</v>
      </c>
      <c r="S407" s="5" t="s">
        <v>1119</v>
      </c>
      <c r="T407" s="24">
        <v>46082</v>
      </c>
      <c r="U407" s="137">
        <v>46084</v>
      </c>
      <c r="V407" s="137">
        <v>46087</v>
      </c>
      <c r="X407" s="5" t="s">
        <v>217</v>
      </c>
      <c r="Y407" s="5">
        <v>1</v>
      </c>
      <c r="AA407" s="137">
        <v>46085</v>
      </c>
      <c r="AB407" s="137">
        <v>46088</v>
      </c>
      <c r="AD407" s="56" t="s">
        <v>72</v>
      </c>
      <c r="AE407" s="21"/>
      <c r="AF407" s="65">
        <v>46086</v>
      </c>
      <c r="AG407" s="65">
        <v>46086</v>
      </c>
      <c r="AH407" s="65">
        <v>46091</v>
      </c>
      <c r="AI407" s="177">
        <v>46092</v>
      </c>
      <c r="AJ407" s="177"/>
      <c r="AK407" s="178">
        <v>46078</v>
      </c>
      <c r="AL407" s="179">
        <v>154.5</v>
      </c>
      <c r="AM407" s="58"/>
      <c r="AN407" s="58"/>
      <c r="AR407" s="21"/>
    </row>
    <row r="408" spans="1:45" ht="18.649999999999999" customHeight="1">
      <c r="A408" s="201" t="s">
        <v>633</v>
      </c>
      <c r="B408" s="222"/>
      <c r="D408" s="20" t="s">
        <v>99</v>
      </c>
      <c r="E408" s="23" t="s">
        <v>1112</v>
      </c>
      <c r="F408" s="23">
        <v>2000021891</v>
      </c>
      <c r="G408" s="21" t="s">
        <v>1126</v>
      </c>
      <c r="H408" s="334">
        <v>90</v>
      </c>
      <c r="I408" s="5" t="s">
        <v>1114</v>
      </c>
      <c r="K408" s="21"/>
      <c r="L408" s="177">
        <v>46066</v>
      </c>
      <c r="M408" s="136" t="s">
        <v>1116</v>
      </c>
      <c r="N408" s="21" t="s">
        <v>1117</v>
      </c>
      <c r="O408" s="5" t="s">
        <v>189</v>
      </c>
      <c r="Q408" s="20" t="s">
        <v>1118</v>
      </c>
      <c r="R408" s="21" t="s">
        <v>1119</v>
      </c>
      <c r="S408" s="5" t="s">
        <v>1119</v>
      </c>
      <c r="T408" s="24">
        <v>46082</v>
      </c>
      <c r="U408" s="137">
        <v>46084</v>
      </c>
      <c r="V408" s="137">
        <v>46087</v>
      </c>
      <c r="X408" s="5" t="s">
        <v>217</v>
      </c>
      <c r="Y408" s="5">
        <v>1</v>
      </c>
      <c r="AA408" s="137">
        <v>46085</v>
      </c>
      <c r="AB408" s="137">
        <v>46088</v>
      </c>
      <c r="AD408" s="56" t="s">
        <v>72</v>
      </c>
      <c r="AE408" s="21"/>
      <c r="AF408" s="65">
        <v>46086</v>
      </c>
      <c r="AG408" s="65">
        <v>46086</v>
      </c>
      <c r="AH408" s="65">
        <v>46091</v>
      </c>
      <c r="AI408" s="177">
        <v>46092</v>
      </c>
      <c r="AJ408" s="177"/>
      <c r="AK408" s="178">
        <v>46078</v>
      </c>
      <c r="AL408" s="179">
        <v>360</v>
      </c>
      <c r="AM408" s="58"/>
      <c r="AN408" s="58"/>
      <c r="AR408" s="21"/>
    </row>
    <row r="409" spans="1:45" ht="18.649999999999999" customHeight="1">
      <c r="A409" s="335" t="s">
        <v>1127</v>
      </c>
      <c r="B409" s="199" t="s">
        <v>93</v>
      </c>
      <c r="D409" s="20" t="s">
        <v>1106</v>
      </c>
      <c r="E409" s="22" t="s">
        <v>1128</v>
      </c>
      <c r="F409" s="23">
        <v>1000016832</v>
      </c>
      <c r="G409" s="21" t="s">
        <v>1129</v>
      </c>
      <c r="H409" s="5">
        <v>1200</v>
      </c>
      <c r="I409" s="5" t="s">
        <v>1130</v>
      </c>
      <c r="J409" s="21" t="s">
        <v>1131</v>
      </c>
      <c r="K409" s="21"/>
      <c r="L409" s="177">
        <v>46066</v>
      </c>
      <c r="M409" s="20" t="s">
        <v>1132</v>
      </c>
      <c r="N409" s="21"/>
      <c r="O409" s="5" t="s">
        <v>150</v>
      </c>
      <c r="Q409" s="336" t="s">
        <v>1133</v>
      </c>
      <c r="R409" s="20" t="s">
        <v>178</v>
      </c>
      <c r="S409" s="5" t="s">
        <v>471</v>
      </c>
      <c r="T409" s="24">
        <v>46113</v>
      </c>
      <c r="U409" s="137">
        <v>46155</v>
      </c>
      <c r="V409" s="137">
        <v>46167</v>
      </c>
      <c r="X409" s="5" t="s">
        <v>309</v>
      </c>
      <c r="Y409" s="5">
        <v>0.5</v>
      </c>
      <c r="AA409" s="137">
        <v>46155</v>
      </c>
      <c r="AB409" s="137">
        <v>46167</v>
      </c>
      <c r="AD409" s="56" t="s">
        <v>72</v>
      </c>
      <c r="AH409" s="5"/>
      <c r="AJ409" s="21" t="s">
        <v>1134</v>
      </c>
      <c r="AK409" s="27">
        <v>46167</v>
      </c>
      <c r="AL409" s="21" t="s">
        <v>1135</v>
      </c>
      <c r="AR409" s="21"/>
    </row>
    <row r="410" spans="1:45" ht="18.649999999999999" customHeight="1">
      <c r="A410" s="335"/>
      <c r="B410" s="199" t="s">
        <v>93</v>
      </c>
      <c r="D410" s="20" t="s">
        <v>1106</v>
      </c>
      <c r="E410" s="22" t="s">
        <v>1128</v>
      </c>
      <c r="F410" s="23">
        <v>1000022018</v>
      </c>
      <c r="G410" s="21" t="s">
        <v>1136</v>
      </c>
      <c r="H410" s="5">
        <v>1200</v>
      </c>
      <c r="I410" s="5" t="s">
        <v>1130</v>
      </c>
      <c r="J410" s="21" t="s">
        <v>1131</v>
      </c>
      <c r="K410" s="21"/>
      <c r="L410" s="177">
        <v>46066</v>
      </c>
      <c r="M410" s="20" t="s">
        <v>1132</v>
      </c>
      <c r="N410" s="21"/>
      <c r="O410" s="5" t="s">
        <v>150</v>
      </c>
      <c r="Q410" s="336" t="s">
        <v>1133</v>
      </c>
      <c r="R410" s="20" t="s">
        <v>178</v>
      </c>
      <c r="S410" s="5" t="s">
        <v>471</v>
      </c>
      <c r="T410" s="24">
        <v>46113</v>
      </c>
      <c r="U410" s="137">
        <v>46155</v>
      </c>
      <c r="V410" s="137">
        <v>46167</v>
      </c>
      <c r="X410" s="5" t="s">
        <v>309</v>
      </c>
      <c r="Y410" s="5">
        <v>0.5</v>
      </c>
      <c r="AA410" s="137">
        <v>46155</v>
      </c>
      <c r="AB410" s="137">
        <v>46167</v>
      </c>
      <c r="AD410" s="56" t="s">
        <v>72</v>
      </c>
      <c r="AH410" s="5"/>
      <c r="AJ410" s="21" t="s">
        <v>1134</v>
      </c>
      <c r="AK410" s="27">
        <v>46167</v>
      </c>
      <c r="AL410" s="21" t="s">
        <v>1135</v>
      </c>
      <c r="AR410" s="21"/>
    </row>
    <row r="411" spans="1:45" ht="18.649999999999999" customHeight="1">
      <c r="A411" s="201" t="s">
        <v>633</v>
      </c>
      <c r="B411" s="199"/>
      <c r="D411" s="20" t="s">
        <v>99</v>
      </c>
      <c r="E411" s="23" t="s">
        <v>1137</v>
      </c>
      <c r="F411" s="23">
        <v>2000001786</v>
      </c>
      <c r="G411" s="21" t="s">
        <v>1138</v>
      </c>
      <c r="H411" s="5">
        <v>50</v>
      </c>
      <c r="I411" s="5" t="s">
        <v>239</v>
      </c>
      <c r="K411" s="21" t="s">
        <v>53</v>
      </c>
      <c r="L411" s="177">
        <v>46065</v>
      </c>
      <c r="M411" s="136" t="s">
        <v>1139</v>
      </c>
      <c r="N411" s="5" t="s">
        <v>1140</v>
      </c>
      <c r="O411" s="5" t="s">
        <v>189</v>
      </c>
      <c r="Q411" s="20" t="s">
        <v>1141</v>
      </c>
      <c r="R411" s="20" t="s">
        <v>1142</v>
      </c>
      <c r="S411" s="21" t="s">
        <v>1142</v>
      </c>
      <c r="T411" s="24">
        <v>46082</v>
      </c>
      <c r="U411" s="137">
        <v>46085</v>
      </c>
      <c r="V411" s="137">
        <v>46087</v>
      </c>
      <c r="X411" s="5" t="s">
        <v>217</v>
      </c>
      <c r="Y411" s="5">
        <v>1</v>
      </c>
      <c r="AA411" s="137">
        <v>46085</v>
      </c>
      <c r="AB411" s="137">
        <v>46087</v>
      </c>
      <c r="AD411" s="56" t="s">
        <v>72</v>
      </c>
      <c r="AE411" s="21"/>
      <c r="AF411" s="65">
        <v>46092</v>
      </c>
      <c r="AG411" s="65">
        <v>46092</v>
      </c>
      <c r="AH411" s="65">
        <v>46093</v>
      </c>
      <c r="AI411" s="177">
        <v>46094</v>
      </c>
      <c r="AJ411" s="177"/>
      <c r="AK411" s="44">
        <v>46078</v>
      </c>
      <c r="AL411" s="184">
        <v>4225</v>
      </c>
      <c r="AM411" s="58"/>
      <c r="AN411" s="58"/>
      <c r="AR411" s="21"/>
    </row>
    <row r="412" spans="1:45" ht="18.649999999999999" customHeight="1">
      <c r="A412" s="201" t="s">
        <v>633</v>
      </c>
      <c r="B412" s="199"/>
      <c r="D412" s="20" t="s">
        <v>48</v>
      </c>
      <c r="E412" s="23" t="s">
        <v>1143</v>
      </c>
      <c r="F412" s="23">
        <v>2000042702</v>
      </c>
      <c r="G412" s="21" t="s">
        <v>1144</v>
      </c>
      <c r="H412" s="5">
        <v>63</v>
      </c>
      <c r="I412" s="5" t="s">
        <v>52</v>
      </c>
      <c r="J412" s="21" t="s">
        <v>1145</v>
      </c>
      <c r="K412" s="21"/>
      <c r="L412" s="177">
        <v>46066</v>
      </c>
      <c r="M412" s="136" t="s">
        <v>1146</v>
      </c>
      <c r="N412" s="5" t="s">
        <v>1147</v>
      </c>
      <c r="O412" s="5" t="s">
        <v>150</v>
      </c>
      <c r="Q412" s="20">
        <v>2321908470</v>
      </c>
      <c r="R412" s="20" t="s">
        <v>168</v>
      </c>
      <c r="S412" s="5" t="s">
        <v>1148</v>
      </c>
      <c r="T412" s="24">
        <v>46091</v>
      </c>
      <c r="U412" s="137">
        <v>46084</v>
      </c>
      <c r="V412" s="137">
        <v>46088</v>
      </c>
      <c r="X412" s="5" t="s">
        <v>170</v>
      </c>
      <c r="Y412" s="30">
        <v>0.5</v>
      </c>
      <c r="AA412" s="65">
        <v>46087</v>
      </c>
      <c r="AB412" s="65">
        <v>46093</v>
      </c>
      <c r="AD412" s="56" t="s">
        <v>430</v>
      </c>
      <c r="AE412" s="21"/>
      <c r="AF412" s="65">
        <v>46098</v>
      </c>
      <c r="AG412" s="65">
        <v>46091</v>
      </c>
      <c r="AH412" s="65">
        <v>46099</v>
      </c>
      <c r="AI412" s="177">
        <v>46100</v>
      </c>
      <c r="AJ412" s="177"/>
      <c r="AK412" s="44">
        <v>46078</v>
      </c>
      <c r="AL412" s="179">
        <v>4670.5050000000001</v>
      </c>
      <c r="AM412" s="198">
        <v>46137</v>
      </c>
      <c r="AN412" s="91">
        <v>4670.51</v>
      </c>
      <c r="AR412" s="21"/>
    </row>
    <row r="413" spans="1:45" ht="18.649999999999999" customHeight="1">
      <c r="A413" s="201" t="s">
        <v>633</v>
      </c>
      <c r="B413" s="199"/>
      <c r="D413" s="20" t="s">
        <v>48</v>
      </c>
      <c r="E413" s="23" t="s">
        <v>1143</v>
      </c>
      <c r="F413" s="23">
        <v>2000042703</v>
      </c>
      <c r="G413" s="21" t="s">
        <v>1149</v>
      </c>
      <c r="H413" s="5">
        <v>62</v>
      </c>
      <c r="I413" s="5" t="s">
        <v>52</v>
      </c>
      <c r="K413" s="21"/>
      <c r="L413" s="177">
        <v>46066</v>
      </c>
      <c r="M413" s="136" t="s">
        <v>1146</v>
      </c>
      <c r="N413" s="5" t="s">
        <v>1150</v>
      </c>
      <c r="O413" s="5" t="s">
        <v>150</v>
      </c>
      <c r="Q413" s="20">
        <v>2321908470</v>
      </c>
      <c r="R413" s="20" t="s">
        <v>168</v>
      </c>
      <c r="S413" s="5" t="s">
        <v>1148</v>
      </c>
      <c r="T413" s="24">
        <v>46091</v>
      </c>
      <c r="U413" s="137">
        <v>46084</v>
      </c>
      <c r="V413" s="137">
        <v>46088</v>
      </c>
      <c r="X413" s="5" t="s">
        <v>170</v>
      </c>
      <c r="Y413" s="30">
        <v>0.5</v>
      </c>
      <c r="AA413" s="65">
        <v>46087</v>
      </c>
      <c r="AB413" s="65">
        <v>46093</v>
      </c>
      <c r="AD413" s="56" t="s">
        <v>430</v>
      </c>
      <c r="AE413" s="21"/>
      <c r="AF413" s="65">
        <v>46098</v>
      </c>
      <c r="AG413" s="65">
        <v>46091</v>
      </c>
      <c r="AH413" s="65">
        <v>46099</v>
      </c>
      <c r="AI413" s="177">
        <v>46100</v>
      </c>
      <c r="AJ413" s="177"/>
      <c r="AK413" s="44">
        <v>46078</v>
      </c>
      <c r="AL413" s="179">
        <v>4596.37</v>
      </c>
      <c r="AM413" s="198">
        <v>46137</v>
      </c>
      <c r="AN413" s="91">
        <v>4596.37</v>
      </c>
      <c r="AR413" s="21"/>
    </row>
    <row r="414" spans="1:45" ht="18.649999999999999" customHeight="1">
      <c r="A414" s="201" t="s">
        <v>633</v>
      </c>
      <c r="B414" s="199"/>
      <c r="D414" s="20" t="s">
        <v>48</v>
      </c>
      <c r="E414" s="23" t="s">
        <v>1143</v>
      </c>
      <c r="F414" s="23">
        <v>2000042704</v>
      </c>
      <c r="G414" s="21" t="s">
        <v>1151</v>
      </c>
      <c r="H414" s="5">
        <v>62</v>
      </c>
      <c r="I414" s="5" t="s">
        <v>52</v>
      </c>
      <c r="K414" s="21"/>
      <c r="L414" s="177">
        <v>46066</v>
      </c>
      <c r="M414" s="136" t="s">
        <v>1146</v>
      </c>
      <c r="N414" s="5" t="s">
        <v>1152</v>
      </c>
      <c r="O414" s="5" t="s">
        <v>150</v>
      </c>
      <c r="Q414" s="20">
        <v>2321908470</v>
      </c>
      <c r="R414" s="20" t="s">
        <v>168</v>
      </c>
      <c r="S414" s="5" t="s">
        <v>1148</v>
      </c>
      <c r="T414" s="24">
        <v>46091</v>
      </c>
      <c r="U414" s="137">
        <v>46084</v>
      </c>
      <c r="V414" s="137">
        <v>46088</v>
      </c>
      <c r="X414" s="5" t="s">
        <v>170</v>
      </c>
      <c r="Y414" s="30">
        <v>0.5</v>
      </c>
      <c r="AA414" s="65">
        <v>46087</v>
      </c>
      <c r="AB414" s="65">
        <v>46093</v>
      </c>
      <c r="AD414" s="56" t="s">
        <v>430</v>
      </c>
      <c r="AE414" s="21"/>
      <c r="AF414" s="65">
        <v>46098</v>
      </c>
      <c r="AG414" s="65">
        <v>46091</v>
      </c>
      <c r="AH414" s="65">
        <v>46099</v>
      </c>
      <c r="AI414" s="177">
        <v>46100</v>
      </c>
      <c r="AJ414" s="177"/>
      <c r="AK414" s="44">
        <v>46078</v>
      </c>
      <c r="AL414" s="179">
        <v>4596.37</v>
      </c>
      <c r="AM414" s="198">
        <v>46137</v>
      </c>
      <c r="AN414" s="91">
        <v>4596.37</v>
      </c>
      <c r="AR414" s="21"/>
    </row>
    <row r="415" spans="1:45" ht="18.649999999999999" customHeight="1">
      <c r="A415" s="201" t="s">
        <v>633</v>
      </c>
      <c r="B415" s="199"/>
      <c r="D415" s="20" t="s">
        <v>48</v>
      </c>
      <c r="E415" s="23" t="s">
        <v>1143</v>
      </c>
      <c r="F415" s="23">
        <v>2000042705</v>
      </c>
      <c r="G415" s="21" t="s">
        <v>1153</v>
      </c>
      <c r="H415" s="5">
        <v>63</v>
      </c>
      <c r="I415" s="5" t="s">
        <v>52</v>
      </c>
      <c r="K415" s="21"/>
      <c r="L415" s="177">
        <v>46066</v>
      </c>
      <c r="M415" s="136" t="s">
        <v>1146</v>
      </c>
      <c r="N415" s="5" t="s">
        <v>1154</v>
      </c>
      <c r="O415" s="5" t="s">
        <v>150</v>
      </c>
      <c r="Q415" s="20">
        <v>2321908470</v>
      </c>
      <c r="R415" s="20" t="s">
        <v>168</v>
      </c>
      <c r="S415" s="5" t="s">
        <v>1148</v>
      </c>
      <c r="T415" s="24">
        <v>46091</v>
      </c>
      <c r="U415" s="137">
        <v>46084</v>
      </c>
      <c r="V415" s="137">
        <v>46088</v>
      </c>
      <c r="X415" s="5" t="s">
        <v>170</v>
      </c>
      <c r="Y415" s="30">
        <v>0.5</v>
      </c>
      <c r="AA415" s="65">
        <v>46087</v>
      </c>
      <c r="AB415" s="65">
        <v>46093</v>
      </c>
      <c r="AD415" s="56" t="s">
        <v>430</v>
      </c>
      <c r="AE415" s="21"/>
      <c r="AF415" s="65">
        <v>46098</v>
      </c>
      <c r="AG415" s="65">
        <v>46091</v>
      </c>
      <c r="AH415" s="65">
        <v>46099</v>
      </c>
      <c r="AI415" s="177">
        <v>46100</v>
      </c>
      <c r="AJ415" s="177"/>
      <c r="AK415" s="44">
        <v>46078</v>
      </c>
      <c r="AL415" s="179">
        <v>4670.5050000000001</v>
      </c>
      <c r="AM415" s="198">
        <v>46137</v>
      </c>
      <c r="AN415" s="91">
        <v>4670.51</v>
      </c>
      <c r="AR415" s="21"/>
    </row>
    <row r="416" spans="1:45" ht="18.649999999999999" customHeight="1">
      <c r="A416" s="78"/>
      <c r="B416" s="222" t="s">
        <v>741</v>
      </c>
      <c r="C416" s="304"/>
      <c r="D416" s="48" t="s">
        <v>48</v>
      </c>
      <c r="E416" s="49" t="s">
        <v>82</v>
      </c>
      <c r="F416" s="49">
        <v>1000015487</v>
      </c>
      <c r="G416" s="61" t="s">
        <v>109</v>
      </c>
      <c r="H416" s="5">
        <v>630</v>
      </c>
      <c r="I416" s="61" t="s">
        <v>110</v>
      </c>
      <c r="J416" s="33" t="s">
        <v>393</v>
      </c>
      <c r="K416" s="21" t="s">
        <v>53</v>
      </c>
      <c r="L416" s="177">
        <v>46071</v>
      </c>
      <c r="M416" s="214" t="s">
        <v>1155</v>
      </c>
      <c r="N416" s="5">
        <v>2245533511</v>
      </c>
      <c r="O416" s="20" t="s">
        <v>68</v>
      </c>
      <c r="Q416" s="20">
        <v>721346124</v>
      </c>
      <c r="R416" s="36" t="s">
        <v>88</v>
      </c>
      <c r="S416" s="5" t="s">
        <v>1156</v>
      </c>
      <c r="T416" s="24">
        <v>46146</v>
      </c>
      <c r="U416" s="137">
        <v>46104</v>
      </c>
      <c r="V416" s="137">
        <v>46140</v>
      </c>
      <c r="X416" s="30" t="s">
        <v>309</v>
      </c>
      <c r="Y416" s="30">
        <v>0.5</v>
      </c>
      <c r="AA416" s="337">
        <v>46117</v>
      </c>
      <c r="AB416" s="337">
        <v>46150</v>
      </c>
      <c r="AD416" s="56" t="s">
        <v>72</v>
      </c>
      <c r="AF416" s="65">
        <v>46127</v>
      </c>
      <c r="AG416" s="65">
        <v>46120</v>
      </c>
      <c r="AK416" s="178">
        <v>46137</v>
      </c>
      <c r="AL416" s="91">
        <v>49078.96</v>
      </c>
      <c r="AM416" s="58"/>
      <c r="AN416" s="58"/>
      <c r="AR416" s="21"/>
    </row>
    <row r="417" spans="1:44" ht="18.649999999999999" customHeight="1">
      <c r="A417" s="78"/>
      <c r="B417" s="222" t="s">
        <v>741</v>
      </c>
      <c r="D417" s="48" t="s">
        <v>48</v>
      </c>
      <c r="E417" s="49" t="s">
        <v>82</v>
      </c>
      <c r="F417" s="49">
        <v>1000001464</v>
      </c>
      <c r="G417" s="61" t="s">
        <v>114</v>
      </c>
      <c r="H417" s="5">
        <v>180</v>
      </c>
      <c r="I417" s="61" t="s">
        <v>110</v>
      </c>
      <c r="J417" s="33" t="s">
        <v>393</v>
      </c>
      <c r="K417" s="21" t="s">
        <v>53</v>
      </c>
      <c r="L417" s="177">
        <v>46071</v>
      </c>
      <c r="M417" s="214" t="s">
        <v>1157</v>
      </c>
      <c r="N417" s="5">
        <v>2245533511</v>
      </c>
      <c r="O417" s="20" t="s">
        <v>68</v>
      </c>
      <c r="Q417" s="20">
        <v>721346124</v>
      </c>
      <c r="R417" s="36" t="s">
        <v>88</v>
      </c>
      <c r="S417" s="5" t="s">
        <v>1156</v>
      </c>
      <c r="T417" s="24">
        <v>46146</v>
      </c>
      <c r="U417" s="137">
        <v>46104</v>
      </c>
      <c r="V417" s="137">
        <v>46140</v>
      </c>
      <c r="X417" s="30" t="s">
        <v>309</v>
      </c>
      <c r="Y417" s="30">
        <v>0.5</v>
      </c>
      <c r="AA417" s="337">
        <v>46117</v>
      </c>
      <c r="AB417" s="337">
        <v>46150</v>
      </c>
      <c r="AD417" s="56" t="s">
        <v>72</v>
      </c>
      <c r="AF417" s="65">
        <v>46127</v>
      </c>
      <c r="AG417" s="65">
        <v>46120</v>
      </c>
      <c r="AK417" s="178">
        <v>46137</v>
      </c>
      <c r="AL417" s="91">
        <v>17338.060000000001</v>
      </c>
      <c r="AM417" s="58"/>
      <c r="AN417" s="58"/>
      <c r="AR417" s="21"/>
    </row>
    <row r="418" spans="1:44" ht="18.649999999999999" customHeight="1">
      <c r="B418" s="222" t="s">
        <v>741</v>
      </c>
      <c r="D418" s="48" t="s">
        <v>48</v>
      </c>
      <c r="E418" s="49" t="s">
        <v>82</v>
      </c>
      <c r="F418" s="49" t="s">
        <v>392</v>
      </c>
      <c r="G418" s="61" t="s">
        <v>109</v>
      </c>
      <c r="H418" s="5">
        <v>1260</v>
      </c>
      <c r="I418" s="61" t="s">
        <v>110</v>
      </c>
      <c r="J418" s="33" t="s">
        <v>393</v>
      </c>
      <c r="K418" s="21" t="s">
        <v>53</v>
      </c>
      <c r="L418" s="177">
        <v>46071</v>
      </c>
      <c r="M418" s="214" t="s">
        <v>1158</v>
      </c>
      <c r="N418" s="5">
        <v>2245626414</v>
      </c>
      <c r="O418" s="20" t="s">
        <v>68</v>
      </c>
      <c r="Q418" s="5">
        <v>721397479</v>
      </c>
      <c r="R418" s="36" t="s">
        <v>88</v>
      </c>
      <c r="S418" s="5" t="s">
        <v>1159</v>
      </c>
      <c r="T418" s="24">
        <v>46174</v>
      </c>
      <c r="U418" s="137">
        <v>46132</v>
      </c>
      <c r="V418" s="137">
        <v>46168</v>
      </c>
      <c r="X418" s="30" t="s">
        <v>58</v>
      </c>
      <c r="Y418" s="30">
        <v>0.5</v>
      </c>
      <c r="AA418" s="137">
        <v>46133</v>
      </c>
      <c r="AB418" s="137">
        <v>46164</v>
      </c>
      <c r="AD418" s="56" t="s">
        <v>72</v>
      </c>
      <c r="AE418" s="21"/>
      <c r="AF418" s="137">
        <v>46134</v>
      </c>
      <c r="AG418" s="137">
        <v>46132</v>
      </c>
      <c r="AH418" s="21"/>
      <c r="AK418" s="275">
        <v>46157</v>
      </c>
      <c r="AL418" s="338">
        <v>98157.91</v>
      </c>
      <c r="AM418" s="58"/>
      <c r="AN418" s="58"/>
      <c r="AR418" s="21"/>
    </row>
    <row r="419" spans="1:44" ht="18.649999999999999" customHeight="1">
      <c r="B419" s="222" t="s">
        <v>741</v>
      </c>
      <c r="D419" s="48" t="s">
        <v>48</v>
      </c>
      <c r="E419" s="49" t="s">
        <v>82</v>
      </c>
      <c r="F419" s="49" t="s">
        <v>396</v>
      </c>
      <c r="G419" s="61" t="s">
        <v>114</v>
      </c>
      <c r="H419" s="5">
        <v>135</v>
      </c>
      <c r="I419" s="61" t="s">
        <v>110</v>
      </c>
      <c r="J419" s="33" t="s">
        <v>393</v>
      </c>
      <c r="K419" s="21" t="s">
        <v>53</v>
      </c>
      <c r="L419" s="177">
        <v>46071</v>
      </c>
      <c r="M419" s="214" t="s">
        <v>1160</v>
      </c>
      <c r="N419" s="5">
        <v>2245626414</v>
      </c>
      <c r="O419" s="20" t="s">
        <v>68</v>
      </c>
      <c r="Q419" s="5">
        <v>721397479</v>
      </c>
      <c r="R419" s="36" t="s">
        <v>88</v>
      </c>
      <c r="S419" s="5" t="s">
        <v>1159</v>
      </c>
      <c r="T419" s="24">
        <v>46174</v>
      </c>
      <c r="U419" s="137">
        <v>46132</v>
      </c>
      <c r="V419" s="137">
        <v>46168</v>
      </c>
      <c r="X419" s="30" t="s">
        <v>58</v>
      </c>
      <c r="Y419" s="30">
        <v>0.5</v>
      </c>
      <c r="AA419" s="137">
        <v>46133</v>
      </c>
      <c r="AB419" s="137">
        <v>46164</v>
      </c>
      <c r="AD419" s="56" t="s">
        <v>72</v>
      </c>
      <c r="AE419" s="21"/>
      <c r="AF419" s="137">
        <v>46134</v>
      </c>
      <c r="AG419" s="137">
        <v>46132</v>
      </c>
      <c r="AH419" s="21"/>
      <c r="AK419" s="275">
        <v>46157</v>
      </c>
      <c r="AL419" s="338">
        <v>13003.55</v>
      </c>
      <c r="AM419" s="58"/>
      <c r="AN419" s="58"/>
      <c r="AR419" s="21"/>
    </row>
    <row r="420" spans="1:44" ht="18.649999999999999" customHeight="1">
      <c r="A420" s="73" t="s">
        <v>710</v>
      </c>
      <c r="D420" s="48" t="s">
        <v>48</v>
      </c>
      <c r="E420" s="49" t="s">
        <v>171</v>
      </c>
      <c r="F420" s="49">
        <v>1000011836</v>
      </c>
      <c r="G420" s="107" t="s">
        <v>172</v>
      </c>
      <c r="H420" s="5">
        <v>50</v>
      </c>
      <c r="I420" s="108" t="s">
        <v>52</v>
      </c>
      <c r="J420" s="21" t="s">
        <v>1161</v>
      </c>
      <c r="L420" s="177">
        <v>46106</v>
      </c>
      <c r="M420" s="214" t="s">
        <v>1162</v>
      </c>
      <c r="N420" s="5" t="s">
        <v>1163</v>
      </c>
      <c r="O420" s="5" t="s">
        <v>176</v>
      </c>
      <c r="Q420" s="20" t="s">
        <v>1164</v>
      </c>
      <c r="R420" s="20" t="s">
        <v>178</v>
      </c>
      <c r="S420" s="5" t="s">
        <v>471</v>
      </c>
      <c r="T420" s="24">
        <v>46125</v>
      </c>
      <c r="U420" s="137">
        <v>46113</v>
      </c>
      <c r="V420" s="137">
        <v>46125</v>
      </c>
      <c r="X420" s="5" t="s">
        <v>309</v>
      </c>
      <c r="Y420" s="5">
        <v>0.5</v>
      </c>
      <c r="AA420" s="137">
        <v>46118</v>
      </c>
      <c r="AB420" s="137">
        <v>46132</v>
      </c>
      <c r="AC420" s="106">
        <f>AB420-V420</f>
        <v>7</v>
      </c>
      <c r="AD420" s="56" t="s">
        <v>72</v>
      </c>
      <c r="AE420" s="21"/>
      <c r="AF420" s="65">
        <v>46128</v>
      </c>
      <c r="AG420" s="65">
        <v>46114</v>
      </c>
      <c r="AH420" s="65">
        <v>46134</v>
      </c>
      <c r="AI420" s="177">
        <v>46136</v>
      </c>
      <c r="AJ420" s="177"/>
      <c r="AK420" s="178">
        <v>46127</v>
      </c>
      <c r="AL420" s="170">
        <v>7841.75</v>
      </c>
      <c r="AM420" s="58"/>
      <c r="AN420" s="58"/>
      <c r="AR420" s="21"/>
    </row>
    <row r="421" spans="1:44" ht="18.649999999999999" customHeight="1">
      <c r="A421" s="73" t="s">
        <v>710</v>
      </c>
      <c r="D421" s="48" t="s">
        <v>48</v>
      </c>
      <c r="E421" s="49" t="s">
        <v>171</v>
      </c>
      <c r="F421" s="49">
        <v>1000022205</v>
      </c>
      <c r="G421" s="107" t="s">
        <v>181</v>
      </c>
      <c r="H421" s="5">
        <v>100</v>
      </c>
      <c r="I421" s="108" t="s">
        <v>52</v>
      </c>
      <c r="J421" s="21" t="s">
        <v>1165</v>
      </c>
      <c r="L421" s="177">
        <v>46106</v>
      </c>
      <c r="M421" s="214" t="s">
        <v>1162</v>
      </c>
      <c r="N421" s="5" t="s">
        <v>1163</v>
      </c>
      <c r="O421" s="5" t="s">
        <v>176</v>
      </c>
      <c r="Q421" s="20" t="s">
        <v>1164</v>
      </c>
      <c r="R421" s="20" t="s">
        <v>178</v>
      </c>
      <c r="S421" s="5" t="s">
        <v>471</v>
      </c>
      <c r="T421" s="24">
        <v>46125</v>
      </c>
      <c r="U421" s="137">
        <v>46113</v>
      </c>
      <c r="V421" s="137">
        <v>46125</v>
      </c>
      <c r="X421" s="5" t="s">
        <v>309</v>
      </c>
      <c r="Y421" s="5">
        <v>0.5</v>
      </c>
      <c r="AA421" s="137">
        <v>46118</v>
      </c>
      <c r="AB421" s="137">
        <v>46132</v>
      </c>
      <c r="AC421" s="106">
        <f>AB421-V421</f>
        <v>7</v>
      </c>
      <c r="AD421" s="56" t="s">
        <v>72</v>
      </c>
      <c r="AE421" s="21"/>
      <c r="AF421" s="65">
        <v>46128</v>
      </c>
      <c r="AG421" s="65">
        <v>46114</v>
      </c>
      <c r="AH421" s="65">
        <v>46134</v>
      </c>
      <c r="AI421" s="177">
        <v>46136</v>
      </c>
      <c r="AJ421" s="177"/>
      <c r="AK421" s="178">
        <v>46127</v>
      </c>
      <c r="AL421" s="170">
        <v>16615.5</v>
      </c>
      <c r="AM421" s="58"/>
      <c r="AN421" s="58"/>
      <c r="AR421" s="21"/>
    </row>
    <row r="422" spans="1:44" ht="18.649999999999999" customHeight="1">
      <c r="A422" s="73" t="s">
        <v>710</v>
      </c>
      <c r="D422" s="48" t="s">
        <v>48</v>
      </c>
      <c r="E422" s="49" t="s">
        <v>171</v>
      </c>
      <c r="F422" s="49">
        <v>1000036622</v>
      </c>
      <c r="G422" s="107" t="s">
        <v>182</v>
      </c>
      <c r="H422" s="5">
        <v>500</v>
      </c>
      <c r="I422" s="108" t="s">
        <v>52</v>
      </c>
      <c r="J422" s="21" t="s">
        <v>1165</v>
      </c>
      <c r="L422" s="177">
        <v>46106</v>
      </c>
      <c r="M422" s="214" t="s">
        <v>1162</v>
      </c>
      <c r="N422" s="5" t="s">
        <v>1163</v>
      </c>
      <c r="O422" s="5" t="s">
        <v>176</v>
      </c>
      <c r="Q422" s="20" t="s">
        <v>1164</v>
      </c>
      <c r="R422" s="20" t="s">
        <v>178</v>
      </c>
      <c r="S422" s="5" t="s">
        <v>471</v>
      </c>
      <c r="T422" s="24">
        <v>46125</v>
      </c>
      <c r="U422" s="137">
        <v>46113</v>
      </c>
      <c r="V422" s="137">
        <v>46125</v>
      </c>
      <c r="X422" s="5" t="s">
        <v>309</v>
      </c>
      <c r="Y422" s="5">
        <v>0.5</v>
      </c>
      <c r="AA422" s="137">
        <v>46118</v>
      </c>
      <c r="AB422" s="137">
        <v>46132</v>
      </c>
      <c r="AC422" s="106">
        <f>AB422-V422</f>
        <v>7</v>
      </c>
      <c r="AD422" s="56" t="s">
        <v>72</v>
      </c>
      <c r="AE422" s="21"/>
      <c r="AF422" s="65">
        <v>46128</v>
      </c>
      <c r="AG422" s="65">
        <v>46114</v>
      </c>
      <c r="AH422" s="65">
        <v>46134</v>
      </c>
      <c r="AI422" s="177">
        <v>46136</v>
      </c>
      <c r="AJ422" s="177"/>
      <c r="AK422" s="178">
        <v>46127</v>
      </c>
      <c r="AL422" s="170">
        <v>82070.5</v>
      </c>
      <c r="AM422" s="58"/>
      <c r="AN422" s="58"/>
      <c r="AR422" s="21"/>
    </row>
    <row r="423" spans="1:44" ht="18.649999999999999" customHeight="1">
      <c r="A423" s="73" t="s">
        <v>1166</v>
      </c>
      <c r="B423" s="318" t="s">
        <v>93</v>
      </c>
      <c r="D423" s="48" t="s">
        <v>235</v>
      </c>
      <c r="E423" s="49" t="s">
        <v>236</v>
      </c>
      <c r="F423" s="23">
        <v>2000003094</v>
      </c>
      <c r="G423" s="21" t="s">
        <v>1167</v>
      </c>
      <c r="H423" s="5">
        <v>300</v>
      </c>
      <c r="I423" s="48" t="s">
        <v>239</v>
      </c>
      <c r="J423" s="21" t="s">
        <v>1168</v>
      </c>
      <c r="K423" s="21" t="s">
        <v>53</v>
      </c>
      <c r="L423" s="177">
        <v>46085</v>
      </c>
      <c r="M423" s="214" t="s">
        <v>1169</v>
      </c>
      <c r="N423" s="5" t="s">
        <v>1170</v>
      </c>
      <c r="O423" s="5" t="s">
        <v>55</v>
      </c>
      <c r="Q423" s="20" t="s">
        <v>1171</v>
      </c>
      <c r="R423" s="20" t="s">
        <v>1172</v>
      </c>
      <c r="S423" s="5" t="s">
        <v>1172</v>
      </c>
      <c r="T423" s="24">
        <v>46113</v>
      </c>
      <c r="U423" s="137">
        <v>46104</v>
      </c>
      <c r="V423" s="137">
        <v>46107</v>
      </c>
      <c r="X423" s="5" t="s">
        <v>209</v>
      </c>
      <c r="Y423" s="5">
        <v>1</v>
      </c>
      <c r="AA423" s="137">
        <v>46104</v>
      </c>
      <c r="AB423" s="137">
        <v>46108</v>
      </c>
      <c r="AD423" s="56" t="s">
        <v>72</v>
      </c>
      <c r="AE423" s="21"/>
      <c r="AF423" s="137">
        <v>46108</v>
      </c>
      <c r="AG423" s="137">
        <v>46105</v>
      </c>
      <c r="AH423" s="177">
        <v>46108</v>
      </c>
      <c r="AI423" s="177">
        <v>46111</v>
      </c>
      <c r="AJ423" s="177"/>
      <c r="AK423" s="178">
        <v>46127</v>
      </c>
      <c r="AL423" s="179">
        <v>345</v>
      </c>
      <c r="AM423" s="58"/>
      <c r="AN423" s="58"/>
      <c r="AR423" s="21"/>
    </row>
    <row r="424" spans="1:44" ht="21.5" customHeight="1">
      <c r="A424" s="78" t="s">
        <v>1173</v>
      </c>
      <c r="B424" s="339" t="s">
        <v>741</v>
      </c>
      <c r="C424" s="340">
        <v>46132</v>
      </c>
      <c r="D424" s="20" t="s">
        <v>48</v>
      </c>
      <c r="E424" s="23" t="s">
        <v>1174</v>
      </c>
      <c r="F424" s="23">
        <v>2000021255</v>
      </c>
      <c r="G424" s="341" t="s">
        <v>558</v>
      </c>
      <c r="H424" s="5">
        <v>96</v>
      </c>
      <c r="I424" s="5" t="s">
        <v>85</v>
      </c>
      <c r="J424" s="21" t="s">
        <v>1175</v>
      </c>
      <c r="K424" s="21"/>
      <c r="L424" s="177">
        <v>46083</v>
      </c>
      <c r="M424" s="342" t="s">
        <v>1176</v>
      </c>
      <c r="N424" s="5" t="s">
        <v>1177</v>
      </c>
      <c r="O424" s="20" t="s">
        <v>68</v>
      </c>
      <c r="Q424" s="343" t="s">
        <v>1178</v>
      </c>
      <c r="R424" s="20" t="s">
        <v>1179</v>
      </c>
      <c r="S424" s="344" t="s">
        <v>1180</v>
      </c>
      <c r="T424" s="345">
        <v>46113</v>
      </c>
      <c r="U424" s="346">
        <v>46132</v>
      </c>
      <c r="V424" s="346">
        <v>46146</v>
      </c>
      <c r="X424" s="30" t="s">
        <v>123</v>
      </c>
      <c r="Y424" s="30">
        <v>0.5</v>
      </c>
      <c r="AA424" s="346">
        <v>46135</v>
      </c>
      <c r="AB424" s="346">
        <v>46141</v>
      </c>
      <c r="AD424" s="56" t="s">
        <v>72</v>
      </c>
      <c r="AF424" s="137">
        <v>46147</v>
      </c>
      <c r="AG424" s="137">
        <v>46141</v>
      </c>
      <c r="AH424" s="137">
        <v>46150</v>
      </c>
      <c r="AI424" s="225"/>
      <c r="AJ424" s="225"/>
      <c r="AK424" s="275">
        <v>46157</v>
      </c>
      <c r="AL424" s="338">
        <v>2150.4</v>
      </c>
      <c r="AM424" s="58"/>
      <c r="AN424" s="58"/>
      <c r="AR424" s="21"/>
    </row>
    <row r="425" spans="1:44" ht="18.649999999999999" customHeight="1">
      <c r="A425" s="78" t="s">
        <v>1173</v>
      </c>
      <c r="B425" s="339" t="s">
        <v>741</v>
      </c>
      <c r="C425" s="340">
        <v>46132</v>
      </c>
      <c r="D425" s="20" t="s">
        <v>48</v>
      </c>
      <c r="E425" s="23" t="s">
        <v>1174</v>
      </c>
      <c r="F425" s="23">
        <v>2000006598</v>
      </c>
      <c r="G425" s="21" t="s">
        <v>126</v>
      </c>
      <c r="H425" s="5">
        <v>96</v>
      </c>
      <c r="I425" s="5" t="s">
        <v>85</v>
      </c>
      <c r="K425" s="21"/>
      <c r="L425" s="177">
        <v>46083</v>
      </c>
      <c r="M425" s="347" t="s">
        <v>1181</v>
      </c>
      <c r="N425" s="5" t="s">
        <v>1177</v>
      </c>
      <c r="O425" s="20" t="s">
        <v>68</v>
      </c>
      <c r="Q425" s="343" t="s">
        <v>1178</v>
      </c>
      <c r="R425" s="20" t="s">
        <v>1179</v>
      </c>
      <c r="S425" s="344" t="s">
        <v>1180</v>
      </c>
      <c r="T425" s="345">
        <v>46113</v>
      </c>
      <c r="U425" s="346">
        <v>46132</v>
      </c>
      <c r="V425" s="346">
        <v>46146</v>
      </c>
      <c r="X425" s="30" t="s">
        <v>123</v>
      </c>
      <c r="Y425" s="30">
        <v>0.5</v>
      </c>
      <c r="AA425" s="346">
        <v>46135</v>
      </c>
      <c r="AB425" s="346">
        <v>46141</v>
      </c>
      <c r="AD425" s="56" t="s">
        <v>72</v>
      </c>
      <c r="AF425" s="137">
        <v>46147</v>
      </c>
      <c r="AG425" s="137">
        <v>46141</v>
      </c>
      <c r="AH425" s="137">
        <v>46150</v>
      </c>
      <c r="AI425" s="225"/>
      <c r="AJ425" s="225"/>
      <c r="AK425" s="275">
        <v>46157</v>
      </c>
      <c r="AL425" s="338">
        <v>1969.92</v>
      </c>
      <c r="AM425" s="58"/>
      <c r="AN425" s="58"/>
      <c r="AR425" s="21"/>
    </row>
    <row r="426" spans="1:44" ht="18.649999999999999" customHeight="1">
      <c r="A426" s="78" t="s">
        <v>1173</v>
      </c>
      <c r="B426" s="339" t="s">
        <v>741</v>
      </c>
      <c r="C426" s="340">
        <v>46132</v>
      </c>
      <c r="D426" s="20" t="s">
        <v>48</v>
      </c>
      <c r="E426" s="23" t="s">
        <v>1174</v>
      </c>
      <c r="F426" s="23">
        <v>2000011048</v>
      </c>
      <c r="G426" s="21" t="s">
        <v>117</v>
      </c>
      <c r="H426" s="5">
        <v>64</v>
      </c>
      <c r="I426" s="5" t="s">
        <v>85</v>
      </c>
      <c r="K426" s="21"/>
      <c r="L426" s="177">
        <v>46083</v>
      </c>
      <c r="M426" s="347" t="s">
        <v>1181</v>
      </c>
      <c r="N426" s="5" t="s">
        <v>1177</v>
      </c>
      <c r="O426" s="20" t="s">
        <v>68</v>
      </c>
      <c r="Q426" s="343" t="s">
        <v>1178</v>
      </c>
      <c r="R426" s="20" t="s">
        <v>1179</v>
      </c>
      <c r="S426" s="344" t="s">
        <v>1180</v>
      </c>
      <c r="T426" s="345">
        <v>46113</v>
      </c>
      <c r="U426" s="346">
        <v>46132</v>
      </c>
      <c r="V426" s="346">
        <v>46146</v>
      </c>
      <c r="X426" s="30" t="s">
        <v>123</v>
      </c>
      <c r="Y426" s="30">
        <v>0.5</v>
      </c>
      <c r="AA426" s="346">
        <v>46135</v>
      </c>
      <c r="AB426" s="346">
        <v>46141</v>
      </c>
      <c r="AD426" s="56" t="s">
        <v>72</v>
      </c>
      <c r="AF426" s="137">
        <v>46147</v>
      </c>
      <c r="AG426" s="137">
        <v>46141</v>
      </c>
      <c r="AH426" s="137">
        <v>46150</v>
      </c>
      <c r="AI426" s="225"/>
      <c r="AJ426" s="225"/>
      <c r="AK426" s="275">
        <v>46157</v>
      </c>
      <c r="AL426" s="338">
        <v>1116.8</v>
      </c>
      <c r="AM426" s="58"/>
      <c r="AN426" s="58"/>
      <c r="AR426" s="21"/>
    </row>
    <row r="427" spans="1:44" ht="18.649999999999999" customHeight="1">
      <c r="A427" s="78" t="s">
        <v>1173</v>
      </c>
      <c r="B427" s="339" t="s">
        <v>741</v>
      </c>
      <c r="C427" s="340">
        <v>46132</v>
      </c>
      <c r="D427" s="20" t="s">
        <v>48</v>
      </c>
      <c r="E427" s="23" t="s">
        <v>1174</v>
      </c>
      <c r="F427" s="23">
        <v>2000020375</v>
      </c>
      <c r="G427" s="21" t="s">
        <v>124</v>
      </c>
      <c r="H427" s="348" t="s">
        <v>1182</v>
      </c>
      <c r="I427" s="5" t="s">
        <v>85</v>
      </c>
      <c r="K427" s="21"/>
      <c r="L427" s="177">
        <v>46083</v>
      </c>
      <c r="M427" s="347" t="s">
        <v>1181</v>
      </c>
      <c r="N427" s="5" t="s">
        <v>1177</v>
      </c>
      <c r="O427" s="20" t="s">
        <v>68</v>
      </c>
      <c r="Q427" s="343" t="s">
        <v>1178</v>
      </c>
      <c r="R427" s="20" t="s">
        <v>1179</v>
      </c>
      <c r="S427" s="344" t="s">
        <v>1180</v>
      </c>
      <c r="T427" s="345">
        <v>46113</v>
      </c>
      <c r="U427" s="346">
        <v>46132</v>
      </c>
      <c r="V427" s="346">
        <v>46146</v>
      </c>
      <c r="X427" s="30" t="s">
        <v>123</v>
      </c>
      <c r="Y427" s="30">
        <v>0.5</v>
      </c>
      <c r="AA427" s="346">
        <v>46135</v>
      </c>
      <c r="AB427" s="346">
        <v>46141</v>
      </c>
      <c r="AD427" s="56" t="s">
        <v>72</v>
      </c>
      <c r="AF427" s="137">
        <v>46147</v>
      </c>
      <c r="AG427" s="137">
        <v>46141</v>
      </c>
      <c r="AH427" s="137">
        <v>46150</v>
      </c>
      <c r="AI427" s="225"/>
      <c r="AJ427" s="225"/>
      <c r="AK427" s="275">
        <v>46157</v>
      </c>
      <c r="AL427" s="338">
        <v>12746.88</v>
      </c>
      <c r="AM427" s="58"/>
      <c r="AN427" s="58"/>
      <c r="AR427" s="21"/>
    </row>
    <row r="428" spans="1:44" ht="18.649999999999999" customHeight="1">
      <c r="A428" s="78" t="s">
        <v>1173</v>
      </c>
      <c r="B428" s="339" t="s">
        <v>741</v>
      </c>
      <c r="C428" s="340">
        <v>46132</v>
      </c>
      <c r="D428" s="20" t="s">
        <v>48</v>
      </c>
      <c r="E428" s="23" t="s">
        <v>1174</v>
      </c>
      <c r="F428" s="23">
        <v>2000019417</v>
      </c>
      <c r="G428" s="21" t="s">
        <v>128</v>
      </c>
      <c r="H428" s="348" t="s">
        <v>1183</v>
      </c>
      <c r="I428" s="5" t="s">
        <v>129</v>
      </c>
      <c r="K428" s="21"/>
      <c r="L428" s="177">
        <v>46083</v>
      </c>
      <c r="M428" s="347" t="s">
        <v>1181</v>
      </c>
      <c r="N428" s="5" t="s">
        <v>1177</v>
      </c>
      <c r="O428" s="20" t="s">
        <v>68</v>
      </c>
      <c r="Q428" s="343" t="s">
        <v>1178</v>
      </c>
      <c r="R428" s="20" t="s">
        <v>1179</v>
      </c>
      <c r="S428" s="344" t="s">
        <v>1180</v>
      </c>
      <c r="T428" s="345">
        <v>46113</v>
      </c>
      <c r="U428" s="346">
        <v>46132</v>
      </c>
      <c r="V428" s="346">
        <v>46146</v>
      </c>
      <c r="X428" s="30" t="s">
        <v>123</v>
      </c>
      <c r="Y428" s="30">
        <v>0.5</v>
      </c>
      <c r="AA428" s="346">
        <v>46135</v>
      </c>
      <c r="AB428" s="346">
        <v>46141</v>
      </c>
      <c r="AD428" s="56" t="s">
        <v>72</v>
      </c>
      <c r="AF428" s="137">
        <v>46147</v>
      </c>
      <c r="AG428" s="137">
        <v>46141</v>
      </c>
      <c r="AH428" s="137">
        <v>46150</v>
      </c>
      <c r="AI428" s="225"/>
      <c r="AJ428" s="225"/>
      <c r="AK428" s="275">
        <v>46157</v>
      </c>
      <c r="AL428" s="338">
        <v>2377.08</v>
      </c>
      <c r="AM428" s="58"/>
      <c r="AN428" s="58"/>
      <c r="AR428" s="21"/>
    </row>
    <row r="429" spans="1:44" ht="18.649999999999999" customHeight="1">
      <c r="A429" s="78" t="s">
        <v>1173</v>
      </c>
      <c r="B429" s="339" t="s">
        <v>741</v>
      </c>
      <c r="C429" s="340">
        <v>46132</v>
      </c>
      <c r="D429" s="20" t="s">
        <v>48</v>
      </c>
      <c r="E429" s="23" t="s">
        <v>1174</v>
      </c>
      <c r="F429" s="23">
        <v>2000007005</v>
      </c>
      <c r="G429" s="21" t="s">
        <v>1184</v>
      </c>
      <c r="H429" s="348" t="s">
        <v>1185</v>
      </c>
      <c r="I429" s="5" t="s">
        <v>85</v>
      </c>
      <c r="K429" s="21"/>
      <c r="L429" s="177">
        <v>46083</v>
      </c>
      <c r="M429" s="347" t="s">
        <v>1181</v>
      </c>
      <c r="N429" s="5" t="s">
        <v>1177</v>
      </c>
      <c r="O429" s="20" t="s">
        <v>68</v>
      </c>
      <c r="Q429" s="343" t="s">
        <v>1178</v>
      </c>
      <c r="R429" s="20" t="s">
        <v>1179</v>
      </c>
      <c r="S429" s="344" t="s">
        <v>1180</v>
      </c>
      <c r="T429" s="345">
        <v>46113</v>
      </c>
      <c r="U429" s="346">
        <v>46132</v>
      </c>
      <c r="V429" s="346">
        <v>46146</v>
      </c>
      <c r="X429" s="30" t="s">
        <v>123</v>
      </c>
      <c r="Y429" s="30">
        <v>0.5</v>
      </c>
      <c r="AA429" s="346">
        <v>46135</v>
      </c>
      <c r="AB429" s="346">
        <v>46141</v>
      </c>
      <c r="AD429" s="56" t="s">
        <v>72</v>
      </c>
      <c r="AF429" s="137">
        <v>46147</v>
      </c>
      <c r="AG429" s="137">
        <v>46141</v>
      </c>
      <c r="AH429" s="137">
        <v>46150</v>
      </c>
      <c r="AI429" s="225"/>
      <c r="AJ429" s="225"/>
      <c r="AK429" s="275">
        <v>46157</v>
      </c>
      <c r="AL429" s="338">
        <v>2559.6</v>
      </c>
      <c r="AM429" s="58"/>
      <c r="AN429" s="58"/>
      <c r="AR429" s="21"/>
    </row>
    <row r="430" spans="1:44" ht="18.649999999999999" customHeight="1">
      <c r="A430" s="78" t="s">
        <v>1173</v>
      </c>
      <c r="B430" s="339" t="s">
        <v>741</v>
      </c>
      <c r="C430" s="340">
        <v>46132</v>
      </c>
      <c r="D430" s="20" t="s">
        <v>48</v>
      </c>
      <c r="E430" s="23" t="s">
        <v>1174</v>
      </c>
      <c r="F430" s="23">
        <v>2000000418</v>
      </c>
      <c r="G430" s="21" t="s">
        <v>130</v>
      </c>
      <c r="H430" s="348" t="s">
        <v>1186</v>
      </c>
      <c r="I430" s="5" t="s">
        <v>129</v>
      </c>
      <c r="K430" s="21"/>
      <c r="L430" s="177">
        <v>46083</v>
      </c>
      <c r="M430" s="347" t="s">
        <v>1181</v>
      </c>
      <c r="N430" s="5" t="s">
        <v>1177</v>
      </c>
      <c r="O430" s="20" t="s">
        <v>68</v>
      </c>
      <c r="Q430" s="343" t="s">
        <v>1178</v>
      </c>
      <c r="R430" s="20" t="s">
        <v>1179</v>
      </c>
      <c r="S430" s="344" t="s">
        <v>1180</v>
      </c>
      <c r="T430" s="345">
        <v>46113</v>
      </c>
      <c r="U430" s="346">
        <v>46132</v>
      </c>
      <c r="V430" s="346">
        <v>46146</v>
      </c>
      <c r="X430" s="30" t="s">
        <v>123</v>
      </c>
      <c r="Y430" s="30">
        <v>0.5</v>
      </c>
      <c r="AA430" s="346">
        <v>46135</v>
      </c>
      <c r="AB430" s="346">
        <v>46141</v>
      </c>
      <c r="AD430" s="56" t="s">
        <v>72</v>
      </c>
      <c r="AF430" s="137">
        <v>46147</v>
      </c>
      <c r="AG430" s="137">
        <v>46141</v>
      </c>
      <c r="AH430" s="137">
        <v>46150</v>
      </c>
      <c r="AI430" s="225"/>
      <c r="AJ430" s="225"/>
      <c r="AK430" s="275">
        <v>46157</v>
      </c>
      <c r="AL430" s="338">
        <v>2384.5500000000002</v>
      </c>
      <c r="AM430" s="58"/>
      <c r="AN430" s="58"/>
      <c r="AR430" s="21"/>
    </row>
    <row r="431" spans="1:44" ht="18.649999999999999" customHeight="1">
      <c r="A431" s="78" t="s">
        <v>1173</v>
      </c>
      <c r="B431" s="339" t="s">
        <v>741</v>
      </c>
      <c r="C431" s="340">
        <v>46132</v>
      </c>
      <c r="D431" s="20" t="s">
        <v>48</v>
      </c>
      <c r="E431" s="23" t="s">
        <v>1174</v>
      </c>
      <c r="F431" s="23">
        <v>2000003583</v>
      </c>
      <c r="G431" s="21" t="s">
        <v>131</v>
      </c>
      <c r="H431" s="348" t="s">
        <v>1187</v>
      </c>
      <c r="I431" s="5" t="s">
        <v>85</v>
      </c>
      <c r="K431" s="21"/>
      <c r="L431" s="177">
        <v>46083</v>
      </c>
      <c r="M431" s="347" t="s">
        <v>1181</v>
      </c>
      <c r="N431" s="5" t="s">
        <v>1177</v>
      </c>
      <c r="O431" s="20" t="s">
        <v>68</v>
      </c>
      <c r="Q431" s="343" t="s">
        <v>1178</v>
      </c>
      <c r="R431" s="20" t="s">
        <v>1179</v>
      </c>
      <c r="S431" s="344" t="s">
        <v>1180</v>
      </c>
      <c r="T431" s="345">
        <v>46113</v>
      </c>
      <c r="U431" s="346">
        <v>46132</v>
      </c>
      <c r="V431" s="346">
        <v>46146</v>
      </c>
      <c r="X431" s="30" t="s">
        <v>123</v>
      </c>
      <c r="Y431" s="30">
        <v>0.5</v>
      </c>
      <c r="AA431" s="346">
        <v>46135</v>
      </c>
      <c r="AB431" s="346">
        <v>46141</v>
      </c>
      <c r="AD431" s="56" t="s">
        <v>72</v>
      </c>
      <c r="AF431" s="137">
        <v>46147</v>
      </c>
      <c r="AG431" s="137">
        <v>46141</v>
      </c>
      <c r="AH431" s="137">
        <v>46150</v>
      </c>
      <c r="AI431" s="225"/>
      <c r="AJ431" s="225"/>
      <c r="AK431" s="275">
        <v>46157</v>
      </c>
      <c r="AL431" s="338">
        <v>3528</v>
      </c>
      <c r="AM431" s="58"/>
      <c r="AN431" s="58"/>
      <c r="AR431" s="21"/>
    </row>
    <row r="432" spans="1:44" ht="18.649999999999999" customHeight="1">
      <c r="A432" s="78" t="s">
        <v>1173</v>
      </c>
      <c r="B432" s="339" t="s">
        <v>741</v>
      </c>
      <c r="C432" s="340">
        <v>46132</v>
      </c>
      <c r="D432" s="20" t="s">
        <v>48</v>
      </c>
      <c r="E432" s="23" t="s">
        <v>1174</v>
      </c>
      <c r="F432" s="23">
        <v>2000021031</v>
      </c>
      <c r="G432" s="21" t="s">
        <v>132</v>
      </c>
      <c r="H432" s="348" t="s">
        <v>1188</v>
      </c>
      <c r="I432" s="5" t="s">
        <v>85</v>
      </c>
      <c r="K432" s="21"/>
      <c r="L432" s="177">
        <v>46083</v>
      </c>
      <c r="M432" s="347" t="s">
        <v>1181</v>
      </c>
      <c r="N432" s="5" t="s">
        <v>1177</v>
      </c>
      <c r="O432" s="20" t="s">
        <v>68</v>
      </c>
      <c r="Q432" s="343" t="s">
        <v>1178</v>
      </c>
      <c r="R432" s="20" t="s">
        <v>1179</v>
      </c>
      <c r="S432" s="344" t="s">
        <v>1180</v>
      </c>
      <c r="T432" s="345">
        <v>46113</v>
      </c>
      <c r="U432" s="346">
        <v>46132</v>
      </c>
      <c r="V432" s="346">
        <v>46146</v>
      </c>
      <c r="X432" s="30" t="s">
        <v>123</v>
      </c>
      <c r="Y432" s="30">
        <v>0.5</v>
      </c>
      <c r="AA432" s="346">
        <v>46135</v>
      </c>
      <c r="AB432" s="346">
        <v>46141</v>
      </c>
      <c r="AD432" s="56" t="s">
        <v>72</v>
      </c>
      <c r="AF432" s="137">
        <v>46147</v>
      </c>
      <c r="AG432" s="137">
        <v>46141</v>
      </c>
      <c r="AH432" s="137">
        <v>46150</v>
      </c>
      <c r="AI432" s="225"/>
      <c r="AJ432" s="225"/>
      <c r="AK432" s="275">
        <v>46157</v>
      </c>
      <c r="AL432" s="338">
        <v>2901.36</v>
      </c>
      <c r="AM432" s="58"/>
      <c r="AN432" s="58"/>
      <c r="AR432" s="21"/>
    </row>
    <row r="433" spans="1:45" ht="18.649999999999999" customHeight="1">
      <c r="D433" s="20" t="s">
        <v>81</v>
      </c>
      <c r="E433" s="31" t="s">
        <v>161</v>
      </c>
      <c r="F433" s="49">
        <v>1000038682</v>
      </c>
      <c r="G433" s="61" t="s">
        <v>1189</v>
      </c>
      <c r="H433" s="20">
        <v>1008</v>
      </c>
      <c r="I433" s="48" t="s">
        <v>163</v>
      </c>
      <c r="J433" s="293" t="s">
        <v>1190</v>
      </c>
      <c r="K433" s="21" t="s">
        <v>53</v>
      </c>
      <c r="L433" s="177">
        <v>46100</v>
      </c>
      <c r="M433" s="214" t="s">
        <v>1191</v>
      </c>
      <c r="N433" s="5" t="s">
        <v>1192</v>
      </c>
      <c r="O433" s="20" t="s">
        <v>150</v>
      </c>
      <c r="Q433" s="5" t="s">
        <v>1193</v>
      </c>
      <c r="R433" s="20" t="s">
        <v>1194</v>
      </c>
      <c r="S433" s="5" t="s">
        <v>1195</v>
      </c>
      <c r="T433" s="24">
        <v>46113</v>
      </c>
      <c r="U433" s="137">
        <v>46117</v>
      </c>
      <c r="V433" s="137">
        <v>46123</v>
      </c>
      <c r="X433" s="20" t="s">
        <v>170</v>
      </c>
      <c r="Y433" s="20">
        <v>1</v>
      </c>
      <c r="AA433" s="137">
        <v>46117</v>
      </c>
      <c r="AB433" s="137">
        <v>46123</v>
      </c>
      <c r="AD433" s="42" t="s">
        <v>59</v>
      </c>
      <c r="AE433" s="21"/>
      <c r="AF433" s="137">
        <v>46127</v>
      </c>
      <c r="AG433" s="137">
        <v>46120</v>
      </c>
      <c r="AH433" s="137">
        <v>46133</v>
      </c>
      <c r="AI433" s="177">
        <v>46135</v>
      </c>
      <c r="AJ433" s="177"/>
      <c r="AK433" s="178">
        <v>46106</v>
      </c>
      <c r="AL433" s="179">
        <v>24988.400000000001</v>
      </c>
      <c r="AM433" s="58"/>
      <c r="AN433" s="58"/>
      <c r="AR433" s="21"/>
    </row>
    <row r="434" spans="1:45" ht="18.649999999999999" customHeight="1">
      <c r="B434" s="323" t="s">
        <v>896</v>
      </c>
      <c r="C434" s="340">
        <v>46164</v>
      </c>
      <c r="D434" s="20" t="s">
        <v>81</v>
      </c>
      <c r="E434" s="22" t="s">
        <v>161</v>
      </c>
      <c r="F434" s="49">
        <v>1000038682</v>
      </c>
      <c r="G434" s="61" t="s">
        <v>1189</v>
      </c>
      <c r="H434" s="20">
        <v>1008</v>
      </c>
      <c r="I434" s="48" t="s">
        <v>163</v>
      </c>
      <c r="J434" s="293" t="s">
        <v>1196</v>
      </c>
      <c r="K434" s="21" t="s">
        <v>53</v>
      </c>
      <c r="L434" s="177">
        <v>46101</v>
      </c>
      <c r="M434" s="20" t="s">
        <v>1197</v>
      </c>
      <c r="N434" s="5" t="s">
        <v>1198</v>
      </c>
      <c r="O434" s="20" t="s">
        <v>150</v>
      </c>
      <c r="Q434" s="5"/>
      <c r="T434" s="24">
        <v>46174</v>
      </c>
      <c r="U434" s="349"/>
      <c r="V434" s="349"/>
      <c r="X434" s="20" t="s">
        <v>170</v>
      </c>
      <c r="Y434" s="20">
        <v>1</v>
      </c>
      <c r="AD434" s="42" t="s">
        <v>59</v>
      </c>
      <c r="AE434" s="21"/>
      <c r="AF434" s="21"/>
      <c r="AH434" s="21"/>
      <c r="AK434" s="275">
        <v>46157</v>
      </c>
      <c r="AL434" s="276">
        <v>24998.400000000001</v>
      </c>
      <c r="AM434" s="58"/>
      <c r="AN434" s="58"/>
      <c r="AR434" s="21"/>
    </row>
    <row r="435" spans="1:45" ht="18.649999999999999" customHeight="1">
      <c r="B435" s="323" t="s">
        <v>896</v>
      </c>
      <c r="C435" s="340">
        <v>46210</v>
      </c>
      <c r="D435" s="20" t="s">
        <v>81</v>
      </c>
      <c r="E435" s="22" t="s">
        <v>161</v>
      </c>
      <c r="F435" s="49">
        <v>1000038682</v>
      </c>
      <c r="G435" s="61" t="s">
        <v>1189</v>
      </c>
      <c r="H435" s="20">
        <v>1008</v>
      </c>
      <c r="I435" s="48" t="s">
        <v>163</v>
      </c>
      <c r="J435" s="293" t="s">
        <v>1199</v>
      </c>
      <c r="K435" s="21" t="s">
        <v>53</v>
      </c>
      <c r="L435" s="177">
        <v>46101</v>
      </c>
      <c r="M435" s="20" t="s">
        <v>1200</v>
      </c>
      <c r="N435" s="5" t="s">
        <v>1201</v>
      </c>
      <c r="O435" s="20" t="s">
        <v>150</v>
      </c>
      <c r="Q435" s="5"/>
      <c r="T435" s="24">
        <v>46235</v>
      </c>
      <c r="U435" s="349"/>
      <c r="V435" s="349"/>
      <c r="X435" s="20" t="s">
        <v>170</v>
      </c>
      <c r="Y435" s="20">
        <v>1</v>
      </c>
      <c r="AD435" s="42" t="s">
        <v>59</v>
      </c>
      <c r="AE435" s="21"/>
      <c r="AF435" s="21"/>
      <c r="AH435" s="21"/>
      <c r="AM435" s="58"/>
      <c r="AN435" s="58"/>
      <c r="AR435" s="21"/>
    </row>
    <row r="436" spans="1:45" ht="18.649999999999999" customHeight="1">
      <c r="D436" s="20" t="s">
        <v>81</v>
      </c>
      <c r="E436" s="22" t="s">
        <v>161</v>
      </c>
      <c r="F436" s="49">
        <v>1000038682</v>
      </c>
      <c r="G436" s="61" t="s">
        <v>1189</v>
      </c>
      <c r="H436" s="20">
        <v>1008</v>
      </c>
      <c r="I436" s="48" t="s">
        <v>163</v>
      </c>
      <c r="J436" s="293" t="s">
        <v>1202</v>
      </c>
      <c r="O436" s="20" t="s">
        <v>150</v>
      </c>
      <c r="Q436" s="5"/>
      <c r="T436" s="24">
        <v>46296</v>
      </c>
      <c r="X436" s="20" t="s">
        <v>170</v>
      </c>
      <c r="Y436" s="20">
        <v>1</v>
      </c>
      <c r="AD436" s="42" t="s">
        <v>59</v>
      </c>
      <c r="AE436" s="21"/>
      <c r="AF436" s="21"/>
      <c r="AH436" s="21"/>
      <c r="AM436" s="58"/>
      <c r="AN436" s="58"/>
      <c r="AR436" s="21"/>
    </row>
    <row r="437" spans="1:45" ht="18.649999999999999" customHeight="1">
      <c r="D437" s="20" t="s">
        <v>81</v>
      </c>
      <c r="E437" s="22" t="s">
        <v>161</v>
      </c>
      <c r="F437" s="49">
        <v>1000038682</v>
      </c>
      <c r="G437" s="61" t="s">
        <v>1189</v>
      </c>
      <c r="H437" s="20">
        <v>1008</v>
      </c>
      <c r="I437" s="48" t="s">
        <v>163</v>
      </c>
      <c r="J437" s="293" t="s">
        <v>1203</v>
      </c>
      <c r="O437" s="20" t="s">
        <v>150</v>
      </c>
      <c r="Q437" s="5"/>
      <c r="T437" s="24">
        <v>46357</v>
      </c>
      <c r="X437" s="20" t="s">
        <v>170</v>
      </c>
      <c r="Y437" s="20">
        <v>1</v>
      </c>
      <c r="AD437" s="42" t="s">
        <v>59</v>
      </c>
      <c r="AE437" s="21"/>
      <c r="AF437" s="21"/>
      <c r="AH437" s="21"/>
      <c r="AM437" s="58"/>
      <c r="AN437" s="58"/>
      <c r="AR437" s="21"/>
    </row>
    <row r="438" spans="1:45" ht="18.649999999999999" customHeight="1">
      <c r="D438" s="20" t="s">
        <v>81</v>
      </c>
      <c r="E438" s="22" t="s">
        <v>161</v>
      </c>
      <c r="F438" s="49">
        <v>1000038682</v>
      </c>
      <c r="G438" s="61" t="s">
        <v>1189</v>
      </c>
      <c r="H438" s="20">
        <v>1008</v>
      </c>
      <c r="I438" s="48" t="s">
        <v>163</v>
      </c>
      <c r="J438" s="293" t="s">
        <v>1204</v>
      </c>
      <c r="O438" s="20" t="s">
        <v>150</v>
      </c>
      <c r="Q438" s="5"/>
      <c r="T438" s="24">
        <v>46419</v>
      </c>
      <c r="X438" s="20" t="s">
        <v>170</v>
      </c>
      <c r="Y438" s="20">
        <v>1</v>
      </c>
      <c r="AD438" s="42" t="s">
        <v>59</v>
      </c>
      <c r="AE438" s="21"/>
      <c r="AF438" s="21"/>
      <c r="AH438" s="21"/>
      <c r="AM438" s="58"/>
      <c r="AN438" s="58"/>
      <c r="AR438" s="21"/>
    </row>
    <row r="439" spans="1:45" ht="18.649999999999999" customHeight="1">
      <c r="D439" s="20" t="s">
        <v>81</v>
      </c>
      <c r="E439" s="22" t="s">
        <v>161</v>
      </c>
      <c r="F439" s="49">
        <v>1000038682</v>
      </c>
      <c r="G439" s="61" t="s">
        <v>1189</v>
      </c>
      <c r="H439" s="20">
        <v>1008</v>
      </c>
      <c r="I439" s="48" t="s">
        <v>163</v>
      </c>
      <c r="J439" s="293" t="s">
        <v>1205</v>
      </c>
      <c r="O439" s="20" t="s">
        <v>150</v>
      </c>
      <c r="Q439" s="5"/>
      <c r="T439" s="24">
        <v>46478</v>
      </c>
      <c r="X439" s="20" t="s">
        <v>170</v>
      </c>
      <c r="Y439" s="20">
        <v>1</v>
      </c>
      <c r="AD439" s="42" t="s">
        <v>59</v>
      </c>
      <c r="AE439" s="21"/>
      <c r="AF439" s="21"/>
      <c r="AH439" s="21"/>
      <c r="AM439" s="58"/>
      <c r="AN439" s="58"/>
      <c r="AR439" s="21"/>
    </row>
    <row r="440" spans="1:45" ht="18.649999999999999" customHeight="1">
      <c r="A440" s="217" t="s">
        <v>957</v>
      </c>
      <c r="B440" s="350" t="s">
        <v>741</v>
      </c>
      <c r="C440" s="137">
        <v>46126</v>
      </c>
      <c r="D440" s="20" t="s">
        <v>352</v>
      </c>
      <c r="E440" s="22" t="s">
        <v>74</v>
      </c>
      <c r="F440" s="49">
        <v>1000031958</v>
      </c>
      <c r="G440" s="61" t="s">
        <v>353</v>
      </c>
      <c r="H440" s="20">
        <v>3640</v>
      </c>
      <c r="I440" s="48" t="s">
        <v>52</v>
      </c>
      <c r="J440" s="351" t="s">
        <v>1206</v>
      </c>
      <c r="K440" s="21" t="s">
        <v>53</v>
      </c>
      <c r="L440" s="177">
        <v>46090</v>
      </c>
      <c r="M440" s="214" t="s">
        <v>1207</v>
      </c>
      <c r="N440" s="5" t="s">
        <v>1208</v>
      </c>
      <c r="O440" s="30" t="s">
        <v>68</v>
      </c>
      <c r="Q440" s="334" t="s">
        <v>1209</v>
      </c>
      <c r="R440" s="30" t="s">
        <v>79</v>
      </c>
      <c r="S440" s="5" t="s">
        <v>1210</v>
      </c>
      <c r="T440" s="24">
        <v>46115</v>
      </c>
      <c r="U440" s="137">
        <v>46129</v>
      </c>
      <c r="V440" s="137">
        <v>46149</v>
      </c>
      <c r="X440" s="40" t="s">
        <v>58</v>
      </c>
      <c r="Y440" s="40">
        <v>2</v>
      </c>
      <c r="AA440" s="137">
        <v>46129</v>
      </c>
      <c r="AB440" s="137">
        <v>46149</v>
      </c>
      <c r="AD440" s="42" t="s">
        <v>59</v>
      </c>
      <c r="AF440" s="137">
        <v>46140</v>
      </c>
      <c r="AG440" s="137">
        <v>46137</v>
      </c>
      <c r="AH440" s="5"/>
      <c r="AJ440" s="21" t="s">
        <v>1211</v>
      </c>
      <c r="AK440" s="178">
        <v>46137</v>
      </c>
      <c r="AL440" s="184">
        <v>43225</v>
      </c>
      <c r="AM440" s="58"/>
      <c r="AN440" s="58"/>
      <c r="AR440" s="21"/>
    </row>
    <row r="441" spans="1:45" ht="18.649999999999999" customHeight="1">
      <c r="A441" s="217" t="s">
        <v>957</v>
      </c>
      <c r="B441" s="323" t="s">
        <v>896</v>
      </c>
      <c r="C441" s="326"/>
      <c r="D441" s="20" t="s">
        <v>352</v>
      </c>
      <c r="E441" s="22" t="s">
        <v>74</v>
      </c>
      <c r="F441" s="49">
        <v>1000031958</v>
      </c>
      <c r="G441" s="61" t="s">
        <v>353</v>
      </c>
      <c r="H441" s="20">
        <v>3640</v>
      </c>
      <c r="I441" s="48" t="s">
        <v>52</v>
      </c>
      <c r="J441" s="351" t="s">
        <v>1212</v>
      </c>
      <c r="K441" s="21" t="s">
        <v>53</v>
      </c>
      <c r="L441" s="177">
        <v>46090</v>
      </c>
      <c r="M441" s="20" t="s">
        <v>1213</v>
      </c>
      <c r="N441" s="5" t="s">
        <v>1214</v>
      </c>
      <c r="O441" s="30" t="s">
        <v>68</v>
      </c>
      <c r="Q441" s="5"/>
      <c r="T441" s="24">
        <v>46146</v>
      </c>
      <c r="X441" s="40" t="s">
        <v>58</v>
      </c>
      <c r="Y441" s="40">
        <v>2</v>
      </c>
      <c r="AB441" s="20" t="s">
        <v>1215</v>
      </c>
      <c r="AD441" s="42" t="s">
        <v>59</v>
      </c>
      <c r="AH441" s="5"/>
      <c r="AJ441" s="21" t="s">
        <v>53</v>
      </c>
      <c r="AM441" s="58"/>
      <c r="AN441" s="58"/>
      <c r="AR441" s="21"/>
    </row>
    <row r="442" spans="1:45" ht="18.5" customHeight="1">
      <c r="A442" s="217" t="s">
        <v>957</v>
      </c>
      <c r="B442" s="323" t="s">
        <v>896</v>
      </c>
      <c r="C442" s="326"/>
      <c r="D442" s="20" t="s">
        <v>352</v>
      </c>
      <c r="E442" s="22" t="s">
        <v>74</v>
      </c>
      <c r="F442" s="49">
        <v>1000031958</v>
      </c>
      <c r="G442" s="61" t="s">
        <v>353</v>
      </c>
      <c r="H442" s="20">
        <v>3640</v>
      </c>
      <c r="I442" s="48" t="s">
        <v>52</v>
      </c>
      <c r="J442" s="351" t="s">
        <v>1216</v>
      </c>
      <c r="K442" s="21" t="s">
        <v>53</v>
      </c>
      <c r="L442" s="177">
        <v>46090</v>
      </c>
      <c r="M442" s="20" t="s">
        <v>1217</v>
      </c>
      <c r="N442" s="5" t="s">
        <v>1218</v>
      </c>
      <c r="O442" s="30" t="s">
        <v>68</v>
      </c>
      <c r="Q442" s="5"/>
      <c r="T442" s="24">
        <v>46176</v>
      </c>
      <c r="X442" s="40" t="s">
        <v>58</v>
      </c>
      <c r="Y442" s="40">
        <v>2</v>
      </c>
      <c r="AD442" s="42" t="s">
        <v>59</v>
      </c>
      <c r="AE442" s="21"/>
      <c r="AF442" s="21"/>
      <c r="AH442" s="21"/>
      <c r="AM442" s="58"/>
      <c r="AN442" s="58"/>
      <c r="AR442" s="21"/>
    </row>
    <row r="443" spans="1:45" ht="18.649999999999999" customHeight="1">
      <c r="A443" s="20" t="s">
        <v>53</v>
      </c>
      <c r="B443" s="199" t="s">
        <v>93</v>
      </c>
      <c r="D443" s="48" t="s">
        <v>235</v>
      </c>
      <c r="E443" s="49" t="s">
        <v>236</v>
      </c>
      <c r="F443" s="49">
        <v>2000017284</v>
      </c>
      <c r="G443" s="61" t="s">
        <v>237</v>
      </c>
      <c r="H443" s="48">
        <v>2000</v>
      </c>
      <c r="I443" s="48" t="s">
        <v>239</v>
      </c>
      <c r="J443" s="21" t="s">
        <v>1072</v>
      </c>
      <c r="K443" s="21"/>
      <c r="L443" s="177">
        <v>46085</v>
      </c>
      <c r="M443" s="20" t="s">
        <v>1219</v>
      </c>
      <c r="O443" s="5" t="s">
        <v>55</v>
      </c>
      <c r="T443" s="24">
        <v>46113</v>
      </c>
      <c r="U443" s="282">
        <v>46158</v>
      </c>
      <c r="V443" s="282">
        <v>46170</v>
      </c>
      <c r="X443" s="5" t="s">
        <v>209</v>
      </c>
      <c r="Y443" s="5">
        <v>1</v>
      </c>
      <c r="AA443" s="282">
        <v>46158</v>
      </c>
      <c r="AB443" s="282">
        <v>46170</v>
      </c>
      <c r="AD443" s="56" t="s">
        <v>72</v>
      </c>
      <c r="AH443" s="5"/>
      <c r="AJ443" s="319" t="s">
        <v>765</v>
      </c>
      <c r="AM443" s="58"/>
      <c r="AN443" s="58"/>
      <c r="AR443" s="21"/>
    </row>
    <row r="444" spans="1:45" ht="18.649999999999999" customHeight="1">
      <c r="B444" s="350" t="s">
        <v>741</v>
      </c>
      <c r="C444" s="328">
        <v>46157</v>
      </c>
      <c r="D444" s="20" t="s">
        <v>160</v>
      </c>
      <c r="E444" s="22" t="s">
        <v>281</v>
      </c>
      <c r="F444" s="31">
        <v>1000013182</v>
      </c>
      <c r="G444" s="32" t="s">
        <v>282</v>
      </c>
      <c r="H444" s="20">
        <v>1989</v>
      </c>
      <c r="I444" s="20" t="s">
        <v>52</v>
      </c>
      <c r="J444" s="203" t="s">
        <v>1220</v>
      </c>
      <c r="K444" s="21" t="s">
        <v>53</v>
      </c>
      <c r="L444" s="177">
        <v>46090</v>
      </c>
      <c r="M444" s="20" t="s">
        <v>1221</v>
      </c>
      <c r="N444" s="5">
        <v>3491643213</v>
      </c>
      <c r="O444" s="20" t="s">
        <v>150</v>
      </c>
      <c r="Q444" s="231"/>
      <c r="R444" s="217" t="s">
        <v>1101</v>
      </c>
      <c r="T444" s="24">
        <v>46204</v>
      </c>
      <c r="U444" s="282" t="s">
        <v>53</v>
      </c>
      <c r="V444" s="282" t="s">
        <v>53</v>
      </c>
      <c r="X444" s="120" t="s">
        <v>58</v>
      </c>
      <c r="Y444" s="120">
        <v>1</v>
      </c>
      <c r="AD444" s="56" t="s">
        <v>1101</v>
      </c>
      <c r="AE444" s="21"/>
      <c r="AF444" s="21"/>
      <c r="AH444" s="21"/>
      <c r="AK444" s="275">
        <v>46157</v>
      </c>
      <c r="AL444" s="327">
        <v>206975.34</v>
      </c>
      <c r="AM444" s="58"/>
      <c r="AN444" s="58"/>
      <c r="AR444" s="21"/>
    </row>
    <row r="445" spans="1:45" ht="18.5" customHeight="1">
      <c r="A445" s="20" t="s">
        <v>1222</v>
      </c>
      <c r="B445" s="20" t="s">
        <v>625</v>
      </c>
      <c r="D445" s="20" t="s">
        <v>275</v>
      </c>
      <c r="E445" s="31" t="s">
        <v>63</v>
      </c>
      <c r="F445" s="31">
        <v>1000031684</v>
      </c>
      <c r="G445" s="107" t="s">
        <v>100</v>
      </c>
      <c r="H445" s="108">
        <v>1760</v>
      </c>
      <c r="I445" s="108" t="s">
        <v>52</v>
      </c>
      <c r="K445" s="21" t="s">
        <v>53</v>
      </c>
      <c r="L445" s="177">
        <v>46087</v>
      </c>
      <c r="M445" s="228" t="s">
        <v>1223</v>
      </c>
      <c r="N445" s="5" t="s">
        <v>1224</v>
      </c>
      <c r="O445" s="20" t="s">
        <v>68</v>
      </c>
      <c r="Q445" s="5">
        <v>7267612840</v>
      </c>
      <c r="R445" s="20" t="s">
        <v>56</v>
      </c>
      <c r="S445" s="5" t="s">
        <v>510</v>
      </c>
      <c r="T445" s="24">
        <v>46129</v>
      </c>
      <c r="U445" s="137">
        <v>46109</v>
      </c>
      <c r="V445" s="137">
        <v>46124</v>
      </c>
      <c r="X445" s="20" t="s">
        <v>58</v>
      </c>
      <c r="Y445" s="20">
        <v>1</v>
      </c>
      <c r="AA445" s="137">
        <v>46109</v>
      </c>
      <c r="AB445" s="137">
        <v>46124</v>
      </c>
      <c r="AD445" s="56" t="s">
        <v>72</v>
      </c>
      <c r="AE445" s="21"/>
      <c r="AF445" s="137">
        <v>46120</v>
      </c>
      <c r="AG445" s="137">
        <v>46120</v>
      </c>
      <c r="AH445" s="137">
        <v>46129</v>
      </c>
      <c r="AI445" s="177">
        <v>46132</v>
      </c>
      <c r="AJ445" s="177"/>
      <c r="AK445" s="178">
        <v>46127</v>
      </c>
      <c r="AL445" s="184">
        <v>26400</v>
      </c>
      <c r="AM445" s="58"/>
      <c r="AN445" s="58"/>
      <c r="AR445" s="21">
        <v>1</v>
      </c>
      <c r="AS445" s="21" t="s">
        <v>577</v>
      </c>
    </row>
    <row r="446" spans="1:45" ht="18.649999999999999" customHeight="1">
      <c r="B446" s="350" t="s">
        <v>741</v>
      </c>
      <c r="D446" s="20" t="s">
        <v>275</v>
      </c>
      <c r="E446" s="22" t="s">
        <v>63</v>
      </c>
      <c r="F446" s="31">
        <v>1000031684</v>
      </c>
      <c r="G446" s="107" t="s">
        <v>100</v>
      </c>
      <c r="H446" s="108">
        <v>1760</v>
      </c>
      <c r="I446" s="108" t="s">
        <v>52</v>
      </c>
      <c r="K446" s="21"/>
      <c r="L446" s="177">
        <v>46090</v>
      </c>
      <c r="M446" s="214" t="s">
        <v>1225</v>
      </c>
      <c r="N446" s="5" t="s">
        <v>1226</v>
      </c>
      <c r="O446" s="20" t="s">
        <v>68</v>
      </c>
      <c r="Q446" s="5">
        <v>7268174880</v>
      </c>
      <c r="R446" s="20" t="s">
        <v>56</v>
      </c>
      <c r="S446" s="5" t="s">
        <v>1227</v>
      </c>
      <c r="T446" s="24">
        <v>46146</v>
      </c>
      <c r="U446" s="352">
        <v>46130</v>
      </c>
      <c r="V446" s="352">
        <v>46143</v>
      </c>
      <c r="X446" s="20" t="s">
        <v>58</v>
      </c>
      <c r="Y446" s="20">
        <v>1</v>
      </c>
      <c r="AA446" s="65">
        <v>46131</v>
      </c>
      <c r="AB446" s="65">
        <v>46148</v>
      </c>
      <c r="AD446" s="56" t="s">
        <v>72</v>
      </c>
      <c r="AF446" s="137">
        <v>46147</v>
      </c>
      <c r="AG446" s="137">
        <v>46139</v>
      </c>
      <c r="AH446" s="137">
        <v>46150</v>
      </c>
      <c r="AI446" s="137"/>
      <c r="AJ446" s="137"/>
      <c r="AK446" s="275">
        <v>46157</v>
      </c>
      <c r="AL446" s="276">
        <v>26400</v>
      </c>
      <c r="AM446" s="58"/>
      <c r="AN446" s="58"/>
      <c r="AR446" s="21"/>
    </row>
    <row r="447" spans="1:45" ht="18.649999999999999" customHeight="1">
      <c r="B447" s="60" t="s">
        <v>93</v>
      </c>
      <c r="D447" s="20" t="s">
        <v>81</v>
      </c>
      <c r="E447" s="22" t="s">
        <v>1228</v>
      </c>
      <c r="F447" s="185">
        <v>2000028422</v>
      </c>
      <c r="G447" s="22" t="s">
        <v>1229</v>
      </c>
      <c r="H447" s="353">
        <v>540</v>
      </c>
      <c r="I447" s="353" t="s">
        <v>239</v>
      </c>
      <c r="J447" s="21" t="s">
        <v>790</v>
      </c>
      <c r="L447" s="177">
        <v>46128</v>
      </c>
      <c r="M447" s="214" t="s">
        <v>1230</v>
      </c>
      <c r="N447" s="354" t="s">
        <v>1231</v>
      </c>
      <c r="O447" s="20" t="s">
        <v>68</v>
      </c>
      <c r="Q447" s="5">
        <v>2038626381</v>
      </c>
      <c r="R447" s="20" t="s">
        <v>168</v>
      </c>
      <c r="S447" s="5" t="s">
        <v>1232</v>
      </c>
      <c r="T447" s="24">
        <v>46143</v>
      </c>
      <c r="U447" s="137">
        <v>46145</v>
      </c>
      <c r="V447" s="137">
        <v>46150</v>
      </c>
      <c r="X447" s="5" t="s">
        <v>170</v>
      </c>
      <c r="Y447" s="5">
        <v>0.5</v>
      </c>
      <c r="AA447" s="137">
        <v>46145</v>
      </c>
      <c r="AB447" s="137">
        <v>46150</v>
      </c>
      <c r="AD447" s="56" t="s">
        <v>72</v>
      </c>
      <c r="AF447" s="312"/>
      <c r="AG447" s="137">
        <v>46147</v>
      </c>
      <c r="AH447" s="5"/>
      <c r="AK447" s="178">
        <v>46137</v>
      </c>
      <c r="AL447" s="170">
        <v>3294</v>
      </c>
      <c r="AM447" s="58"/>
      <c r="AN447" s="58"/>
      <c r="AR447" s="21"/>
    </row>
    <row r="448" spans="1:45" ht="18.649999999999999" customHeight="1">
      <c r="B448" s="60" t="s">
        <v>93</v>
      </c>
      <c r="D448" s="20" t="s">
        <v>81</v>
      </c>
      <c r="E448" s="22" t="s">
        <v>1228</v>
      </c>
      <c r="F448" s="185">
        <v>2000028421</v>
      </c>
      <c r="G448" s="22" t="s">
        <v>1233</v>
      </c>
      <c r="H448" s="353">
        <v>240</v>
      </c>
      <c r="I448" s="353" t="s">
        <v>239</v>
      </c>
      <c r="J448" s="21" t="s">
        <v>790</v>
      </c>
      <c r="L448" s="177">
        <v>46128</v>
      </c>
      <c r="M448" s="214" t="s">
        <v>1230</v>
      </c>
      <c r="N448" s="354" t="s">
        <v>1231</v>
      </c>
      <c r="O448" s="20" t="s">
        <v>68</v>
      </c>
      <c r="Q448" s="5" t="s">
        <v>1234</v>
      </c>
      <c r="R448" s="20" t="s">
        <v>168</v>
      </c>
      <c r="S448" s="5" t="s">
        <v>1232</v>
      </c>
      <c r="T448" s="24">
        <v>46143</v>
      </c>
      <c r="U448" s="137">
        <v>46145</v>
      </c>
      <c r="V448" s="137">
        <v>46150</v>
      </c>
      <c r="X448" s="5" t="s">
        <v>170</v>
      </c>
      <c r="Y448" s="5">
        <v>0.5</v>
      </c>
      <c r="AA448" s="137">
        <v>46145</v>
      </c>
      <c r="AB448" s="137">
        <v>46150</v>
      </c>
      <c r="AD448" s="56" t="s">
        <v>72</v>
      </c>
      <c r="AF448" s="312"/>
      <c r="AG448" s="137">
        <v>46147</v>
      </c>
      <c r="AH448" s="5"/>
      <c r="AK448" s="178">
        <v>46137</v>
      </c>
      <c r="AL448" s="170">
        <v>1176</v>
      </c>
      <c r="AM448" s="58"/>
      <c r="AN448" s="58"/>
      <c r="AR448" s="21"/>
    </row>
    <row r="449" spans="2:44" ht="18.649999999999999" customHeight="1">
      <c r="B449" s="60" t="s">
        <v>93</v>
      </c>
      <c r="D449" s="20" t="s">
        <v>81</v>
      </c>
      <c r="E449" s="22" t="s">
        <v>1228</v>
      </c>
      <c r="F449" s="185">
        <v>2000028423</v>
      </c>
      <c r="G449" s="22" t="s">
        <v>1235</v>
      </c>
      <c r="H449" s="353">
        <v>864</v>
      </c>
      <c r="I449" s="353" t="s">
        <v>239</v>
      </c>
      <c r="J449" s="21" t="s">
        <v>790</v>
      </c>
      <c r="L449" s="177">
        <v>46128</v>
      </c>
      <c r="M449" s="214" t="s">
        <v>1236</v>
      </c>
      <c r="N449" s="354" t="s">
        <v>1231</v>
      </c>
      <c r="O449" s="20" t="s">
        <v>68</v>
      </c>
      <c r="Q449" s="5" t="s">
        <v>1234</v>
      </c>
      <c r="R449" s="20" t="s">
        <v>168</v>
      </c>
      <c r="S449" s="5" t="s">
        <v>1232</v>
      </c>
      <c r="T449" s="24">
        <v>46143</v>
      </c>
      <c r="U449" s="137">
        <v>46145</v>
      </c>
      <c r="V449" s="137">
        <v>46150</v>
      </c>
      <c r="X449" s="5" t="s">
        <v>170</v>
      </c>
      <c r="Y449" s="5">
        <v>0.5</v>
      </c>
      <c r="AA449" s="137">
        <v>46145</v>
      </c>
      <c r="AB449" s="137">
        <v>46150</v>
      </c>
      <c r="AD449" s="56" t="s">
        <v>72</v>
      </c>
      <c r="AF449" s="312"/>
      <c r="AG449" s="137">
        <v>46147</v>
      </c>
      <c r="AH449" s="5"/>
      <c r="AK449" s="178">
        <v>46137</v>
      </c>
      <c r="AL449" s="170">
        <v>1382.4</v>
      </c>
      <c r="AM449" s="58"/>
      <c r="AN449" s="58"/>
      <c r="AR449" s="21"/>
    </row>
    <row r="450" spans="2:44" ht="18.649999999999999" customHeight="1">
      <c r="B450" s="60" t="s">
        <v>93</v>
      </c>
      <c r="D450" s="20" t="s">
        <v>81</v>
      </c>
      <c r="E450" s="22" t="s">
        <v>1228</v>
      </c>
      <c r="F450" s="185">
        <v>2000028425</v>
      </c>
      <c r="G450" s="22" t="s">
        <v>1237</v>
      </c>
      <c r="H450" s="353">
        <v>288</v>
      </c>
      <c r="I450" s="353" t="s">
        <v>239</v>
      </c>
      <c r="J450" s="21" t="s">
        <v>790</v>
      </c>
      <c r="L450" s="177">
        <v>46128</v>
      </c>
      <c r="M450" s="214" t="s">
        <v>1230</v>
      </c>
      <c r="N450" s="354" t="s">
        <v>1231</v>
      </c>
      <c r="O450" s="20" t="s">
        <v>68</v>
      </c>
      <c r="Q450" s="5" t="s">
        <v>1234</v>
      </c>
      <c r="R450" s="20" t="s">
        <v>168</v>
      </c>
      <c r="S450" s="5" t="s">
        <v>1232</v>
      </c>
      <c r="T450" s="24">
        <v>46143</v>
      </c>
      <c r="U450" s="137">
        <v>46145</v>
      </c>
      <c r="V450" s="137">
        <v>46150</v>
      </c>
      <c r="X450" s="5" t="s">
        <v>170</v>
      </c>
      <c r="Y450" s="5">
        <v>0.5</v>
      </c>
      <c r="AA450" s="137">
        <v>46145</v>
      </c>
      <c r="AB450" s="137">
        <v>46150</v>
      </c>
      <c r="AD450" s="56" t="s">
        <v>72</v>
      </c>
      <c r="AF450" s="312"/>
      <c r="AG450" s="137">
        <v>46147</v>
      </c>
      <c r="AH450" s="5"/>
      <c r="AK450" s="178">
        <v>46137</v>
      </c>
      <c r="AL450" s="170">
        <v>950.4</v>
      </c>
      <c r="AM450" s="58"/>
      <c r="AN450" s="58"/>
      <c r="AR450" s="21"/>
    </row>
    <row r="451" spans="2:44" ht="18.649999999999999" customHeight="1">
      <c r="B451" s="60" t="s">
        <v>93</v>
      </c>
      <c r="D451" s="20" t="s">
        <v>81</v>
      </c>
      <c r="E451" s="22" t="s">
        <v>1228</v>
      </c>
      <c r="F451" s="185">
        <v>2000028428</v>
      </c>
      <c r="G451" s="22" t="s">
        <v>1238</v>
      </c>
      <c r="H451" s="353">
        <v>672</v>
      </c>
      <c r="I451" s="353" t="s">
        <v>239</v>
      </c>
      <c r="J451" s="21" t="s">
        <v>790</v>
      </c>
      <c r="L451" s="177">
        <v>46128</v>
      </c>
      <c r="M451" s="214" t="s">
        <v>1230</v>
      </c>
      <c r="N451" s="354" t="s">
        <v>1231</v>
      </c>
      <c r="O451" s="20" t="s">
        <v>68</v>
      </c>
      <c r="Q451" s="5" t="s">
        <v>1234</v>
      </c>
      <c r="R451" s="20" t="s">
        <v>168</v>
      </c>
      <c r="S451" s="5" t="s">
        <v>1232</v>
      </c>
      <c r="T451" s="24">
        <v>46143</v>
      </c>
      <c r="U451" s="137">
        <v>46145</v>
      </c>
      <c r="V451" s="137">
        <v>46150</v>
      </c>
      <c r="X451" s="5" t="s">
        <v>170</v>
      </c>
      <c r="Y451" s="5">
        <v>0.5</v>
      </c>
      <c r="AA451" s="137">
        <v>46145</v>
      </c>
      <c r="AB451" s="137">
        <v>46150</v>
      </c>
      <c r="AD451" s="56" t="s">
        <v>72</v>
      </c>
      <c r="AF451" s="312"/>
      <c r="AG451" s="137">
        <v>46147</v>
      </c>
      <c r="AH451" s="5"/>
      <c r="AK451" s="178">
        <v>46137</v>
      </c>
      <c r="AL451" s="170">
        <v>1209.5999999999999</v>
      </c>
      <c r="AM451" s="58"/>
      <c r="AN451" s="58"/>
      <c r="AR451" s="21"/>
    </row>
    <row r="452" spans="2:44" ht="18.649999999999999" customHeight="1">
      <c r="B452" s="60" t="s">
        <v>93</v>
      </c>
      <c r="D452" s="20" t="s">
        <v>81</v>
      </c>
      <c r="E452" s="22" t="s">
        <v>1228</v>
      </c>
      <c r="F452" s="185">
        <v>2000028419</v>
      </c>
      <c r="G452" s="22" t="s">
        <v>1239</v>
      </c>
      <c r="H452" s="353">
        <v>480</v>
      </c>
      <c r="I452" s="353" t="s">
        <v>239</v>
      </c>
      <c r="J452" s="21" t="s">
        <v>790</v>
      </c>
      <c r="L452" s="177">
        <v>46128</v>
      </c>
      <c r="M452" s="214" t="s">
        <v>1236</v>
      </c>
      <c r="N452" s="354" t="s">
        <v>1231</v>
      </c>
      <c r="O452" s="20" t="s">
        <v>68</v>
      </c>
      <c r="Q452" s="5" t="s">
        <v>1234</v>
      </c>
      <c r="R452" s="20" t="s">
        <v>168</v>
      </c>
      <c r="S452" s="5" t="s">
        <v>1232</v>
      </c>
      <c r="T452" s="24">
        <v>46143</v>
      </c>
      <c r="U452" s="137">
        <v>46145</v>
      </c>
      <c r="V452" s="137">
        <v>46150</v>
      </c>
      <c r="X452" s="5" t="s">
        <v>170</v>
      </c>
      <c r="Y452" s="5">
        <v>0.5</v>
      </c>
      <c r="AA452" s="137">
        <v>46145</v>
      </c>
      <c r="AB452" s="137">
        <v>46150</v>
      </c>
      <c r="AD452" s="56" t="s">
        <v>72</v>
      </c>
      <c r="AF452" s="312"/>
      <c r="AG452" s="137">
        <v>46147</v>
      </c>
      <c r="AH452" s="5"/>
      <c r="AK452" s="178">
        <v>46137</v>
      </c>
      <c r="AL452" s="170">
        <v>528</v>
      </c>
      <c r="AM452" s="58"/>
      <c r="AN452" s="58"/>
      <c r="AR452" s="21"/>
    </row>
    <row r="453" spans="2:44" ht="18.649999999999999" customHeight="1">
      <c r="B453" s="60" t="s">
        <v>93</v>
      </c>
      <c r="D453" s="20" t="s">
        <v>81</v>
      </c>
      <c r="E453" s="22" t="s">
        <v>1228</v>
      </c>
      <c r="F453" s="185">
        <v>2000028418</v>
      </c>
      <c r="G453" s="22" t="s">
        <v>1240</v>
      </c>
      <c r="H453" s="353">
        <v>84</v>
      </c>
      <c r="I453" s="353" t="s">
        <v>239</v>
      </c>
      <c r="J453" s="21" t="s">
        <v>790</v>
      </c>
      <c r="L453" s="177">
        <v>46128</v>
      </c>
      <c r="M453" s="214" t="s">
        <v>1230</v>
      </c>
      <c r="N453" s="354" t="s">
        <v>1231</v>
      </c>
      <c r="O453" s="20" t="s">
        <v>68</v>
      </c>
      <c r="Q453" s="5" t="s">
        <v>1234</v>
      </c>
      <c r="R453" s="20" t="s">
        <v>168</v>
      </c>
      <c r="S453" s="5" t="s">
        <v>1232</v>
      </c>
      <c r="T453" s="24">
        <v>46143</v>
      </c>
      <c r="U453" s="137">
        <v>46145</v>
      </c>
      <c r="V453" s="137">
        <v>46150</v>
      </c>
      <c r="X453" s="5" t="s">
        <v>170</v>
      </c>
      <c r="Y453" s="5">
        <v>0.5</v>
      </c>
      <c r="AA453" s="137">
        <v>46145</v>
      </c>
      <c r="AB453" s="137">
        <v>46150</v>
      </c>
      <c r="AD453" s="56" t="s">
        <v>72</v>
      </c>
      <c r="AF453" s="312"/>
      <c r="AG453" s="137">
        <v>46147</v>
      </c>
      <c r="AH453" s="5"/>
      <c r="AK453" s="178">
        <v>46137</v>
      </c>
      <c r="AL453" s="170">
        <v>92.4</v>
      </c>
      <c r="AM453" s="58"/>
      <c r="AN453" s="58"/>
      <c r="AR453" s="21"/>
    </row>
    <row r="454" spans="2:44" ht="18.649999999999999" customHeight="1">
      <c r="B454" s="60" t="s">
        <v>93</v>
      </c>
      <c r="D454" s="20" t="s">
        <v>81</v>
      </c>
      <c r="E454" s="22" t="s">
        <v>1228</v>
      </c>
      <c r="F454" s="185">
        <v>2000028417</v>
      </c>
      <c r="G454" s="22" t="s">
        <v>1241</v>
      </c>
      <c r="H454" s="353">
        <v>480</v>
      </c>
      <c r="I454" s="353" t="s">
        <v>239</v>
      </c>
      <c r="J454" s="21" t="s">
        <v>790</v>
      </c>
      <c r="L454" s="177">
        <v>46128</v>
      </c>
      <c r="M454" s="214" t="s">
        <v>1230</v>
      </c>
      <c r="N454" s="354" t="s">
        <v>1231</v>
      </c>
      <c r="O454" s="20" t="s">
        <v>68</v>
      </c>
      <c r="Q454" s="5" t="s">
        <v>1234</v>
      </c>
      <c r="R454" s="20" t="s">
        <v>168</v>
      </c>
      <c r="S454" s="5" t="s">
        <v>1232</v>
      </c>
      <c r="T454" s="24">
        <v>46143</v>
      </c>
      <c r="U454" s="137">
        <v>46145</v>
      </c>
      <c r="V454" s="137">
        <v>46150</v>
      </c>
      <c r="X454" s="5" t="s">
        <v>170</v>
      </c>
      <c r="Y454" s="5">
        <v>0.5</v>
      </c>
      <c r="AA454" s="137">
        <v>46145</v>
      </c>
      <c r="AB454" s="137">
        <v>46150</v>
      </c>
      <c r="AD454" s="56" t="s">
        <v>72</v>
      </c>
      <c r="AF454" s="312"/>
      <c r="AG454" s="137">
        <v>46147</v>
      </c>
      <c r="AH454" s="5"/>
      <c r="AK454" s="178">
        <v>46137</v>
      </c>
      <c r="AL454" s="170">
        <v>288</v>
      </c>
      <c r="AM454" s="58"/>
      <c r="AN454" s="58"/>
      <c r="AR454" s="21"/>
    </row>
    <row r="455" spans="2:44" ht="18.649999999999999" customHeight="1">
      <c r="B455" s="60" t="s">
        <v>93</v>
      </c>
      <c r="D455" s="20" t="s">
        <v>81</v>
      </c>
      <c r="E455" s="22" t="s">
        <v>1228</v>
      </c>
      <c r="F455" s="185">
        <v>2000028431</v>
      </c>
      <c r="G455" s="22" t="s">
        <v>1242</v>
      </c>
      <c r="H455" s="353">
        <v>2208</v>
      </c>
      <c r="I455" s="353" t="s">
        <v>239</v>
      </c>
      <c r="J455" s="21" t="s">
        <v>790</v>
      </c>
      <c r="L455" s="177">
        <v>46128</v>
      </c>
      <c r="M455" s="214" t="s">
        <v>1236</v>
      </c>
      <c r="N455" s="354" t="s">
        <v>1231</v>
      </c>
      <c r="O455" s="20" t="s">
        <v>68</v>
      </c>
      <c r="Q455" s="5" t="s">
        <v>1234</v>
      </c>
      <c r="R455" s="20" t="s">
        <v>168</v>
      </c>
      <c r="S455" s="5" t="s">
        <v>1232</v>
      </c>
      <c r="T455" s="24">
        <v>46143</v>
      </c>
      <c r="U455" s="137">
        <v>46145</v>
      </c>
      <c r="V455" s="137">
        <v>46150</v>
      </c>
      <c r="X455" s="5" t="s">
        <v>170</v>
      </c>
      <c r="Y455" s="5">
        <v>0.5</v>
      </c>
      <c r="AA455" s="137">
        <v>46145</v>
      </c>
      <c r="AB455" s="137">
        <v>46150</v>
      </c>
      <c r="AD455" s="56" t="s">
        <v>72</v>
      </c>
      <c r="AF455" s="312"/>
      <c r="AG455" s="137">
        <v>46147</v>
      </c>
      <c r="AH455" s="5"/>
      <c r="AK455" s="178">
        <v>46137</v>
      </c>
      <c r="AL455" s="170">
        <v>2428.8000000000002</v>
      </c>
      <c r="AM455" s="58"/>
      <c r="AN455" s="58"/>
      <c r="AR455" s="21"/>
    </row>
    <row r="456" spans="2:44" ht="18.649999999999999" customHeight="1">
      <c r="B456" s="60" t="s">
        <v>93</v>
      </c>
      <c r="D456" s="20" t="s">
        <v>81</v>
      </c>
      <c r="E456" s="22" t="s">
        <v>1228</v>
      </c>
      <c r="F456" s="185">
        <v>2000028432</v>
      </c>
      <c r="G456" s="22" t="s">
        <v>1243</v>
      </c>
      <c r="H456" s="353">
        <v>1188</v>
      </c>
      <c r="I456" s="353" t="s">
        <v>239</v>
      </c>
      <c r="J456" s="21" t="s">
        <v>790</v>
      </c>
      <c r="L456" s="177">
        <v>46128</v>
      </c>
      <c r="M456" s="214" t="s">
        <v>1230</v>
      </c>
      <c r="N456" s="354" t="s">
        <v>1231</v>
      </c>
      <c r="O456" s="20" t="s">
        <v>68</v>
      </c>
      <c r="Q456" s="5" t="s">
        <v>1234</v>
      </c>
      <c r="R456" s="20" t="s">
        <v>168</v>
      </c>
      <c r="S456" s="5" t="s">
        <v>1232</v>
      </c>
      <c r="T456" s="24">
        <v>46143</v>
      </c>
      <c r="U456" s="137">
        <v>46145</v>
      </c>
      <c r="V456" s="137">
        <v>46150</v>
      </c>
      <c r="X456" s="5" t="s">
        <v>170</v>
      </c>
      <c r="Y456" s="5">
        <v>0.5</v>
      </c>
      <c r="AA456" s="137">
        <v>46145</v>
      </c>
      <c r="AB456" s="137">
        <v>46150</v>
      </c>
      <c r="AD456" s="56" t="s">
        <v>72</v>
      </c>
      <c r="AF456" s="312"/>
      <c r="AG456" s="137">
        <v>46147</v>
      </c>
      <c r="AH456" s="5"/>
      <c r="AK456" s="178">
        <v>46137</v>
      </c>
      <c r="AL456" s="170">
        <v>1663.2</v>
      </c>
      <c r="AM456" s="58"/>
      <c r="AN456" s="58"/>
      <c r="AR456" s="21"/>
    </row>
    <row r="457" spans="2:44" ht="18.649999999999999" customHeight="1">
      <c r="B457" s="60" t="s">
        <v>93</v>
      </c>
      <c r="D457" s="20" t="s">
        <v>81</v>
      </c>
      <c r="E457" s="22" t="s">
        <v>1228</v>
      </c>
      <c r="F457" s="185">
        <v>2000028427</v>
      </c>
      <c r="G457" s="22" t="s">
        <v>1244</v>
      </c>
      <c r="H457" s="353">
        <v>666</v>
      </c>
      <c r="I457" s="353" t="s">
        <v>239</v>
      </c>
      <c r="J457" s="21" t="s">
        <v>790</v>
      </c>
      <c r="L457" s="177">
        <v>46128</v>
      </c>
      <c r="M457" s="214" t="s">
        <v>1230</v>
      </c>
      <c r="N457" s="354" t="s">
        <v>1231</v>
      </c>
      <c r="O457" s="20" t="s">
        <v>68</v>
      </c>
      <c r="Q457" s="5" t="s">
        <v>1234</v>
      </c>
      <c r="R457" s="20" t="s">
        <v>168</v>
      </c>
      <c r="S457" s="5" t="s">
        <v>1232</v>
      </c>
      <c r="T457" s="24">
        <v>46143</v>
      </c>
      <c r="U457" s="137">
        <v>46145</v>
      </c>
      <c r="V457" s="137">
        <v>46150</v>
      </c>
      <c r="X457" s="5" t="s">
        <v>170</v>
      </c>
      <c r="Y457" s="5">
        <v>0.5</v>
      </c>
      <c r="AA457" s="137">
        <v>46145</v>
      </c>
      <c r="AB457" s="137">
        <v>46150</v>
      </c>
      <c r="AD457" s="56" t="s">
        <v>72</v>
      </c>
      <c r="AF457" s="312"/>
      <c r="AG457" s="137">
        <v>46147</v>
      </c>
      <c r="AH457" s="5"/>
      <c r="AK457" s="178">
        <v>46137</v>
      </c>
      <c r="AL457" s="170">
        <v>1798.2</v>
      </c>
      <c r="AM457" s="58"/>
      <c r="AN457" s="58"/>
      <c r="AR457" s="21"/>
    </row>
    <row r="458" spans="2:44" ht="18.649999999999999" customHeight="1">
      <c r="B458" s="355" t="s">
        <v>741</v>
      </c>
      <c r="C458" s="21" t="s">
        <v>1245</v>
      </c>
      <c r="D458" s="356" t="s">
        <v>48</v>
      </c>
      <c r="E458" s="357" t="s">
        <v>678</v>
      </c>
      <c r="F458" s="358">
        <v>2000007670</v>
      </c>
      <c r="G458" s="357" t="s">
        <v>1246</v>
      </c>
      <c r="H458" s="359" t="s">
        <v>1247</v>
      </c>
      <c r="I458" s="359" t="s">
        <v>212</v>
      </c>
      <c r="J458" s="360" t="s">
        <v>790</v>
      </c>
      <c r="K458" s="360"/>
      <c r="L458" s="361">
        <v>46119</v>
      </c>
      <c r="M458" s="356" t="s">
        <v>1248</v>
      </c>
      <c r="O458" s="5" t="s">
        <v>55</v>
      </c>
      <c r="Q458" s="5"/>
      <c r="T458" s="24">
        <v>46174</v>
      </c>
      <c r="X458" s="5" t="s">
        <v>209</v>
      </c>
      <c r="Y458" s="5">
        <v>0.5</v>
      </c>
      <c r="AD458" s="90" t="s">
        <v>599</v>
      </c>
      <c r="AE458" s="21"/>
      <c r="AF458" s="21"/>
      <c r="AH458" s="21"/>
      <c r="AM458" s="58"/>
      <c r="AN458" s="58"/>
      <c r="AR458" s="21"/>
    </row>
    <row r="459" spans="2:44" ht="18.649999999999999" customHeight="1">
      <c r="B459" s="355" t="s">
        <v>741</v>
      </c>
      <c r="C459" s="21" t="s">
        <v>1245</v>
      </c>
      <c r="D459" s="356" t="s">
        <v>48</v>
      </c>
      <c r="E459" s="357" t="s">
        <v>678</v>
      </c>
      <c r="F459" s="358">
        <v>2000002593</v>
      </c>
      <c r="G459" s="357" t="s">
        <v>1249</v>
      </c>
      <c r="H459" s="359" t="s">
        <v>1250</v>
      </c>
      <c r="I459" s="359" t="s">
        <v>212</v>
      </c>
      <c r="J459" s="360" t="s">
        <v>790</v>
      </c>
      <c r="K459" s="360"/>
      <c r="L459" s="361">
        <v>46119</v>
      </c>
      <c r="M459" s="356" t="s">
        <v>1248</v>
      </c>
      <c r="O459" s="5" t="s">
        <v>55</v>
      </c>
      <c r="Q459" s="5"/>
      <c r="T459" s="24">
        <v>46174</v>
      </c>
      <c r="X459" s="5" t="s">
        <v>209</v>
      </c>
      <c r="Y459" s="5">
        <v>0.5</v>
      </c>
      <c r="AD459" s="90" t="s">
        <v>599</v>
      </c>
      <c r="AE459" s="21"/>
      <c r="AF459" s="21"/>
      <c r="AH459" s="21"/>
      <c r="AM459" s="58"/>
      <c r="AN459" s="58"/>
      <c r="AR459" s="21"/>
    </row>
    <row r="460" spans="2:44" ht="18.649999999999999" customHeight="1">
      <c r="B460" s="355" t="s">
        <v>741</v>
      </c>
      <c r="C460" s="21" t="s">
        <v>1245</v>
      </c>
      <c r="D460" s="356" t="s">
        <v>48</v>
      </c>
      <c r="E460" s="357" t="s">
        <v>678</v>
      </c>
      <c r="F460" s="358">
        <v>2000009847</v>
      </c>
      <c r="G460" s="357" t="s">
        <v>1251</v>
      </c>
      <c r="H460" s="359" t="s">
        <v>1252</v>
      </c>
      <c r="I460" s="359" t="s">
        <v>212</v>
      </c>
      <c r="J460" s="360" t="s">
        <v>790</v>
      </c>
      <c r="K460" s="360"/>
      <c r="L460" s="361">
        <v>46119</v>
      </c>
      <c r="M460" s="356" t="s">
        <v>1248</v>
      </c>
      <c r="O460" s="5" t="s">
        <v>55</v>
      </c>
      <c r="Q460" s="5"/>
      <c r="T460" s="24">
        <v>46174</v>
      </c>
      <c r="X460" s="5" t="s">
        <v>209</v>
      </c>
      <c r="Y460" s="5">
        <v>0.5</v>
      </c>
      <c r="AD460" s="90" t="s">
        <v>599</v>
      </c>
      <c r="AE460" s="21"/>
      <c r="AF460" s="21"/>
      <c r="AH460" s="21"/>
      <c r="AM460" s="58"/>
      <c r="AN460" s="58"/>
      <c r="AR460" s="21"/>
    </row>
    <row r="461" spans="2:44" ht="18.649999999999999" customHeight="1">
      <c r="B461" s="355" t="s">
        <v>741</v>
      </c>
      <c r="C461" s="21" t="s">
        <v>1245</v>
      </c>
      <c r="D461" s="356" t="s">
        <v>48</v>
      </c>
      <c r="E461" s="357" t="s">
        <v>678</v>
      </c>
      <c r="F461" s="358">
        <v>2000017548</v>
      </c>
      <c r="G461" s="357" t="s">
        <v>1253</v>
      </c>
      <c r="H461" s="359" t="s">
        <v>1250</v>
      </c>
      <c r="I461" s="359" t="s">
        <v>212</v>
      </c>
      <c r="J461" s="360" t="s">
        <v>790</v>
      </c>
      <c r="K461" s="360"/>
      <c r="L461" s="361">
        <v>46119</v>
      </c>
      <c r="M461" s="356" t="s">
        <v>1248</v>
      </c>
      <c r="O461" s="5" t="s">
        <v>55</v>
      </c>
      <c r="Q461" s="5"/>
      <c r="T461" s="24">
        <v>46174</v>
      </c>
      <c r="X461" s="5" t="s">
        <v>209</v>
      </c>
      <c r="Y461" s="5">
        <v>0.5</v>
      </c>
      <c r="AD461" s="90" t="s">
        <v>599</v>
      </c>
      <c r="AE461" s="21"/>
      <c r="AF461" s="21"/>
      <c r="AH461" s="21"/>
      <c r="AM461" s="58"/>
      <c r="AN461" s="58"/>
      <c r="AR461" s="21"/>
    </row>
    <row r="462" spans="2:44" ht="18.649999999999999" customHeight="1">
      <c r="B462" s="355" t="s">
        <v>741</v>
      </c>
      <c r="C462" s="21" t="s">
        <v>1245</v>
      </c>
      <c r="D462" s="356" t="s">
        <v>48</v>
      </c>
      <c r="E462" s="357" t="s">
        <v>678</v>
      </c>
      <c r="F462" s="358">
        <v>2000010358</v>
      </c>
      <c r="G462" s="357" t="s">
        <v>1254</v>
      </c>
      <c r="H462" s="359" t="s">
        <v>1255</v>
      </c>
      <c r="I462" s="359" t="s">
        <v>219</v>
      </c>
      <c r="J462" s="360" t="s">
        <v>790</v>
      </c>
      <c r="K462" s="360"/>
      <c r="L462" s="361">
        <v>46119</v>
      </c>
      <c r="M462" s="356" t="s">
        <v>1248</v>
      </c>
      <c r="O462" s="5" t="s">
        <v>55</v>
      </c>
      <c r="Q462" s="5"/>
      <c r="T462" s="24">
        <v>46174</v>
      </c>
      <c r="X462" s="5" t="s">
        <v>209</v>
      </c>
      <c r="Y462" s="5">
        <v>0.5</v>
      </c>
      <c r="AD462" s="90" t="s">
        <v>599</v>
      </c>
      <c r="AE462" s="21"/>
      <c r="AF462" s="21"/>
      <c r="AH462" s="21"/>
      <c r="AM462" s="58"/>
      <c r="AN462" s="58"/>
      <c r="AR462" s="21"/>
    </row>
    <row r="463" spans="2:44" ht="18.649999999999999" customHeight="1">
      <c r="B463" s="355" t="s">
        <v>741</v>
      </c>
      <c r="C463" s="21" t="s">
        <v>1245</v>
      </c>
      <c r="D463" s="356" t="s">
        <v>48</v>
      </c>
      <c r="E463" s="357" t="s">
        <v>678</v>
      </c>
      <c r="F463" s="358">
        <v>2000009979</v>
      </c>
      <c r="G463" s="357" t="s">
        <v>679</v>
      </c>
      <c r="H463" s="359" t="s">
        <v>1250</v>
      </c>
      <c r="I463" s="359" t="s">
        <v>212</v>
      </c>
      <c r="J463" s="360" t="s">
        <v>790</v>
      </c>
      <c r="K463" s="360"/>
      <c r="L463" s="361">
        <v>46119</v>
      </c>
      <c r="M463" s="356" t="s">
        <v>1248</v>
      </c>
      <c r="O463" s="5" t="s">
        <v>55</v>
      </c>
      <c r="Q463" s="5"/>
      <c r="T463" s="24">
        <v>46174</v>
      </c>
      <c r="X463" s="5" t="s">
        <v>209</v>
      </c>
      <c r="Y463" s="5">
        <v>0.5</v>
      </c>
      <c r="AD463" s="90" t="s">
        <v>599</v>
      </c>
      <c r="AE463" s="21"/>
      <c r="AF463" s="21"/>
      <c r="AH463" s="21"/>
      <c r="AM463" s="58"/>
      <c r="AN463" s="58"/>
      <c r="AR463" s="21"/>
    </row>
    <row r="464" spans="2:44" ht="18.649999999999999" customHeight="1">
      <c r="B464" s="355" t="s">
        <v>741</v>
      </c>
      <c r="C464" s="21" t="s">
        <v>1245</v>
      </c>
      <c r="D464" s="356" t="s">
        <v>48</v>
      </c>
      <c r="E464" s="357" t="s">
        <v>678</v>
      </c>
      <c r="F464" s="358">
        <v>2000004959</v>
      </c>
      <c r="G464" s="357" t="s">
        <v>1063</v>
      </c>
      <c r="H464" s="359" t="s">
        <v>1256</v>
      </c>
      <c r="I464" s="359" t="s">
        <v>212</v>
      </c>
      <c r="J464" s="360" t="s">
        <v>790</v>
      </c>
      <c r="K464" s="360"/>
      <c r="L464" s="361">
        <v>46119</v>
      </c>
      <c r="M464" s="356" t="s">
        <v>1248</v>
      </c>
      <c r="O464" s="5" t="s">
        <v>55</v>
      </c>
      <c r="Q464" s="5"/>
      <c r="T464" s="24">
        <v>46174</v>
      </c>
      <c r="X464" s="5" t="s">
        <v>209</v>
      </c>
      <c r="Y464" s="5">
        <v>0.5</v>
      </c>
      <c r="AD464" s="90" t="s">
        <v>599</v>
      </c>
      <c r="AE464" s="21"/>
      <c r="AF464" s="21"/>
      <c r="AH464" s="21"/>
      <c r="AM464" s="58"/>
      <c r="AN464" s="58"/>
      <c r="AR464" s="21"/>
    </row>
    <row r="465" spans="2:44" ht="18.649999999999999" customHeight="1">
      <c r="B465" s="355" t="s">
        <v>741</v>
      </c>
      <c r="C465" s="21" t="s">
        <v>1245</v>
      </c>
      <c r="D465" s="356" t="s">
        <v>48</v>
      </c>
      <c r="E465" s="357" t="s">
        <v>678</v>
      </c>
      <c r="F465" s="358">
        <v>2000010477</v>
      </c>
      <c r="G465" s="357" t="s">
        <v>685</v>
      </c>
      <c r="H465" s="359" t="s">
        <v>1247</v>
      </c>
      <c r="I465" s="359" t="s">
        <v>212</v>
      </c>
      <c r="J465" s="360" t="s">
        <v>790</v>
      </c>
      <c r="K465" s="360"/>
      <c r="L465" s="361">
        <v>46119</v>
      </c>
      <c r="M465" s="356" t="s">
        <v>1248</v>
      </c>
      <c r="O465" s="5" t="s">
        <v>55</v>
      </c>
      <c r="Q465" s="5"/>
      <c r="T465" s="24">
        <v>46174</v>
      </c>
      <c r="X465" s="5" t="s">
        <v>209</v>
      </c>
      <c r="Y465" s="5">
        <v>0.5</v>
      </c>
      <c r="AD465" s="90" t="s">
        <v>599</v>
      </c>
      <c r="AE465" s="21"/>
      <c r="AF465" s="21"/>
      <c r="AH465" s="21"/>
      <c r="AM465" s="58"/>
      <c r="AN465" s="58"/>
      <c r="AR465" s="21"/>
    </row>
    <row r="466" spans="2:44" ht="18.649999999999999" customHeight="1">
      <c r="B466" s="355" t="s">
        <v>741</v>
      </c>
      <c r="C466" s="21" t="s">
        <v>1245</v>
      </c>
      <c r="D466" s="356" t="s">
        <v>48</v>
      </c>
      <c r="E466" s="357" t="s">
        <v>678</v>
      </c>
      <c r="F466" s="358">
        <v>2000010519</v>
      </c>
      <c r="G466" s="357" t="s">
        <v>687</v>
      </c>
      <c r="H466" s="359" t="s">
        <v>1250</v>
      </c>
      <c r="I466" s="359" t="s">
        <v>212</v>
      </c>
      <c r="J466" s="360" t="s">
        <v>790</v>
      </c>
      <c r="K466" s="360"/>
      <c r="L466" s="361">
        <v>46119</v>
      </c>
      <c r="M466" s="356" t="s">
        <v>1248</v>
      </c>
      <c r="O466" s="5" t="s">
        <v>55</v>
      </c>
      <c r="Q466" s="5"/>
      <c r="T466" s="24">
        <v>46174</v>
      </c>
      <c r="X466" s="5" t="s">
        <v>209</v>
      </c>
      <c r="Y466" s="5">
        <v>0.5</v>
      </c>
      <c r="AD466" s="90" t="s">
        <v>599</v>
      </c>
      <c r="AE466" s="21"/>
      <c r="AF466" s="21"/>
      <c r="AH466" s="21"/>
      <c r="AM466" s="58"/>
      <c r="AN466" s="58"/>
      <c r="AR466" s="21"/>
    </row>
    <row r="467" spans="2:44" ht="18.649999999999999" customHeight="1">
      <c r="B467" s="355" t="s">
        <v>741</v>
      </c>
      <c r="C467" s="21" t="s">
        <v>1245</v>
      </c>
      <c r="D467" s="356" t="s">
        <v>48</v>
      </c>
      <c r="E467" s="357" t="s">
        <v>678</v>
      </c>
      <c r="F467" s="358">
        <v>2000017469</v>
      </c>
      <c r="G467" s="357" t="s">
        <v>688</v>
      </c>
      <c r="H467" s="359" t="s">
        <v>1257</v>
      </c>
      <c r="I467" s="359" t="s">
        <v>212</v>
      </c>
      <c r="J467" s="360" t="s">
        <v>790</v>
      </c>
      <c r="K467" s="360"/>
      <c r="L467" s="361">
        <v>46119</v>
      </c>
      <c r="M467" s="356" t="s">
        <v>1248</v>
      </c>
      <c r="O467" s="5" t="s">
        <v>55</v>
      </c>
      <c r="Q467" s="5"/>
      <c r="T467" s="24">
        <v>46174</v>
      </c>
      <c r="X467" s="5" t="s">
        <v>209</v>
      </c>
      <c r="Y467" s="5">
        <v>0.5</v>
      </c>
      <c r="AD467" s="90" t="s">
        <v>599</v>
      </c>
      <c r="AE467" s="21"/>
      <c r="AF467" s="21"/>
      <c r="AH467" s="21"/>
      <c r="AM467" s="58"/>
      <c r="AN467" s="58"/>
      <c r="AR467" s="21"/>
    </row>
    <row r="468" spans="2:44" ht="18.649999999999999" customHeight="1">
      <c r="B468" s="355" t="s">
        <v>741</v>
      </c>
      <c r="C468" s="21" t="s">
        <v>1245</v>
      </c>
      <c r="D468" s="356" t="s">
        <v>48</v>
      </c>
      <c r="E468" s="357" t="s">
        <v>678</v>
      </c>
      <c r="F468" s="358">
        <v>2000008264</v>
      </c>
      <c r="G468" s="357" t="s">
        <v>1064</v>
      </c>
      <c r="H468" s="359" t="s">
        <v>1250</v>
      </c>
      <c r="I468" s="359" t="s">
        <v>212</v>
      </c>
      <c r="J468" s="360" t="s">
        <v>790</v>
      </c>
      <c r="K468" s="360"/>
      <c r="L468" s="361">
        <v>46119</v>
      </c>
      <c r="M468" s="356" t="s">
        <v>1248</v>
      </c>
      <c r="O468" s="5" t="s">
        <v>55</v>
      </c>
      <c r="Q468" s="5"/>
      <c r="T468" s="24">
        <v>46174</v>
      </c>
      <c r="X468" s="5" t="s">
        <v>209</v>
      </c>
      <c r="Y468" s="5">
        <v>0.5</v>
      </c>
      <c r="AD468" s="90" t="s">
        <v>599</v>
      </c>
      <c r="AE468" s="21"/>
      <c r="AF468" s="21"/>
      <c r="AH468" s="21"/>
      <c r="AM468" s="58"/>
      <c r="AN468" s="58"/>
      <c r="AR468" s="21"/>
    </row>
    <row r="469" spans="2:44" ht="18.649999999999999" customHeight="1">
      <c r="B469" s="355" t="s">
        <v>741</v>
      </c>
      <c r="C469" s="21" t="s">
        <v>1245</v>
      </c>
      <c r="D469" s="356" t="s">
        <v>48</v>
      </c>
      <c r="E469" s="357" t="s">
        <v>678</v>
      </c>
      <c r="F469" s="358">
        <v>2000008357</v>
      </c>
      <c r="G469" s="357" t="s">
        <v>689</v>
      </c>
      <c r="H469" s="359" t="s">
        <v>1258</v>
      </c>
      <c r="I469" s="359" t="s">
        <v>212</v>
      </c>
      <c r="J469" s="360" t="s">
        <v>790</v>
      </c>
      <c r="K469" s="360"/>
      <c r="L469" s="361">
        <v>46119</v>
      </c>
      <c r="M469" s="356" t="s">
        <v>1248</v>
      </c>
      <c r="O469" s="5" t="s">
        <v>55</v>
      </c>
      <c r="Q469" s="5"/>
      <c r="T469" s="24">
        <v>46174</v>
      </c>
      <c r="X469" s="5" t="s">
        <v>209</v>
      </c>
      <c r="Y469" s="5">
        <v>0.5</v>
      </c>
      <c r="AD469" s="90" t="s">
        <v>599</v>
      </c>
      <c r="AE469" s="21"/>
      <c r="AF469" s="21"/>
      <c r="AH469" s="21"/>
      <c r="AM469" s="58"/>
      <c r="AN469" s="58"/>
      <c r="AR469" s="21"/>
    </row>
    <row r="470" spans="2:44" ht="18.649999999999999" customHeight="1">
      <c r="B470" s="355" t="s">
        <v>741</v>
      </c>
      <c r="C470" s="21" t="s">
        <v>1245</v>
      </c>
      <c r="D470" s="356" t="s">
        <v>48</v>
      </c>
      <c r="E470" s="357" t="s">
        <v>678</v>
      </c>
      <c r="F470" s="358">
        <v>2000000311</v>
      </c>
      <c r="G470" s="357" t="s">
        <v>690</v>
      </c>
      <c r="H470" s="359" t="s">
        <v>1250</v>
      </c>
      <c r="I470" s="359" t="s">
        <v>212</v>
      </c>
      <c r="J470" s="360" t="s">
        <v>790</v>
      </c>
      <c r="K470" s="360"/>
      <c r="L470" s="361">
        <v>46119</v>
      </c>
      <c r="M470" s="356" t="s">
        <v>1248</v>
      </c>
      <c r="O470" s="5" t="s">
        <v>55</v>
      </c>
      <c r="Q470" s="5"/>
      <c r="T470" s="24">
        <v>46174</v>
      </c>
      <c r="X470" s="5" t="s">
        <v>209</v>
      </c>
      <c r="Y470" s="5">
        <v>0.5</v>
      </c>
      <c r="AD470" s="90" t="s">
        <v>599</v>
      </c>
      <c r="AE470" s="21"/>
      <c r="AF470" s="21"/>
      <c r="AH470" s="21"/>
      <c r="AM470" s="58"/>
      <c r="AN470" s="58"/>
      <c r="AR470" s="21"/>
    </row>
    <row r="471" spans="2:44" ht="18.649999999999999" customHeight="1">
      <c r="B471" s="355" t="s">
        <v>741</v>
      </c>
      <c r="C471" s="21" t="s">
        <v>1245</v>
      </c>
      <c r="D471" s="356" t="s">
        <v>48</v>
      </c>
      <c r="E471" s="357" t="s">
        <v>678</v>
      </c>
      <c r="F471" s="358">
        <v>2000006926</v>
      </c>
      <c r="G471" s="357" t="s">
        <v>1066</v>
      </c>
      <c r="H471" s="359" t="s">
        <v>1255</v>
      </c>
      <c r="I471" s="359" t="s">
        <v>212</v>
      </c>
      <c r="J471" s="360" t="s">
        <v>790</v>
      </c>
      <c r="K471" s="360"/>
      <c r="L471" s="361">
        <v>46119</v>
      </c>
      <c r="M471" s="356" t="s">
        <v>1248</v>
      </c>
      <c r="O471" s="5" t="s">
        <v>55</v>
      </c>
      <c r="Q471" s="5"/>
      <c r="T471" s="24">
        <v>46174</v>
      </c>
      <c r="X471" s="5" t="s">
        <v>209</v>
      </c>
      <c r="Y471" s="5">
        <v>0.5</v>
      </c>
      <c r="AD471" s="90" t="s">
        <v>599</v>
      </c>
      <c r="AE471" s="21"/>
      <c r="AF471" s="21"/>
      <c r="AH471" s="21"/>
      <c r="AM471" s="58"/>
      <c r="AN471" s="58"/>
      <c r="AR471" s="21"/>
    </row>
    <row r="472" spans="2:44" ht="18.649999999999999" customHeight="1">
      <c r="B472" s="355" t="s">
        <v>741</v>
      </c>
      <c r="C472" s="21" t="s">
        <v>1245</v>
      </c>
      <c r="D472" s="356" t="s">
        <v>48</v>
      </c>
      <c r="E472" s="357" t="s">
        <v>678</v>
      </c>
      <c r="F472" s="358">
        <v>2000007680</v>
      </c>
      <c r="G472" s="357" t="s">
        <v>1259</v>
      </c>
      <c r="H472" s="359" t="s">
        <v>1260</v>
      </c>
      <c r="I472" s="359" t="s">
        <v>212</v>
      </c>
      <c r="J472" s="360" t="s">
        <v>790</v>
      </c>
      <c r="K472" s="360"/>
      <c r="L472" s="361">
        <v>46119</v>
      </c>
      <c r="M472" s="356" t="s">
        <v>1248</v>
      </c>
      <c r="O472" s="5" t="s">
        <v>55</v>
      </c>
      <c r="Q472" s="5"/>
      <c r="T472" s="24">
        <v>46174</v>
      </c>
      <c r="X472" s="5" t="s">
        <v>209</v>
      </c>
      <c r="Y472" s="5">
        <v>0.5</v>
      </c>
      <c r="AD472" s="90" t="s">
        <v>599</v>
      </c>
      <c r="AE472" s="21"/>
      <c r="AF472" s="21"/>
      <c r="AH472" s="21"/>
      <c r="AM472" s="58"/>
      <c r="AN472" s="58"/>
      <c r="AR472" s="21"/>
    </row>
    <row r="473" spans="2:44" ht="18.649999999999999" customHeight="1">
      <c r="B473" s="355" t="s">
        <v>741</v>
      </c>
      <c r="C473" s="21" t="s">
        <v>1245</v>
      </c>
      <c r="D473" s="356" t="s">
        <v>48</v>
      </c>
      <c r="E473" s="357" t="s">
        <v>678</v>
      </c>
      <c r="F473" s="358">
        <v>2000005297</v>
      </c>
      <c r="G473" s="357" t="s">
        <v>1261</v>
      </c>
      <c r="H473" s="359" t="s">
        <v>1250</v>
      </c>
      <c r="I473" s="359" t="s">
        <v>212</v>
      </c>
      <c r="J473" s="360" t="s">
        <v>790</v>
      </c>
      <c r="K473" s="360"/>
      <c r="L473" s="361">
        <v>46119</v>
      </c>
      <c r="M473" s="356" t="s">
        <v>1248</v>
      </c>
      <c r="O473" s="5" t="s">
        <v>55</v>
      </c>
      <c r="Q473" s="5"/>
      <c r="T473" s="24">
        <v>46174</v>
      </c>
      <c r="X473" s="5" t="s">
        <v>209</v>
      </c>
      <c r="Y473" s="5">
        <v>0.5</v>
      </c>
      <c r="AD473" s="90" t="s">
        <v>599</v>
      </c>
      <c r="AE473" s="21"/>
      <c r="AF473" s="21"/>
      <c r="AH473" s="21"/>
      <c r="AM473" s="58"/>
      <c r="AN473" s="58"/>
      <c r="AR473" s="21"/>
    </row>
    <row r="474" spans="2:44" ht="18.649999999999999" customHeight="1">
      <c r="B474" s="355" t="s">
        <v>741</v>
      </c>
      <c r="C474" s="21" t="s">
        <v>1245</v>
      </c>
      <c r="D474" s="356" t="s">
        <v>48</v>
      </c>
      <c r="E474" s="357" t="s">
        <v>678</v>
      </c>
      <c r="F474" s="358">
        <v>2000007272</v>
      </c>
      <c r="G474" s="357" t="s">
        <v>693</v>
      </c>
      <c r="H474" s="359" t="s">
        <v>1255</v>
      </c>
      <c r="I474" s="359" t="s">
        <v>212</v>
      </c>
      <c r="J474" s="360" t="s">
        <v>790</v>
      </c>
      <c r="K474" s="360"/>
      <c r="L474" s="361">
        <v>46119</v>
      </c>
      <c r="M474" s="356" t="s">
        <v>1248</v>
      </c>
      <c r="O474" s="5" t="s">
        <v>55</v>
      </c>
      <c r="Q474" s="5"/>
      <c r="T474" s="24">
        <v>46174</v>
      </c>
      <c r="X474" s="5" t="s">
        <v>209</v>
      </c>
      <c r="Y474" s="5">
        <v>0.5</v>
      </c>
      <c r="AD474" s="90" t="s">
        <v>599</v>
      </c>
      <c r="AE474" s="21"/>
      <c r="AF474" s="21"/>
      <c r="AH474" s="21"/>
      <c r="AM474" s="58"/>
      <c r="AN474" s="58"/>
      <c r="AR474" s="21"/>
    </row>
    <row r="475" spans="2:44" ht="18.649999999999999" customHeight="1">
      <c r="B475" s="355" t="s">
        <v>741</v>
      </c>
      <c r="C475" s="21" t="s">
        <v>1245</v>
      </c>
      <c r="D475" s="356" t="s">
        <v>48</v>
      </c>
      <c r="E475" s="357" t="s">
        <v>678</v>
      </c>
      <c r="F475" s="358">
        <v>2000005674</v>
      </c>
      <c r="G475" s="357" t="s">
        <v>1262</v>
      </c>
      <c r="H475" s="359" t="s">
        <v>1263</v>
      </c>
      <c r="I475" s="359" t="s">
        <v>212</v>
      </c>
      <c r="J475" s="360" t="s">
        <v>790</v>
      </c>
      <c r="K475" s="360"/>
      <c r="L475" s="361">
        <v>46119</v>
      </c>
      <c r="M475" s="356" t="s">
        <v>1248</v>
      </c>
      <c r="O475" s="5" t="s">
        <v>55</v>
      </c>
      <c r="Q475" s="5"/>
      <c r="T475" s="24">
        <v>46174</v>
      </c>
      <c r="X475" s="5" t="s">
        <v>209</v>
      </c>
      <c r="Y475" s="5">
        <v>0.5</v>
      </c>
      <c r="AD475" s="90" t="s">
        <v>599</v>
      </c>
      <c r="AE475" s="21"/>
      <c r="AF475" s="21"/>
      <c r="AH475" s="21"/>
      <c r="AM475" s="58"/>
      <c r="AN475" s="58"/>
      <c r="AR475" s="21"/>
    </row>
    <row r="476" spans="2:44" ht="18.649999999999999" customHeight="1">
      <c r="B476" s="355" t="s">
        <v>741</v>
      </c>
      <c r="C476" s="21" t="s">
        <v>1245</v>
      </c>
      <c r="D476" s="356" t="s">
        <v>48</v>
      </c>
      <c r="E476" s="357" t="s">
        <v>678</v>
      </c>
      <c r="F476" s="358">
        <v>2000014502</v>
      </c>
      <c r="G476" s="357" t="s">
        <v>1069</v>
      </c>
      <c r="H476" s="359" t="s">
        <v>1250</v>
      </c>
      <c r="I476" s="359" t="s">
        <v>212</v>
      </c>
      <c r="J476" s="360" t="s">
        <v>790</v>
      </c>
      <c r="K476" s="360"/>
      <c r="L476" s="361">
        <v>46119</v>
      </c>
      <c r="M476" s="356" t="s">
        <v>1248</v>
      </c>
      <c r="O476" s="5" t="s">
        <v>55</v>
      </c>
      <c r="Q476" s="5"/>
      <c r="T476" s="24">
        <v>46174</v>
      </c>
      <c r="X476" s="5" t="s">
        <v>209</v>
      </c>
      <c r="Y476" s="5">
        <v>0.5</v>
      </c>
      <c r="AD476" s="90" t="s">
        <v>599</v>
      </c>
      <c r="AE476" s="21"/>
      <c r="AF476" s="21"/>
      <c r="AH476" s="21"/>
      <c r="AM476" s="58"/>
      <c r="AN476" s="58"/>
      <c r="AR476" s="21"/>
    </row>
    <row r="477" spans="2:44" ht="18.649999999999999" customHeight="1">
      <c r="B477" s="355" t="s">
        <v>741</v>
      </c>
      <c r="C477" s="21" t="s">
        <v>1245</v>
      </c>
      <c r="D477" s="356" t="s">
        <v>48</v>
      </c>
      <c r="E477" s="357" t="s">
        <v>678</v>
      </c>
      <c r="F477" s="358">
        <v>2000014271</v>
      </c>
      <c r="G477" s="357" t="s">
        <v>1070</v>
      </c>
      <c r="H477" s="359" t="s">
        <v>1260</v>
      </c>
      <c r="I477" s="359" t="s">
        <v>212</v>
      </c>
      <c r="J477" s="360" t="s">
        <v>790</v>
      </c>
      <c r="K477" s="360"/>
      <c r="L477" s="361">
        <v>46119</v>
      </c>
      <c r="M477" s="356" t="s">
        <v>1248</v>
      </c>
      <c r="O477" s="5" t="s">
        <v>55</v>
      </c>
      <c r="Q477" s="5"/>
      <c r="T477" s="24">
        <v>46174</v>
      </c>
      <c r="X477" s="5" t="s">
        <v>209</v>
      </c>
      <c r="Y477" s="5">
        <v>0.5</v>
      </c>
      <c r="AD477" s="90" t="s">
        <v>599</v>
      </c>
      <c r="AE477" s="21"/>
      <c r="AF477" s="21"/>
      <c r="AH477" s="21"/>
      <c r="AM477" s="58"/>
      <c r="AN477" s="58"/>
      <c r="AR477" s="21"/>
    </row>
    <row r="478" spans="2:44" ht="18.5" customHeight="1">
      <c r="B478" s="362" t="s">
        <v>741</v>
      </c>
      <c r="C478" s="328">
        <v>46135</v>
      </c>
      <c r="D478" s="20" t="s">
        <v>48</v>
      </c>
      <c r="E478" s="22" t="s">
        <v>262</v>
      </c>
      <c r="F478" s="31">
        <v>1000013590</v>
      </c>
      <c r="G478" s="22" t="s">
        <v>263</v>
      </c>
      <c r="H478" s="30">
        <v>4028</v>
      </c>
      <c r="I478" s="61" t="s">
        <v>52</v>
      </c>
      <c r="K478" s="21" t="s">
        <v>53</v>
      </c>
      <c r="L478" s="177">
        <v>46095</v>
      </c>
      <c r="M478" s="214" t="s">
        <v>1264</v>
      </c>
      <c r="N478" s="5">
        <v>90482343</v>
      </c>
      <c r="O478" s="5" t="s">
        <v>68</v>
      </c>
      <c r="Q478" s="20" t="s">
        <v>1265</v>
      </c>
      <c r="R478" s="20" t="s">
        <v>287</v>
      </c>
      <c r="S478" s="20" t="s">
        <v>1266</v>
      </c>
      <c r="T478" s="24">
        <v>46143</v>
      </c>
      <c r="U478" s="65">
        <v>46138</v>
      </c>
      <c r="V478" s="65">
        <v>46146</v>
      </c>
      <c r="X478" s="5" t="s">
        <v>170</v>
      </c>
      <c r="Y478" s="5">
        <v>4</v>
      </c>
      <c r="AA478" s="137">
        <v>46138</v>
      </c>
      <c r="AB478" s="137">
        <v>46146</v>
      </c>
      <c r="AD478" s="90" t="s">
        <v>599</v>
      </c>
      <c r="AF478" s="137">
        <v>46147</v>
      </c>
      <c r="AG478" s="137">
        <v>46142</v>
      </c>
      <c r="AH478" s="5"/>
      <c r="AK478" s="275">
        <v>46157</v>
      </c>
      <c r="AL478" s="363">
        <v>82976.800000000003</v>
      </c>
      <c r="AM478" s="364"/>
      <c r="AN478" s="58"/>
      <c r="AR478" s="21"/>
    </row>
    <row r="479" spans="2:44" ht="18.5" customHeight="1">
      <c r="B479" s="362" t="s">
        <v>741</v>
      </c>
      <c r="C479" s="328">
        <v>46134</v>
      </c>
      <c r="D479" s="20" t="s">
        <v>48</v>
      </c>
      <c r="E479" s="22" t="s">
        <v>262</v>
      </c>
      <c r="F479" s="31">
        <v>1000013590</v>
      </c>
      <c r="G479" s="22" t="s">
        <v>263</v>
      </c>
      <c r="H479" s="5">
        <v>3021</v>
      </c>
      <c r="I479" s="61" t="s">
        <v>52</v>
      </c>
      <c r="K479" s="21" t="s">
        <v>53</v>
      </c>
      <c r="L479" s="177">
        <v>46095</v>
      </c>
      <c r="M479" s="214" t="s">
        <v>1267</v>
      </c>
      <c r="N479" s="5">
        <v>90482798</v>
      </c>
      <c r="O479" s="5" t="s">
        <v>68</v>
      </c>
      <c r="Q479" s="20" t="s">
        <v>1268</v>
      </c>
      <c r="R479" s="20" t="s">
        <v>287</v>
      </c>
      <c r="S479" s="20" t="s">
        <v>1269</v>
      </c>
      <c r="T479" s="24">
        <v>46157</v>
      </c>
      <c r="U479" s="65">
        <v>46141</v>
      </c>
      <c r="V479" s="65">
        <v>46148</v>
      </c>
      <c r="X479" s="5" t="s">
        <v>170</v>
      </c>
      <c r="Y479" s="5">
        <v>3</v>
      </c>
      <c r="AA479" s="65">
        <v>46141</v>
      </c>
      <c r="AB479" s="65">
        <v>46148</v>
      </c>
      <c r="AD479" s="90" t="s">
        <v>599</v>
      </c>
      <c r="AF479" s="137">
        <v>46147</v>
      </c>
      <c r="AG479" s="137">
        <v>46147</v>
      </c>
      <c r="AH479" s="5"/>
      <c r="AK479" s="275">
        <v>46157</v>
      </c>
      <c r="AL479" s="363">
        <v>62232.6</v>
      </c>
      <c r="AM479" s="364"/>
      <c r="AN479" s="58"/>
      <c r="AR479" s="21"/>
    </row>
    <row r="480" spans="2:44" ht="18.649999999999999" customHeight="1">
      <c r="B480" s="362" t="s">
        <v>741</v>
      </c>
      <c r="C480" s="340" t="s">
        <v>1270</v>
      </c>
      <c r="D480" s="20" t="s">
        <v>48</v>
      </c>
      <c r="E480" s="22" t="s">
        <v>262</v>
      </c>
      <c r="F480" s="31">
        <v>1000013590</v>
      </c>
      <c r="G480" s="22" t="s">
        <v>263</v>
      </c>
      <c r="H480" s="30">
        <v>4028</v>
      </c>
      <c r="I480" s="61" t="s">
        <v>52</v>
      </c>
      <c r="K480" s="21" t="s">
        <v>53</v>
      </c>
      <c r="L480" s="177">
        <v>46095</v>
      </c>
      <c r="M480" s="20" t="s">
        <v>1271</v>
      </c>
      <c r="O480" s="5" t="s">
        <v>68</v>
      </c>
      <c r="Q480" s="5"/>
      <c r="T480" s="24">
        <v>46174</v>
      </c>
      <c r="U480" s="352">
        <v>46162</v>
      </c>
      <c r="V480" s="352">
        <v>46169</v>
      </c>
      <c r="X480" s="5" t="s">
        <v>170</v>
      </c>
      <c r="Y480" s="5">
        <v>4</v>
      </c>
      <c r="AD480" s="90" t="s">
        <v>599</v>
      </c>
      <c r="AE480" s="21"/>
      <c r="AF480" s="21"/>
      <c r="AH480" s="21"/>
      <c r="AJ480" s="319"/>
      <c r="AK480" s="365"/>
      <c r="AL480" s="319"/>
      <c r="AM480" s="58"/>
      <c r="AN480" s="58"/>
      <c r="AR480" s="21"/>
    </row>
    <row r="481" spans="1:44" ht="18.649999999999999" customHeight="1">
      <c r="B481" s="362" t="s">
        <v>741</v>
      </c>
      <c r="D481" s="20" t="s">
        <v>48</v>
      </c>
      <c r="E481" s="22" t="s">
        <v>262</v>
      </c>
      <c r="F481" s="31">
        <v>1000013590</v>
      </c>
      <c r="G481" s="22" t="s">
        <v>263</v>
      </c>
      <c r="H481" s="30">
        <v>4028</v>
      </c>
      <c r="I481" s="61" t="s">
        <v>52</v>
      </c>
      <c r="K481" s="21" t="s">
        <v>53</v>
      </c>
      <c r="L481" s="177">
        <v>46095</v>
      </c>
      <c r="M481" s="20" t="s">
        <v>1272</v>
      </c>
      <c r="O481" s="5" t="s">
        <v>68</v>
      </c>
      <c r="Q481" s="5"/>
      <c r="T481" s="24">
        <v>46204</v>
      </c>
      <c r="X481" s="5" t="s">
        <v>170</v>
      </c>
      <c r="Y481" s="5">
        <v>4</v>
      </c>
      <c r="AD481" s="90" t="s">
        <v>599</v>
      </c>
      <c r="AE481" s="21"/>
      <c r="AF481" s="21"/>
      <c r="AH481" s="21"/>
      <c r="AM481" s="58"/>
      <c r="AN481" s="58"/>
      <c r="AR481" s="21"/>
    </row>
    <row r="482" spans="1:44" ht="18.649999999999999" customHeight="1">
      <c r="B482" s="362" t="s">
        <v>741</v>
      </c>
      <c r="D482" s="48" t="s">
        <v>48</v>
      </c>
      <c r="E482" s="22" t="s">
        <v>360</v>
      </c>
      <c r="F482" s="49" t="s">
        <v>361</v>
      </c>
      <c r="G482" s="22" t="s">
        <v>362</v>
      </c>
      <c r="H482" s="48">
        <v>2030</v>
      </c>
      <c r="I482" s="61" t="s">
        <v>110</v>
      </c>
      <c r="K482" s="21" t="s">
        <v>53</v>
      </c>
      <c r="L482" s="177">
        <v>46095</v>
      </c>
      <c r="M482" s="20" t="s">
        <v>1273</v>
      </c>
      <c r="O482" s="5" t="s">
        <v>68</v>
      </c>
      <c r="Q482" s="5"/>
      <c r="T482" s="24">
        <v>46174</v>
      </c>
      <c r="U482" s="282">
        <v>46160</v>
      </c>
      <c r="V482" s="282">
        <v>46172</v>
      </c>
      <c r="X482" s="20" t="s">
        <v>58</v>
      </c>
      <c r="Y482" s="20">
        <v>1</v>
      </c>
      <c r="AD482" s="90" t="s">
        <v>599</v>
      </c>
      <c r="AE482" s="21"/>
      <c r="AF482" s="21"/>
      <c r="AH482" s="21"/>
      <c r="AM482" s="58"/>
      <c r="AN482" s="58"/>
      <c r="AR482" s="21"/>
    </row>
    <row r="483" spans="1:44" ht="18.649999999999999" customHeight="1">
      <c r="B483" s="362" t="s">
        <v>741</v>
      </c>
      <c r="D483" s="48" t="s">
        <v>48</v>
      </c>
      <c r="E483" s="22" t="s">
        <v>360</v>
      </c>
      <c r="F483" s="49" t="s">
        <v>361</v>
      </c>
      <c r="G483" s="22" t="s">
        <v>362</v>
      </c>
      <c r="H483" s="48">
        <v>2030</v>
      </c>
      <c r="I483" s="61" t="s">
        <v>110</v>
      </c>
      <c r="K483" s="21" t="s">
        <v>53</v>
      </c>
      <c r="L483" s="177">
        <v>46095</v>
      </c>
      <c r="M483" s="20" t="s">
        <v>1274</v>
      </c>
      <c r="O483" s="5" t="s">
        <v>68</v>
      </c>
      <c r="Q483" s="5"/>
      <c r="T483" s="24">
        <v>46204</v>
      </c>
      <c r="U483" s="282">
        <v>46191</v>
      </c>
      <c r="V483" s="282">
        <v>46203</v>
      </c>
      <c r="X483" s="20" t="s">
        <v>58</v>
      </c>
      <c r="Y483" s="20">
        <v>1</v>
      </c>
      <c r="AD483" s="90" t="s">
        <v>599</v>
      </c>
      <c r="AE483" s="21"/>
      <c r="AF483" s="21"/>
      <c r="AH483" s="21"/>
      <c r="AM483" s="58"/>
      <c r="AN483" s="58"/>
      <c r="AR483" s="21"/>
    </row>
    <row r="484" spans="1:44" ht="18.649999999999999" customHeight="1">
      <c r="B484" s="362" t="s">
        <v>741</v>
      </c>
      <c r="D484" s="48" t="s">
        <v>48</v>
      </c>
      <c r="E484" s="52" t="s">
        <v>63</v>
      </c>
      <c r="F484" s="49">
        <v>1000038424</v>
      </c>
      <c r="G484" s="22" t="s">
        <v>64</v>
      </c>
      <c r="H484" s="30">
        <v>5628</v>
      </c>
      <c r="I484" s="61" t="s">
        <v>65</v>
      </c>
      <c r="K484" s="21" t="s">
        <v>53</v>
      </c>
      <c r="L484" s="177">
        <v>46095</v>
      </c>
      <c r="M484" s="20" t="s">
        <v>1275</v>
      </c>
      <c r="O484" s="5" t="s">
        <v>68</v>
      </c>
      <c r="Q484" s="5"/>
      <c r="T484" s="24">
        <v>46204</v>
      </c>
      <c r="X484" s="20" t="s">
        <v>58</v>
      </c>
      <c r="Y484" s="5">
        <v>4</v>
      </c>
      <c r="AD484" s="90" t="s">
        <v>72</v>
      </c>
      <c r="AE484" s="21"/>
      <c r="AF484" s="21"/>
      <c r="AH484" s="21"/>
      <c r="AM484" s="58"/>
      <c r="AN484" s="58"/>
      <c r="AR484" s="21"/>
    </row>
    <row r="485" spans="1:44" ht="18.649999999999999" customHeight="1">
      <c r="B485" s="362" t="s">
        <v>741</v>
      </c>
      <c r="D485" s="48" t="s">
        <v>48</v>
      </c>
      <c r="E485" s="52" t="s">
        <v>63</v>
      </c>
      <c r="F485" s="49">
        <v>1000038424</v>
      </c>
      <c r="G485" s="22" t="s">
        <v>64</v>
      </c>
      <c r="H485" s="30">
        <v>5628</v>
      </c>
      <c r="I485" s="61" t="s">
        <v>65</v>
      </c>
      <c r="J485" s="366" t="s">
        <v>53</v>
      </c>
      <c r="K485" s="367" t="s">
        <v>53</v>
      </c>
      <c r="L485" s="177">
        <v>46127</v>
      </c>
      <c r="M485" s="20" t="s">
        <v>1276</v>
      </c>
      <c r="O485" s="5" t="s">
        <v>68</v>
      </c>
      <c r="Q485" s="5"/>
      <c r="T485" s="24">
        <v>46235</v>
      </c>
      <c r="X485" s="20" t="s">
        <v>58</v>
      </c>
      <c r="Y485" s="5">
        <v>4</v>
      </c>
      <c r="AD485" s="90" t="s">
        <v>72</v>
      </c>
      <c r="AE485" s="21"/>
      <c r="AF485" s="21"/>
      <c r="AH485" s="21"/>
      <c r="AM485" s="58"/>
      <c r="AN485" s="58"/>
      <c r="AR485" s="21"/>
    </row>
    <row r="486" spans="1:44" ht="18.649999999999999" customHeight="1">
      <c r="B486" s="362" t="s">
        <v>741</v>
      </c>
      <c r="D486" s="20" t="s">
        <v>48</v>
      </c>
      <c r="E486" s="22" t="s">
        <v>74</v>
      </c>
      <c r="F486" s="31">
        <v>1000037051</v>
      </c>
      <c r="G486" s="22" t="s">
        <v>75</v>
      </c>
      <c r="H486" s="20">
        <v>2000</v>
      </c>
      <c r="I486" s="20" t="s">
        <v>52</v>
      </c>
      <c r="J486" s="21" t="s">
        <v>1277</v>
      </c>
      <c r="K486" s="21" t="s">
        <v>53</v>
      </c>
      <c r="L486" s="177">
        <v>46095</v>
      </c>
      <c r="M486" s="20" t="s">
        <v>1278</v>
      </c>
      <c r="N486" s="5" t="s">
        <v>1279</v>
      </c>
      <c r="O486" s="5" t="s">
        <v>68</v>
      </c>
      <c r="Q486" s="5"/>
      <c r="T486" s="24">
        <v>46204</v>
      </c>
      <c r="X486" s="40" t="s">
        <v>58</v>
      </c>
      <c r="Y486" s="40">
        <v>1</v>
      </c>
      <c r="AD486" s="90" t="s">
        <v>599</v>
      </c>
      <c r="AE486" s="21"/>
      <c r="AF486" s="21"/>
      <c r="AH486" s="21"/>
      <c r="AM486" s="58"/>
      <c r="AN486" s="58"/>
      <c r="AR486" s="21"/>
    </row>
    <row r="487" spans="1:44" ht="18.649999999999999" customHeight="1">
      <c r="B487" s="362" t="s">
        <v>741</v>
      </c>
      <c r="D487" s="20" t="s">
        <v>48</v>
      </c>
      <c r="E487" s="22" t="s">
        <v>74</v>
      </c>
      <c r="F487" s="31">
        <v>1000037051</v>
      </c>
      <c r="G487" s="22" t="s">
        <v>75</v>
      </c>
      <c r="H487" s="20">
        <v>2000</v>
      </c>
      <c r="I487" s="20" t="s">
        <v>52</v>
      </c>
      <c r="J487" s="21" t="s">
        <v>1277</v>
      </c>
      <c r="K487" s="21" t="s">
        <v>53</v>
      </c>
      <c r="L487" s="177">
        <v>46095</v>
      </c>
      <c r="M487" s="20" t="s">
        <v>1280</v>
      </c>
      <c r="N487" s="5" t="s">
        <v>1281</v>
      </c>
      <c r="O487" s="5" t="s">
        <v>68</v>
      </c>
      <c r="Q487" s="5"/>
      <c r="T487" s="24">
        <v>46174</v>
      </c>
      <c r="X487" s="40" t="s">
        <v>58</v>
      </c>
      <c r="Y487" s="40">
        <v>1</v>
      </c>
      <c r="AD487" s="90" t="s">
        <v>599</v>
      </c>
      <c r="AE487" s="21"/>
      <c r="AF487" s="21"/>
      <c r="AH487" s="21"/>
      <c r="AM487" s="58"/>
      <c r="AN487" s="58"/>
      <c r="AR487" s="21"/>
    </row>
    <row r="488" spans="1:44" ht="18.649999999999999" customHeight="1">
      <c r="D488" s="20" t="s">
        <v>48</v>
      </c>
      <c r="E488" s="22" t="s">
        <v>74</v>
      </c>
      <c r="F488" s="31">
        <v>1000037051</v>
      </c>
      <c r="G488" s="22" t="s">
        <v>75</v>
      </c>
      <c r="H488" s="20">
        <v>2000</v>
      </c>
      <c r="I488" s="20" t="s">
        <v>52</v>
      </c>
      <c r="J488" s="21" t="s">
        <v>1277</v>
      </c>
      <c r="K488" s="368" t="s">
        <v>53</v>
      </c>
      <c r="L488" s="177">
        <v>46148</v>
      </c>
      <c r="M488" s="20" t="s">
        <v>1282</v>
      </c>
      <c r="O488" s="5" t="s">
        <v>68</v>
      </c>
      <c r="Q488" s="5"/>
      <c r="T488" s="24">
        <v>46235</v>
      </c>
      <c r="X488" s="40" t="s">
        <v>58</v>
      </c>
      <c r="Y488" s="40">
        <v>1</v>
      </c>
      <c r="AD488" s="90" t="s">
        <v>599</v>
      </c>
      <c r="AE488" s="21"/>
      <c r="AF488" s="21"/>
      <c r="AH488" s="21"/>
      <c r="AM488" s="58"/>
      <c r="AN488" s="58"/>
      <c r="AR488" s="21"/>
    </row>
    <row r="489" spans="1:44" ht="18.649999999999999" customHeight="1">
      <c r="B489" s="20" t="s">
        <v>1283</v>
      </c>
      <c r="D489" s="20" t="s">
        <v>99</v>
      </c>
      <c r="E489" s="23" t="s">
        <v>1048</v>
      </c>
      <c r="F489" s="23">
        <v>2000014914</v>
      </c>
      <c r="G489" s="22" t="s">
        <v>1284</v>
      </c>
      <c r="H489" s="5">
        <v>72</v>
      </c>
      <c r="I489" s="5" t="s">
        <v>239</v>
      </c>
      <c r="J489" s="21" t="s">
        <v>1285</v>
      </c>
      <c r="K489" s="21" t="s">
        <v>53</v>
      </c>
      <c r="L489" s="177">
        <v>46092</v>
      </c>
      <c r="M489" s="136" t="s">
        <v>1286</v>
      </c>
      <c r="N489" s="203" t="s">
        <v>1287</v>
      </c>
      <c r="O489" s="5" t="s">
        <v>55</v>
      </c>
      <c r="Q489" s="21" t="s">
        <v>1054</v>
      </c>
      <c r="R489" s="20" t="s">
        <v>217</v>
      </c>
      <c r="S489" s="5" t="s">
        <v>1055</v>
      </c>
      <c r="T489" s="24">
        <v>46104</v>
      </c>
      <c r="U489" s="137">
        <v>46101</v>
      </c>
      <c r="V489" s="137">
        <v>46101</v>
      </c>
      <c r="X489" s="5" t="s">
        <v>217</v>
      </c>
      <c r="Y489" s="5">
        <v>1</v>
      </c>
      <c r="AA489" s="137">
        <v>46101</v>
      </c>
      <c r="AB489" s="137">
        <v>46101</v>
      </c>
      <c r="AD489" s="56" t="s">
        <v>72</v>
      </c>
      <c r="AE489" s="21"/>
      <c r="AF489" s="177">
        <v>46108</v>
      </c>
      <c r="AG489" s="177">
        <v>46106</v>
      </c>
      <c r="AH489" s="177">
        <v>46108</v>
      </c>
      <c r="AI489" s="177">
        <v>46111</v>
      </c>
      <c r="AJ489" s="177"/>
      <c r="AK489" s="178">
        <v>46106</v>
      </c>
      <c r="AL489" s="184">
        <v>1224</v>
      </c>
      <c r="AM489" s="58"/>
      <c r="AN489" s="58"/>
      <c r="AR489" s="21"/>
    </row>
    <row r="490" spans="1:44" ht="18.649999999999999" customHeight="1">
      <c r="A490" s="73" t="s">
        <v>710</v>
      </c>
      <c r="B490" s="20" t="s">
        <v>625</v>
      </c>
      <c r="D490" s="48" t="s">
        <v>48</v>
      </c>
      <c r="E490" s="52" t="s">
        <v>171</v>
      </c>
      <c r="F490" s="49">
        <v>1000011836</v>
      </c>
      <c r="G490" s="22" t="s">
        <v>172</v>
      </c>
      <c r="H490" s="5">
        <v>300</v>
      </c>
      <c r="I490" s="108" t="s">
        <v>52</v>
      </c>
      <c r="J490" s="21" t="s">
        <v>1288</v>
      </c>
      <c r="N490" s="5" t="s">
        <v>1289</v>
      </c>
      <c r="O490" s="5" t="s">
        <v>176</v>
      </c>
      <c r="Q490" s="21" t="s">
        <v>1290</v>
      </c>
      <c r="R490" s="20" t="s">
        <v>178</v>
      </c>
      <c r="S490" s="5" t="s">
        <v>1291</v>
      </c>
      <c r="T490" s="24">
        <v>46195</v>
      </c>
      <c r="U490" s="137">
        <v>46173</v>
      </c>
      <c r="V490" s="137">
        <v>46188</v>
      </c>
      <c r="X490" s="30" t="s">
        <v>58</v>
      </c>
      <c r="Y490" s="5">
        <v>0.5</v>
      </c>
      <c r="AA490" s="137">
        <v>46173</v>
      </c>
      <c r="AB490" s="137">
        <v>46188</v>
      </c>
      <c r="AD490" s="56" t="s">
        <v>72</v>
      </c>
      <c r="AE490" s="21"/>
      <c r="AF490" s="21"/>
      <c r="AH490" s="21"/>
      <c r="AM490" s="58"/>
      <c r="AN490" s="58"/>
      <c r="AR490" s="21"/>
    </row>
    <row r="491" spans="1:44" ht="18.649999999999999" customHeight="1">
      <c r="A491" s="73" t="s">
        <v>710</v>
      </c>
      <c r="B491" s="20" t="s">
        <v>625</v>
      </c>
      <c r="D491" s="48" t="s">
        <v>48</v>
      </c>
      <c r="E491" s="52" t="s">
        <v>171</v>
      </c>
      <c r="F491" s="49">
        <v>1000022205</v>
      </c>
      <c r="G491" s="22" t="s">
        <v>181</v>
      </c>
      <c r="H491" s="5">
        <v>600</v>
      </c>
      <c r="I491" s="108" t="s">
        <v>52</v>
      </c>
      <c r="J491" s="21" t="s">
        <v>1288</v>
      </c>
      <c r="N491" s="5" t="s">
        <v>1289</v>
      </c>
      <c r="O491" s="5" t="s">
        <v>176</v>
      </c>
      <c r="Q491" s="21" t="s">
        <v>1290</v>
      </c>
      <c r="R491" s="20" t="s">
        <v>178</v>
      </c>
      <c r="S491" s="5" t="s">
        <v>1291</v>
      </c>
      <c r="T491" s="24">
        <v>46195</v>
      </c>
      <c r="U491" s="137">
        <v>46173</v>
      </c>
      <c r="V491" s="137">
        <v>46188</v>
      </c>
      <c r="X491" s="30" t="s">
        <v>58</v>
      </c>
      <c r="Y491" s="5">
        <v>0.5</v>
      </c>
      <c r="AA491" s="137">
        <v>46173</v>
      </c>
      <c r="AB491" s="137">
        <v>46188</v>
      </c>
      <c r="AD491" s="56" t="s">
        <v>72</v>
      </c>
      <c r="AE491" s="21"/>
      <c r="AF491" s="21"/>
      <c r="AH491" s="21"/>
      <c r="AM491" s="58"/>
      <c r="AN491" s="58"/>
      <c r="AR491" s="21"/>
    </row>
    <row r="492" spans="1:44" ht="18.649999999999999" customHeight="1">
      <c r="A492" s="73" t="s">
        <v>710</v>
      </c>
      <c r="B492" s="20" t="s">
        <v>625</v>
      </c>
      <c r="D492" s="48" t="s">
        <v>48</v>
      </c>
      <c r="E492" s="52" t="s">
        <v>171</v>
      </c>
      <c r="F492" s="49">
        <v>1000036622</v>
      </c>
      <c r="G492" s="22" t="s">
        <v>182</v>
      </c>
      <c r="H492" s="5">
        <v>530</v>
      </c>
      <c r="I492" s="108" t="s">
        <v>52</v>
      </c>
      <c r="J492" s="21" t="s">
        <v>1288</v>
      </c>
      <c r="N492" s="5" t="s">
        <v>1289</v>
      </c>
      <c r="O492" s="5" t="s">
        <v>176</v>
      </c>
      <c r="Q492" s="21" t="s">
        <v>1290</v>
      </c>
      <c r="R492" s="20" t="s">
        <v>178</v>
      </c>
      <c r="S492" s="5" t="s">
        <v>1291</v>
      </c>
      <c r="T492" s="24">
        <v>46195</v>
      </c>
      <c r="U492" s="137">
        <v>46173</v>
      </c>
      <c r="V492" s="137">
        <v>46188</v>
      </c>
      <c r="X492" s="30" t="s">
        <v>58</v>
      </c>
      <c r="Y492" s="5">
        <v>0.5</v>
      </c>
      <c r="AA492" s="137">
        <v>46173</v>
      </c>
      <c r="AB492" s="137">
        <v>46188</v>
      </c>
      <c r="AD492" s="56" t="s">
        <v>72</v>
      </c>
      <c r="AE492" s="21"/>
      <c r="AF492" s="21"/>
      <c r="AH492" s="21"/>
      <c r="AM492" s="58"/>
      <c r="AN492" s="58"/>
      <c r="AR492" s="21"/>
    </row>
    <row r="493" spans="1:44" ht="18.649999999999999" customHeight="1">
      <c r="A493" s="73" t="s">
        <v>710</v>
      </c>
      <c r="B493" s="20" t="s">
        <v>625</v>
      </c>
      <c r="D493" s="48" t="s">
        <v>48</v>
      </c>
      <c r="E493" s="49" t="s">
        <v>171</v>
      </c>
      <c r="F493" s="49">
        <v>1000011836</v>
      </c>
      <c r="G493" s="22" t="s">
        <v>172</v>
      </c>
      <c r="H493" s="5">
        <v>250</v>
      </c>
      <c r="I493" s="108" t="s">
        <v>52</v>
      </c>
      <c r="J493" s="21" t="s">
        <v>1292</v>
      </c>
      <c r="N493" s="5" t="s">
        <v>1293</v>
      </c>
      <c r="O493" s="5" t="s">
        <v>176</v>
      </c>
      <c r="Q493" s="20" t="s">
        <v>1294</v>
      </c>
      <c r="R493" s="20" t="s">
        <v>178</v>
      </c>
      <c r="S493" s="5" t="s">
        <v>471</v>
      </c>
      <c r="T493" s="24">
        <v>46202</v>
      </c>
      <c r="U493" s="137">
        <v>46187</v>
      </c>
      <c r="V493" s="137">
        <v>46202</v>
      </c>
      <c r="X493" s="30" t="s">
        <v>58</v>
      </c>
      <c r="Y493" s="5">
        <v>0.5</v>
      </c>
      <c r="AA493" s="137">
        <v>46188</v>
      </c>
      <c r="AB493" s="137">
        <v>46202</v>
      </c>
      <c r="AD493" s="56" t="s">
        <v>72</v>
      </c>
      <c r="AE493" s="21"/>
      <c r="AF493" s="21"/>
      <c r="AH493" s="21"/>
      <c r="AM493" s="58"/>
      <c r="AN493" s="58"/>
      <c r="AR493" s="21"/>
    </row>
    <row r="494" spans="1:44" ht="18.649999999999999" customHeight="1">
      <c r="A494" s="73" t="s">
        <v>710</v>
      </c>
      <c r="B494" s="20" t="s">
        <v>625</v>
      </c>
      <c r="D494" s="48" t="s">
        <v>48</v>
      </c>
      <c r="E494" s="49" t="s">
        <v>171</v>
      </c>
      <c r="F494" s="49">
        <v>1000022205</v>
      </c>
      <c r="G494" s="22" t="s">
        <v>181</v>
      </c>
      <c r="H494" s="5">
        <v>530</v>
      </c>
      <c r="I494" s="108" t="s">
        <v>52</v>
      </c>
      <c r="J494" s="21" t="s">
        <v>1292</v>
      </c>
      <c r="N494" s="5" t="s">
        <v>1293</v>
      </c>
      <c r="O494" s="5" t="s">
        <v>176</v>
      </c>
      <c r="Q494" s="20" t="s">
        <v>1294</v>
      </c>
      <c r="R494" s="20" t="s">
        <v>178</v>
      </c>
      <c r="S494" s="5" t="s">
        <v>471</v>
      </c>
      <c r="T494" s="24">
        <v>46202</v>
      </c>
      <c r="U494" s="137">
        <v>46187</v>
      </c>
      <c r="V494" s="137">
        <v>46202</v>
      </c>
      <c r="X494" s="30" t="s">
        <v>58</v>
      </c>
      <c r="Y494" s="5">
        <v>0.5</v>
      </c>
      <c r="AA494" s="137">
        <v>46189</v>
      </c>
      <c r="AB494" s="137">
        <v>46202</v>
      </c>
      <c r="AD494" s="56" t="s">
        <v>72</v>
      </c>
      <c r="AE494" s="21"/>
      <c r="AF494" s="21"/>
      <c r="AH494" s="21"/>
      <c r="AM494" s="58"/>
      <c r="AN494" s="58"/>
      <c r="AR494" s="21"/>
    </row>
    <row r="495" spans="1:44" ht="18.649999999999999" customHeight="1">
      <c r="A495" s="73" t="s">
        <v>710</v>
      </c>
      <c r="B495" s="20" t="s">
        <v>625</v>
      </c>
      <c r="D495" s="48" t="s">
        <v>48</v>
      </c>
      <c r="E495" s="49" t="s">
        <v>171</v>
      </c>
      <c r="F495" s="49">
        <v>1000036622</v>
      </c>
      <c r="G495" s="22" t="s">
        <v>182</v>
      </c>
      <c r="H495" s="5">
        <v>550</v>
      </c>
      <c r="I495" s="108" t="s">
        <v>52</v>
      </c>
      <c r="J495" s="21" t="s">
        <v>1292</v>
      </c>
      <c r="N495" s="5" t="s">
        <v>1293</v>
      </c>
      <c r="O495" s="5" t="s">
        <v>176</v>
      </c>
      <c r="Q495" s="20" t="s">
        <v>1294</v>
      </c>
      <c r="R495" s="20" t="s">
        <v>178</v>
      </c>
      <c r="S495" s="5" t="s">
        <v>471</v>
      </c>
      <c r="T495" s="24">
        <v>46202</v>
      </c>
      <c r="U495" s="137">
        <v>46187</v>
      </c>
      <c r="V495" s="137">
        <v>46202</v>
      </c>
      <c r="X495" s="30" t="s">
        <v>58</v>
      </c>
      <c r="Y495" s="5">
        <v>0.5</v>
      </c>
      <c r="AA495" s="137">
        <v>46190</v>
      </c>
      <c r="AB495" s="137">
        <v>46202</v>
      </c>
      <c r="AD495" s="56" t="s">
        <v>72</v>
      </c>
      <c r="AE495" s="21"/>
      <c r="AF495" s="21"/>
      <c r="AH495" s="21"/>
      <c r="AM495" s="58"/>
      <c r="AN495" s="58"/>
      <c r="AR495" s="21"/>
    </row>
    <row r="496" spans="1:44" ht="18.649999999999999" customHeight="1">
      <c r="A496" s="73" t="s">
        <v>710</v>
      </c>
      <c r="B496" s="20" t="s">
        <v>625</v>
      </c>
      <c r="D496" s="48" t="s">
        <v>48</v>
      </c>
      <c r="E496" s="52" t="s">
        <v>171</v>
      </c>
      <c r="F496" s="49">
        <v>1000011836</v>
      </c>
      <c r="G496" s="22" t="s">
        <v>172</v>
      </c>
      <c r="H496" s="5">
        <v>130</v>
      </c>
      <c r="I496" s="108" t="s">
        <v>52</v>
      </c>
      <c r="J496" s="368" t="s">
        <v>1295</v>
      </c>
      <c r="K496" s="348" t="s">
        <v>53</v>
      </c>
      <c r="N496" s="5" t="s">
        <v>1296</v>
      </c>
      <c r="O496" s="5" t="s">
        <v>176</v>
      </c>
      <c r="Q496" s="21"/>
      <c r="T496" s="24">
        <v>46216</v>
      </c>
      <c r="X496" s="30" t="s">
        <v>58</v>
      </c>
      <c r="Y496" s="5">
        <v>0.5</v>
      </c>
      <c r="AD496" s="56" t="s">
        <v>72</v>
      </c>
      <c r="AE496" s="21"/>
      <c r="AF496" s="21"/>
      <c r="AH496" s="21"/>
      <c r="AM496" s="58"/>
      <c r="AN496" s="58"/>
      <c r="AR496" s="21"/>
    </row>
    <row r="497" spans="1:44" ht="18.649999999999999" customHeight="1">
      <c r="A497" s="73" t="s">
        <v>710</v>
      </c>
      <c r="B497" s="20" t="s">
        <v>625</v>
      </c>
      <c r="D497" s="48" t="s">
        <v>48</v>
      </c>
      <c r="E497" s="52" t="s">
        <v>171</v>
      </c>
      <c r="F497" s="49">
        <v>1000022205</v>
      </c>
      <c r="G497" s="22" t="s">
        <v>181</v>
      </c>
      <c r="H497" s="5">
        <v>400</v>
      </c>
      <c r="I497" s="108" t="s">
        <v>52</v>
      </c>
      <c r="J497" s="368" t="s">
        <v>1295</v>
      </c>
      <c r="K497" s="348" t="s">
        <v>53</v>
      </c>
      <c r="N497" s="5" t="s">
        <v>1296</v>
      </c>
      <c r="O497" s="5" t="s">
        <v>176</v>
      </c>
      <c r="Q497" s="21"/>
      <c r="T497" s="24">
        <v>46216</v>
      </c>
      <c r="X497" s="30" t="s">
        <v>58</v>
      </c>
      <c r="Y497" s="5">
        <v>0.5</v>
      </c>
      <c r="AD497" s="56" t="s">
        <v>72</v>
      </c>
      <c r="AE497" s="21"/>
      <c r="AF497" s="21"/>
      <c r="AH497" s="21"/>
      <c r="AM497" s="58"/>
      <c r="AN497" s="58"/>
      <c r="AR497" s="21"/>
    </row>
    <row r="498" spans="1:44" ht="18.649999999999999" customHeight="1">
      <c r="A498" s="73" t="s">
        <v>710</v>
      </c>
      <c r="B498" s="20" t="s">
        <v>625</v>
      </c>
      <c r="D498" s="48" t="s">
        <v>48</v>
      </c>
      <c r="E498" s="52" t="s">
        <v>171</v>
      </c>
      <c r="F498" s="49">
        <v>1000036622</v>
      </c>
      <c r="G498" s="22" t="s">
        <v>182</v>
      </c>
      <c r="H498" s="5">
        <v>400</v>
      </c>
      <c r="I498" s="108" t="s">
        <v>52</v>
      </c>
      <c r="J498" s="368" t="s">
        <v>1295</v>
      </c>
      <c r="K498" s="348" t="s">
        <v>53</v>
      </c>
      <c r="N498" s="5" t="s">
        <v>1296</v>
      </c>
      <c r="O498" s="5" t="s">
        <v>176</v>
      </c>
      <c r="Q498" s="21"/>
      <c r="T498" s="24">
        <v>46216</v>
      </c>
      <c r="X498" s="30" t="s">
        <v>58</v>
      </c>
      <c r="Y498" s="5">
        <v>0.5</v>
      </c>
      <c r="AD498" s="56" t="s">
        <v>72</v>
      </c>
      <c r="AE498" s="21"/>
      <c r="AF498" s="21"/>
      <c r="AH498" s="21"/>
      <c r="AM498" s="58"/>
      <c r="AN498" s="58"/>
      <c r="AR498" s="21"/>
    </row>
    <row r="499" spans="1:44" s="370" customFormat="1" ht="18.649999999999999" customHeight="1">
      <c r="A499" s="369"/>
      <c r="B499" s="369" t="s">
        <v>1297</v>
      </c>
      <c r="D499" s="369" t="s">
        <v>1106</v>
      </c>
      <c r="E499" s="371" t="s">
        <v>1107</v>
      </c>
      <c r="F499" s="372">
        <v>1000017170</v>
      </c>
      <c r="G499" s="22" t="s">
        <v>1109</v>
      </c>
      <c r="H499" s="373">
        <v>600</v>
      </c>
      <c r="I499" s="373" t="s">
        <v>1110</v>
      </c>
      <c r="K499" s="370" t="s">
        <v>53</v>
      </c>
      <c r="L499" s="374">
        <v>46094</v>
      </c>
      <c r="M499" s="375" t="s">
        <v>1298</v>
      </c>
      <c r="N499" s="373" t="s">
        <v>1299</v>
      </c>
      <c r="O499" s="373" t="s">
        <v>189</v>
      </c>
      <c r="Q499" s="370" t="s">
        <v>1300</v>
      </c>
      <c r="R499" s="369" t="s">
        <v>476</v>
      </c>
      <c r="S499" s="373" t="s">
        <v>1301</v>
      </c>
      <c r="T499" s="345">
        <v>46143</v>
      </c>
      <c r="U499" s="346">
        <v>46133</v>
      </c>
      <c r="V499" s="346">
        <v>46133</v>
      </c>
      <c r="X499" s="373" t="s">
        <v>217</v>
      </c>
      <c r="Y499" s="373">
        <v>1</v>
      </c>
      <c r="AA499" s="346">
        <v>46133</v>
      </c>
      <c r="AB499" s="346">
        <v>46133</v>
      </c>
      <c r="AD499" s="373" t="s">
        <v>72</v>
      </c>
      <c r="AF499" s="374">
        <v>46134</v>
      </c>
      <c r="AG499" s="374">
        <v>46134</v>
      </c>
      <c r="AH499" s="374">
        <v>46136</v>
      </c>
      <c r="AI499" s="374">
        <v>46139</v>
      </c>
      <c r="AJ499" s="374"/>
      <c r="AK499" s="376">
        <v>46137</v>
      </c>
      <c r="AL499" s="377">
        <v>11538</v>
      </c>
      <c r="AM499" s="378"/>
      <c r="AN499" s="378"/>
    </row>
    <row r="500" spans="1:44" s="380" customFormat="1" ht="18.649999999999999" customHeight="1">
      <c r="A500" s="379"/>
      <c r="B500" s="379" t="s">
        <v>1302</v>
      </c>
      <c r="D500" s="381" t="s">
        <v>48</v>
      </c>
      <c r="E500" s="382" t="s">
        <v>210</v>
      </c>
      <c r="F500" s="383">
        <v>2000007982</v>
      </c>
      <c r="G500" s="22" t="s">
        <v>211</v>
      </c>
      <c r="H500" s="384">
        <v>70</v>
      </c>
      <c r="I500" s="385" t="s">
        <v>212</v>
      </c>
      <c r="K500" s="386"/>
      <c r="L500" s="387">
        <v>46104</v>
      </c>
      <c r="M500" s="381" t="s">
        <v>1303</v>
      </c>
      <c r="N500" s="386">
        <v>28033737</v>
      </c>
      <c r="O500" s="388" t="s">
        <v>189</v>
      </c>
      <c r="R500" s="379"/>
      <c r="S500" s="389"/>
      <c r="T500" s="390">
        <v>46235</v>
      </c>
      <c r="U500" s="389"/>
      <c r="V500" s="389"/>
      <c r="X500" s="386" t="s">
        <v>209</v>
      </c>
      <c r="Y500" s="386">
        <v>0.5</v>
      </c>
      <c r="AA500" s="379"/>
      <c r="AB500" s="379"/>
      <c r="AD500" s="391" t="s">
        <v>72</v>
      </c>
      <c r="AG500" s="389"/>
      <c r="AK500" s="392"/>
      <c r="AM500" s="393"/>
      <c r="AN500" s="393"/>
    </row>
    <row r="501" spans="1:44" s="380" customFormat="1" ht="18.649999999999999" customHeight="1">
      <c r="A501" s="379"/>
      <c r="B501" s="379" t="s">
        <v>1302</v>
      </c>
      <c r="D501" s="381" t="s">
        <v>48</v>
      </c>
      <c r="E501" s="382" t="s">
        <v>210</v>
      </c>
      <c r="F501" s="383">
        <v>2000007103</v>
      </c>
      <c r="G501" s="22" t="s">
        <v>1304</v>
      </c>
      <c r="H501" s="384">
        <v>15</v>
      </c>
      <c r="I501" s="385" t="s">
        <v>212</v>
      </c>
      <c r="K501" s="386"/>
      <c r="L501" s="387">
        <v>46104</v>
      </c>
      <c r="M501" s="381" t="s">
        <v>1303</v>
      </c>
      <c r="N501" s="386">
        <v>28033737</v>
      </c>
      <c r="O501" s="388" t="s">
        <v>189</v>
      </c>
      <c r="R501" s="379"/>
      <c r="S501" s="389"/>
      <c r="T501" s="390">
        <v>46235</v>
      </c>
      <c r="U501" s="389"/>
      <c r="V501" s="389"/>
      <c r="X501" s="386" t="s">
        <v>209</v>
      </c>
      <c r="Y501" s="386">
        <v>0.5</v>
      </c>
      <c r="AA501" s="379"/>
      <c r="AB501" s="379"/>
      <c r="AD501" s="391" t="s">
        <v>72</v>
      </c>
      <c r="AG501" s="389"/>
      <c r="AK501" s="392"/>
      <c r="AM501" s="393"/>
      <c r="AN501" s="393"/>
    </row>
    <row r="502" spans="1:44" s="380" customFormat="1" ht="18.649999999999999" customHeight="1">
      <c r="A502" s="379"/>
      <c r="B502" s="379" t="s">
        <v>1302</v>
      </c>
      <c r="D502" s="381" t="s">
        <v>48</v>
      </c>
      <c r="E502" s="382" t="s">
        <v>210</v>
      </c>
      <c r="F502" s="383">
        <v>2000013446</v>
      </c>
      <c r="G502" s="22" t="s">
        <v>1305</v>
      </c>
      <c r="H502" s="384">
        <v>15</v>
      </c>
      <c r="I502" s="385" t="s">
        <v>212</v>
      </c>
      <c r="K502" s="386"/>
      <c r="L502" s="387">
        <v>46104</v>
      </c>
      <c r="M502" s="381" t="s">
        <v>1303</v>
      </c>
      <c r="N502" s="386">
        <v>28033737</v>
      </c>
      <c r="O502" s="388" t="s">
        <v>189</v>
      </c>
      <c r="R502" s="379"/>
      <c r="S502" s="389"/>
      <c r="T502" s="390">
        <v>46235</v>
      </c>
      <c r="U502" s="389"/>
      <c r="V502" s="389"/>
      <c r="X502" s="386" t="s">
        <v>209</v>
      </c>
      <c r="Y502" s="386">
        <v>0.5</v>
      </c>
      <c r="AA502" s="379"/>
      <c r="AB502" s="379"/>
      <c r="AD502" s="391" t="s">
        <v>72</v>
      </c>
      <c r="AG502" s="389"/>
      <c r="AK502" s="392"/>
      <c r="AM502" s="393"/>
      <c r="AN502" s="393"/>
    </row>
    <row r="503" spans="1:44" s="380" customFormat="1" ht="18.649999999999999" customHeight="1">
      <c r="A503" s="379"/>
      <c r="B503" s="379" t="s">
        <v>1302</v>
      </c>
      <c r="D503" s="381" t="s">
        <v>48</v>
      </c>
      <c r="E503" s="382" t="s">
        <v>210</v>
      </c>
      <c r="F503" s="383">
        <v>2000015369</v>
      </c>
      <c r="G503" s="22" t="s">
        <v>515</v>
      </c>
      <c r="H503" s="384">
        <v>10</v>
      </c>
      <c r="I503" s="385" t="s">
        <v>212</v>
      </c>
      <c r="K503" s="386"/>
      <c r="L503" s="387">
        <v>46104</v>
      </c>
      <c r="M503" s="381" t="s">
        <v>1303</v>
      </c>
      <c r="N503" s="386">
        <v>28033737</v>
      </c>
      <c r="O503" s="388" t="s">
        <v>189</v>
      </c>
      <c r="R503" s="379"/>
      <c r="S503" s="389"/>
      <c r="T503" s="390">
        <v>46235</v>
      </c>
      <c r="U503" s="389"/>
      <c r="V503" s="389"/>
      <c r="X503" s="386" t="s">
        <v>209</v>
      </c>
      <c r="Y503" s="386">
        <v>0.5</v>
      </c>
      <c r="AA503" s="379"/>
      <c r="AB503" s="379"/>
      <c r="AD503" s="391" t="s">
        <v>72</v>
      </c>
      <c r="AG503" s="389"/>
      <c r="AK503" s="392"/>
      <c r="AM503" s="393"/>
      <c r="AN503" s="393"/>
    </row>
    <row r="504" spans="1:44" s="380" customFormat="1" ht="18.649999999999999" customHeight="1">
      <c r="A504" s="379"/>
      <c r="B504" s="379" t="s">
        <v>1302</v>
      </c>
      <c r="D504" s="381" t="s">
        <v>48</v>
      </c>
      <c r="E504" s="382" t="s">
        <v>210</v>
      </c>
      <c r="F504" s="383">
        <v>2000010768</v>
      </c>
      <c r="G504" s="22" t="s">
        <v>1306</v>
      </c>
      <c r="H504" s="384">
        <v>12</v>
      </c>
      <c r="I504" s="385" t="s">
        <v>212</v>
      </c>
      <c r="K504" s="386"/>
      <c r="L504" s="387">
        <v>46104</v>
      </c>
      <c r="M504" s="381" t="s">
        <v>1303</v>
      </c>
      <c r="N504" s="386">
        <v>28033737</v>
      </c>
      <c r="O504" s="388" t="s">
        <v>189</v>
      </c>
      <c r="R504" s="379"/>
      <c r="S504" s="389"/>
      <c r="T504" s="390">
        <v>46235</v>
      </c>
      <c r="U504" s="389"/>
      <c r="V504" s="389"/>
      <c r="X504" s="386" t="s">
        <v>209</v>
      </c>
      <c r="Y504" s="386">
        <v>0.5</v>
      </c>
      <c r="AA504" s="379"/>
      <c r="AB504" s="379"/>
      <c r="AD504" s="391" t="s">
        <v>72</v>
      </c>
      <c r="AG504" s="389"/>
      <c r="AK504" s="392"/>
      <c r="AM504" s="393"/>
      <c r="AN504" s="393"/>
    </row>
    <row r="505" spans="1:44" s="380" customFormat="1" ht="18.649999999999999" customHeight="1">
      <c r="A505" s="379"/>
      <c r="B505" s="379" t="s">
        <v>1302</v>
      </c>
      <c r="D505" s="381" t="s">
        <v>48</v>
      </c>
      <c r="E505" s="382" t="s">
        <v>210</v>
      </c>
      <c r="F505" s="383">
        <v>2000002429</v>
      </c>
      <c r="G505" s="22" t="s">
        <v>516</v>
      </c>
      <c r="H505" s="384">
        <v>10</v>
      </c>
      <c r="I505" s="385" t="s">
        <v>212</v>
      </c>
      <c r="K505" s="386"/>
      <c r="L505" s="387">
        <v>46104</v>
      </c>
      <c r="M505" s="381" t="s">
        <v>1303</v>
      </c>
      <c r="N505" s="386">
        <v>28033737</v>
      </c>
      <c r="O505" s="388" t="s">
        <v>189</v>
      </c>
      <c r="R505" s="379"/>
      <c r="S505" s="389"/>
      <c r="T505" s="390">
        <v>46235</v>
      </c>
      <c r="U505" s="389"/>
      <c r="V505" s="389"/>
      <c r="X505" s="386" t="s">
        <v>209</v>
      </c>
      <c r="Y505" s="386">
        <v>0.5</v>
      </c>
      <c r="AA505" s="379"/>
      <c r="AB505" s="379"/>
      <c r="AD505" s="391" t="s">
        <v>72</v>
      </c>
      <c r="AG505" s="389"/>
      <c r="AK505" s="392"/>
      <c r="AM505" s="393"/>
      <c r="AN505" s="393"/>
    </row>
    <row r="506" spans="1:44" s="380" customFormat="1" ht="18.649999999999999" customHeight="1">
      <c r="A506" s="379"/>
      <c r="B506" s="379" t="s">
        <v>1302</v>
      </c>
      <c r="D506" s="381" t="s">
        <v>48</v>
      </c>
      <c r="E506" s="382" t="s">
        <v>210</v>
      </c>
      <c r="F506" s="383">
        <v>2000015102</v>
      </c>
      <c r="G506" s="22" t="s">
        <v>218</v>
      </c>
      <c r="H506" s="384">
        <v>20</v>
      </c>
      <c r="I506" s="385" t="s">
        <v>219</v>
      </c>
      <c r="K506" s="386"/>
      <c r="L506" s="387">
        <v>46104</v>
      </c>
      <c r="M506" s="381" t="s">
        <v>1303</v>
      </c>
      <c r="N506" s="386">
        <v>28033737</v>
      </c>
      <c r="O506" s="388" t="s">
        <v>189</v>
      </c>
      <c r="R506" s="379"/>
      <c r="S506" s="389"/>
      <c r="T506" s="390">
        <v>46235</v>
      </c>
      <c r="U506" s="389"/>
      <c r="V506" s="389"/>
      <c r="X506" s="386" t="s">
        <v>209</v>
      </c>
      <c r="Y506" s="386">
        <v>0.5</v>
      </c>
      <c r="AA506" s="379"/>
      <c r="AB506" s="379"/>
      <c r="AD506" s="391" t="s">
        <v>72</v>
      </c>
      <c r="AG506" s="389"/>
      <c r="AK506" s="392"/>
      <c r="AM506" s="393"/>
      <c r="AN506" s="393"/>
    </row>
    <row r="507" spans="1:44" s="380" customFormat="1" ht="18.649999999999999" customHeight="1">
      <c r="A507" s="379"/>
      <c r="B507" s="379" t="s">
        <v>1302</v>
      </c>
      <c r="D507" s="381" t="s">
        <v>48</v>
      </c>
      <c r="E507" s="382" t="s">
        <v>210</v>
      </c>
      <c r="F507" s="383">
        <v>2000020029</v>
      </c>
      <c r="G507" s="22" t="s">
        <v>221</v>
      </c>
      <c r="H507" s="384">
        <v>60</v>
      </c>
      <c r="I507" s="385" t="s">
        <v>212</v>
      </c>
      <c r="K507" s="386"/>
      <c r="L507" s="387">
        <v>46104</v>
      </c>
      <c r="M507" s="381" t="s">
        <v>1303</v>
      </c>
      <c r="N507" s="386">
        <v>28033737</v>
      </c>
      <c r="O507" s="388" t="s">
        <v>189</v>
      </c>
      <c r="R507" s="379"/>
      <c r="S507" s="389"/>
      <c r="T507" s="390">
        <v>46235</v>
      </c>
      <c r="U507" s="389"/>
      <c r="V507" s="389"/>
      <c r="X507" s="386" t="s">
        <v>209</v>
      </c>
      <c r="Y507" s="386">
        <v>0.5</v>
      </c>
      <c r="AA507" s="379"/>
      <c r="AB507" s="379"/>
      <c r="AD507" s="391" t="s">
        <v>72</v>
      </c>
      <c r="AG507" s="389"/>
      <c r="AK507" s="392"/>
      <c r="AM507" s="393"/>
      <c r="AN507" s="393"/>
    </row>
    <row r="508" spans="1:44" s="380" customFormat="1" ht="18.649999999999999" customHeight="1">
      <c r="A508" s="379"/>
      <c r="B508" s="379" t="s">
        <v>1302</v>
      </c>
      <c r="D508" s="381" t="s">
        <v>48</v>
      </c>
      <c r="E508" s="382" t="s">
        <v>210</v>
      </c>
      <c r="F508" s="383">
        <v>2000005878</v>
      </c>
      <c r="G508" s="22" t="s">
        <v>222</v>
      </c>
      <c r="H508" s="384">
        <v>60</v>
      </c>
      <c r="I508" s="385" t="s">
        <v>212</v>
      </c>
      <c r="K508" s="386"/>
      <c r="L508" s="387">
        <v>46104</v>
      </c>
      <c r="M508" s="381" t="s">
        <v>1303</v>
      </c>
      <c r="N508" s="386">
        <v>28033737</v>
      </c>
      <c r="O508" s="388" t="s">
        <v>189</v>
      </c>
      <c r="R508" s="379"/>
      <c r="S508" s="389"/>
      <c r="T508" s="390">
        <v>46235</v>
      </c>
      <c r="U508" s="389"/>
      <c r="V508" s="389"/>
      <c r="X508" s="386" t="s">
        <v>209</v>
      </c>
      <c r="Y508" s="386">
        <v>0.5</v>
      </c>
      <c r="AA508" s="379"/>
      <c r="AB508" s="379"/>
      <c r="AD508" s="391" t="s">
        <v>72</v>
      </c>
      <c r="AG508" s="389"/>
      <c r="AK508" s="392"/>
      <c r="AM508" s="393"/>
      <c r="AN508" s="393"/>
    </row>
    <row r="509" spans="1:44" s="380" customFormat="1" ht="18.649999999999999" customHeight="1">
      <c r="A509" s="379"/>
      <c r="B509" s="379" t="s">
        <v>1302</v>
      </c>
      <c r="D509" s="381" t="s">
        <v>48</v>
      </c>
      <c r="E509" s="382" t="s">
        <v>210</v>
      </c>
      <c r="F509" s="383">
        <v>2000015005</v>
      </c>
      <c r="G509" s="22" t="s">
        <v>1307</v>
      </c>
      <c r="H509" s="384">
        <v>8</v>
      </c>
      <c r="I509" s="385" t="s">
        <v>212</v>
      </c>
      <c r="J509" s="385" t="s">
        <v>1308</v>
      </c>
      <c r="K509" s="386"/>
      <c r="L509" s="387">
        <v>46104</v>
      </c>
      <c r="M509" s="381" t="s">
        <v>1303</v>
      </c>
      <c r="N509" s="386">
        <v>28033737</v>
      </c>
      <c r="O509" s="388" t="s">
        <v>189</v>
      </c>
      <c r="R509" s="379"/>
      <c r="S509" s="389"/>
      <c r="T509" s="390">
        <v>46235</v>
      </c>
      <c r="U509" s="389"/>
      <c r="V509" s="389"/>
      <c r="X509" s="386" t="s">
        <v>209</v>
      </c>
      <c r="Y509" s="386">
        <v>0.5</v>
      </c>
      <c r="AA509" s="379"/>
      <c r="AB509" s="379"/>
      <c r="AD509" s="391" t="s">
        <v>72</v>
      </c>
      <c r="AG509" s="389"/>
      <c r="AK509" s="392"/>
      <c r="AM509" s="393"/>
      <c r="AN509" s="393"/>
    </row>
    <row r="510" spans="1:44" s="380" customFormat="1" ht="18.649999999999999" customHeight="1">
      <c r="A510" s="379"/>
      <c r="B510" s="379" t="s">
        <v>1302</v>
      </c>
      <c r="D510" s="381" t="s">
        <v>48</v>
      </c>
      <c r="E510" s="382" t="s">
        <v>210</v>
      </c>
      <c r="F510" s="383">
        <v>2000020324</v>
      </c>
      <c r="G510" s="22" t="s">
        <v>701</v>
      </c>
      <c r="H510" s="384">
        <v>80</v>
      </c>
      <c r="I510" s="385" t="s">
        <v>212</v>
      </c>
      <c r="K510" s="386"/>
      <c r="L510" s="387">
        <v>46104</v>
      </c>
      <c r="M510" s="381" t="s">
        <v>1303</v>
      </c>
      <c r="N510" s="386">
        <v>28033737</v>
      </c>
      <c r="O510" s="388" t="s">
        <v>189</v>
      </c>
      <c r="R510" s="379"/>
      <c r="S510" s="389"/>
      <c r="T510" s="390">
        <v>46235</v>
      </c>
      <c r="U510" s="389"/>
      <c r="V510" s="389"/>
      <c r="X510" s="386" t="s">
        <v>209</v>
      </c>
      <c r="Y510" s="386">
        <v>0.5</v>
      </c>
      <c r="AA510" s="379"/>
      <c r="AB510" s="379"/>
      <c r="AD510" s="391" t="s">
        <v>72</v>
      </c>
      <c r="AG510" s="389"/>
      <c r="AK510" s="392"/>
      <c r="AM510" s="393"/>
      <c r="AN510" s="393"/>
    </row>
    <row r="511" spans="1:44" s="380" customFormat="1" ht="18.649999999999999" customHeight="1">
      <c r="A511" s="379"/>
      <c r="B511" s="379" t="s">
        <v>1302</v>
      </c>
      <c r="D511" s="381" t="s">
        <v>48</v>
      </c>
      <c r="E511" s="382" t="s">
        <v>210</v>
      </c>
      <c r="F511" s="383">
        <v>2000020846</v>
      </c>
      <c r="G511" s="22" t="s">
        <v>522</v>
      </c>
      <c r="H511" s="384">
        <v>90</v>
      </c>
      <c r="I511" s="385" t="s">
        <v>212</v>
      </c>
      <c r="K511" s="386"/>
      <c r="L511" s="387">
        <v>46104</v>
      </c>
      <c r="M511" s="381" t="s">
        <v>1303</v>
      </c>
      <c r="N511" s="386">
        <v>28033737</v>
      </c>
      <c r="O511" s="388" t="s">
        <v>189</v>
      </c>
      <c r="R511" s="379"/>
      <c r="S511" s="389"/>
      <c r="T511" s="390">
        <v>46235</v>
      </c>
      <c r="U511" s="389"/>
      <c r="V511" s="389"/>
      <c r="X511" s="386" t="s">
        <v>209</v>
      </c>
      <c r="Y511" s="386">
        <v>0.5</v>
      </c>
      <c r="AA511" s="379"/>
      <c r="AB511" s="379"/>
      <c r="AD511" s="391" t="s">
        <v>72</v>
      </c>
      <c r="AG511" s="389"/>
      <c r="AK511" s="392"/>
      <c r="AM511" s="393"/>
      <c r="AN511" s="393"/>
    </row>
    <row r="512" spans="1:44" s="380" customFormat="1" ht="18.649999999999999" customHeight="1">
      <c r="A512" s="379"/>
      <c r="B512" s="379" t="s">
        <v>1302</v>
      </c>
      <c r="D512" s="381" t="s">
        <v>48</v>
      </c>
      <c r="E512" s="382" t="s">
        <v>210</v>
      </c>
      <c r="F512" s="383">
        <v>2000013414</v>
      </c>
      <c r="G512" s="22" t="s">
        <v>1309</v>
      </c>
      <c r="H512" s="384">
        <v>8</v>
      </c>
      <c r="I512" s="385" t="s">
        <v>212</v>
      </c>
      <c r="J512" s="385" t="s">
        <v>1308</v>
      </c>
      <c r="K512" s="386"/>
      <c r="L512" s="387">
        <v>46104</v>
      </c>
      <c r="M512" s="381" t="s">
        <v>1303</v>
      </c>
      <c r="N512" s="386">
        <v>28033737</v>
      </c>
      <c r="O512" s="388" t="s">
        <v>189</v>
      </c>
      <c r="R512" s="379"/>
      <c r="S512" s="389"/>
      <c r="T512" s="390">
        <v>46235</v>
      </c>
      <c r="U512" s="389"/>
      <c r="V512" s="389"/>
      <c r="X512" s="386" t="s">
        <v>209</v>
      </c>
      <c r="Y512" s="386">
        <v>0.5</v>
      </c>
      <c r="AA512" s="379"/>
      <c r="AB512" s="379"/>
      <c r="AD512" s="391" t="s">
        <v>72</v>
      </c>
      <c r="AG512" s="389"/>
      <c r="AK512" s="392"/>
      <c r="AM512" s="393"/>
      <c r="AN512" s="393"/>
    </row>
    <row r="513" spans="1:44" s="380" customFormat="1" ht="18.649999999999999" customHeight="1">
      <c r="A513" s="379"/>
      <c r="B513" s="379" t="s">
        <v>1302</v>
      </c>
      <c r="D513" s="381" t="s">
        <v>48</v>
      </c>
      <c r="E513" s="382" t="s">
        <v>210</v>
      </c>
      <c r="F513" s="383">
        <v>2000011154</v>
      </c>
      <c r="G513" s="22" t="s">
        <v>525</v>
      </c>
      <c r="H513" s="384">
        <v>10</v>
      </c>
      <c r="I513" s="385" t="s">
        <v>212</v>
      </c>
      <c r="J513" s="380" t="s">
        <v>1310</v>
      </c>
      <c r="K513" s="386"/>
      <c r="L513" s="387">
        <v>46104</v>
      </c>
      <c r="M513" s="381" t="s">
        <v>1303</v>
      </c>
      <c r="N513" s="386">
        <v>28033737</v>
      </c>
      <c r="O513" s="388" t="s">
        <v>189</v>
      </c>
      <c r="R513" s="379"/>
      <c r="S513" s="389"/>
      <c r="T513" s="390">
        <v>46235</v>
      </c>
      <c r="U513" s="389"/>
      <c r="V513" s="389"/>
      <c r="X513" s="386" t="s">
        <v>209</v>
      </c>
      <c r="Y513" s="386">
        <v>0.5</v>
      </c>
      <c r="AA513" s="379"/>
      <c r="AB513" s="379"/>
      <c r="AD513" s="391" t="s">
        <v>72</v>
      </c>
      <c r="AG513" s="389"/>
      <c r="AK513" s="392"/>
      <c r="AM513" s="393"/>
      <c r="AN513" s="393"/>
    </row>
    <row r="514" spans="1:44" s="380" customFormat="1" ht="18.649999999999999" customHeight="1">
      <c r="A514" s="379"/>
      <c r="B514" s="379" t="s">
        <v>1302</v>
      </c>
      <c r="D514" s="381" t="s">
        <v>48</v>
      </c>
      <c r="E514" s="382" t="s">
        <v>210</v>
      </c>
      <c r="F514" s="383">
        <v>2000018841</v>
      </c>
      <c r="G514" s="22" t="s">
        <v>1311</v>
      </c>
      <c r="H514" s="384">
        <v>20</v>
      </c>
      <c r="I514" s="385" t="s">
        <v>212</v>
      </c>
      <c r="K514" s="386"/>
      <c r="L514" s="387">
        <v>46104</v>
      </c>
      <c r="M514" s="381" t="s">
        <v>1303</v>
      </c>
      <c r="N514" s="386">
        <v>28033737</v>
      </c>
      <c r="O514" s="388" t="s">
        <v>189</v>
      </c>
      <c r="R514" s="379"/>
      <c r="S514" s="389"/>
      <c r="T514" s="390">
        <v>46235</v>
      </c>
      <c r="U514" s="389"/>
      <c r="V514" s="389"/>
      <c r="X514" s="386" t="s">
        <v>209</v>
      </c>
      <c r="Y514" s="386">
        <v>0.5</v>
      </c>
      <c r="AA514" s="379"/>
      <c r="AB514" s="379"/>
      <c r="AD514" s="391" t="s">
        <v>72</v>
      </c>
      <c r="AG514" s="389"/>
      <c r="AK514" s="392"/>
      <c r="AM514" s="393"/>
      <c r="AN514" s="393"/>
    </row>
    <row r="515" spans="1:44" s="380" customFormat="1" ht="18.649999999999999" customHeight="1">
      <c r="A515" s="379"/>
      <c r="B515" s="379" t="s">
        <v>1302</v>
      </c>
      <c r="D515" s="381" t="s">
        <v>48</v>
      </c>
      <c r="E515" s="382" t="s">
        <v>210</v>
      </c>
      <c r="F515" s="383">
        <v>2000016899</v>
      </c>
      <c r="G515" s="22" t="s">
        <v>527</v>
      </c>
      <c r="H515" s="384">
        <v>15</v>
      </c>
      <c r="I515" s="385" t="s">
        <v>212</v>
      </c>
      <c r="K515" s="386"/>
      <c r="L515" s="387">
        <v>46104</v>
      </c>
      <c r="M515" s="381" t="s">
        <v>1303</v>
      </c>
      <c r="N515" s="386">
        <v>28033737</v>
      </c>
      <c r="O515" s="388" t="s">
        <v>189</v>
      </c>
      <c r="R515" s="379"/>
      <c r="S515" s="389"/>
      <c r="T515" s="390">
        <v>46235</v>
      </c>
      <c r="U515" s="389"/>
      <c r="V515" s="389"/>
      <c r="X515" s="386" t="s">
        <v>209</v>
      </c>
      <c r="Y515" s="386">
        <v>0.5</v>
      </c>
      <c r="AA515" s="379"/>
      <c r="AB515" s="379"/>
      <c r="AD515" s="391" t="s">
        <v>72</v>
      </c>
      <c r="AG515" s="389"/>
      <c r="AK515" s="392"/>
      <c r="AM515" s="393"/>
      <c r="AN515" s="393"/>
    </row>
    <row r="516" spans="1:44" s="380" customFormat="1" ht="18.649999999999999" customHeight="1">
      <c r="A516" s="379"/>
      <c r="B516" s="379" t="s">
        <v>1302</v>
      </c>
      <c r="D516" s="381" t="s">
        <v>48</v>
      </c>
      <c r="E516" s="382" t="s">
        <v>210</v>
      </c>
      <c r="F516" s="383">
        <v>2000011433</v>
      </c>
      <c r="G516" s="22" t="s">
        <v>1312</v>
      </c>
      <c r="H516" s="384">
        <v>5</v>
      </c>
      <c r="I516" s="385" t="s">
        <v>212</v>
      </c>
      <c r="K516" s="386"/>
      <c r="L516" s="387">
        <v>46104</v>
      </c>
      <c r="M516" s="381" t="s">
        <v>1303</v>
      </c>
      <c r="N516" s="386">
        <v>28033737</v>
      </c>
      <c r="O516" s="388" t="s">
        <v>189</v>
      </c>
      <c r="R516" s="379"/>
      <c r="S516" s="389"/>
      <c r="T516" s="390">
        <v>46235</v>
      </c>
      <c r="U516" s="389"/>
      <c r="V516" s="389"/>
      <c r="X516" s="386" t="s">
        <v>209</v>
      </c>
      <c r="Y516" s="386">
        <v>0.5</v>
      </c>
      <c r="AA516" s="379"/>
      <c r="AB516" s="379"/>
      <c r="AD516" s="391" t="s">
        <v>72</v>
      </c>
      <c r="AG516" s="389"/>
      <c r="AK516" s="392"/>
      <c r="AM516" s="393"/>
      <c r="AN516" s="393"/>
    </row>
    <row r="517" spans="1:44" s="380" customFormat="1" ht="18.649999999999999" customHeight="1">
      <c r="A517" s="379"/>
      <c r="B517" s="379" t="s">
        <v>1302</v>
      </c>
      <c r="D517" s="381" t="s">
        <v>48</v>
      </c>
      <c r="E517" s="382" t="s">
        <v>210</v>
      </c>
      <c r="F517" s="383">
        <v>2000017147</v>
      </c>
      <c r="G517" s="22" t="s">
        <v>1313</v>
      </c>
      <c r="H517" s="384">
        <v>8</v>
      </c>
      <c r="I517" s="385" t="s">
        <v>212</v>
      </c>
      <c r="J517" s="385" t="s">
        <v>1308</v>
      </c>
      <c r="K517" s="386"/>
      <c r="L517" s="387">
        <v>46104</v>
      </c>
      <c r="M517" s="381" t="s">
        <v>1303</v>
      </c>
      <c r="N517" s="386">
        <v>28033737</v>
      </c>
      <c r="O517" s="388" t="s">
        <v>189</v>
      </c>
      <c r="R517" s="379"/>
      <c r="S517" s="389"/>
      <c r="T517" s="390">
        <v>46235</v>
      </c>
      <c r="U517" s="389"/>
      <c r="V517" s="389"/>
      <c r="X517" s="386" t="s">
        <v>209</v>
      </c>
      <c r="Y517" s="386">
        <v>0.5</v>
      </c>
      <c r="AA517" s="379"/>
      <c r="AB517" s="379"/>
      <c r="AD517" s="391" t="s">
        <v>72</v>
      </c>
      <c r="AG517" s="389"/>
      <c r="AK517" s="392"/>
      <c r="AM517" s="393"/>
      <c r="AN517" s="393"/>
    </row>
    <row r="518" spans="1:44" s="380" customFormat="1" ht="18.649999999999999" customHeight="1">
      <c r="A518" s="379"/>
      <c r="B518" s="379" t="s">
        <v>1302</v>
      </c>
      <c r="D518" s="381" t="s">
        <v>48</v>
      </c>
      <c r="E518" s="382" t="s">
        <v>210</v>
      </c>
      <c r="F518" s="383">
        <v>2000002144</v>
      </c>
      <c r="G518" s="22" t="s">
        <v>1314</v>
      </c>
      <c r="H518" s="384">
        <v>20</v>
      </c>
      <c r="I518" s="385" t="s">
        <v>212</v>
      </c>
      <c r="K518" s="386"/>
      <c r="L518" s="387">
        <v>46104</v>
      </c>
      <c r="M518" s="381" t="s">
        <v>1303</v>
      </c>
      <c r="N518" s="386">
        <v>28033737</v>
      </c>
      <c r="O518" s="388" t="s">
        <v>189</v>
      </c>
      <c r="R518" s="379"/>
      <c r="S518" s="389"/>
      <c r="T518" s="390">
        <v>46235</v>
      </c>
      <c r="U518" s="389"/>
      <c r="V518" s="389"/>
      <c r="X518" s="386" t="s">
        <v>209</v>
      </c>
      <c r="Y518" s="386">
        <v>0.5</v>
      </c>
      <c r="AA518" s="379"/>
      <c r="AB518" s="379"/>
      <c r="AD518" s="391" t="s">
        <v>72</v>
      </c>
      <c r="AG518" s="389"/>
      <c r="AK518" s="392"/>
      <c r="AM518" s="393"/>
      <c r="AN518" s="393"/>
    </row>
    <row r="519" spans="1:44" s="380" customFormat="1" ht="18.649999999999999" customHeight="1">
      <c r="A519" s="379"/>
      <c r="B519" s="379" t="s">
        <v>1302</v>
      </c>
      <c r="D519" s="381" t="s">
        <v>48</v>
      </c>
      <c r="E519" s="382" t="s">
        <v>210</v>
      </c>
      <c r="F519" s="383">
        <v>2000020397</v>
      </c>
      <c r="G519" s="22" t="s">
        <v>225</v>
      </c>
      <c r="H519" s="384">
        <v>150</v>
      </c>
      <c r="I519" s="385" t="s">
        <v>212</v>
      </c>
      <c r="J519" s="380" t="s">
        <v>1310</v>
      </c>
      <c r="K519" s="386"/>
      <c r="L519" s="387">
        <v>46104</v>
      </c>
      <c r="M519" s="381" t="s">
        <v>1303</v>
      </c>
      <c r="N519" s="386">
        <v>28033737</v>
      </c>
      <c r="O519" s="388" t="s">
        <v>189</v>
      </c>
      <c r="R519" s="379"/>
      <c r="S519" s="389"/>
      <c r="T519" s="390">
        <v>46235</v>
      </c>
      <c r="U519" s="389"/>
      <c r="V519" s="389"/>
      <c r="X519" s="386" t="s">
        <v>209</v>
      </c>
      <c r="Y519" s="386">
        <v>0.5</v>
      </c>
      <c r="AA519" s="379"/>
      <c r="AB519" s="379"/>
      <c r="AD519" s="391" t="s">
        <v>72</v>
      </c>
      <c r="AG519" s="389"/>
      <c r="AK519" s="392"/>
      <c r="AM519" s="393"/>
      <c r="AN519" s="393"/>
    </row>
    <row r="520" spans="1:44" s="380" customFormat="1" ht="18.649999999999999" customHeight="1">
      <c r="A520" s="379"/>
      <c r="B520" s="379" t="s">
        <v>1302</v>
      </c>
      <c r="D520" s="381" t="s">
        <v>48</v>
      </c>
      <c r="E520" s="382" t="s">
        <v>210</v>
      </c>
      <c r="F520" s="383">
        <v>2000019184</v>
      </c>
      <c r="G520" s="22" t="s">
        <v>1315</v>
      </c>
      <c r="H520" s="384">
        <v>8</v>
      </c>
      <c r="I520" s="385" t="s">
        <v>212</v>
      </c>
      <c r="J520" s="385" t="s">
        <v>1308</v>
      </c>
      <c r="K520" s="386"/>
      <c r="L520" s="387">
        <v>46104</v>
      </c>
      <c r="M520" s="381" t="s">
        <v>1303</v>
      </c>
      <c r="N520" s="386">
        <v>28033737</v>
      </c>
      <c r="O520" s="388" t="s">
        <v>189</v>
      </c>
      <c r="R520" s="379"/>
      <c r="S520" s="389"/>
      <c r="T520" s="390">
        <v>46235</v>
      </c>
      <c r="U520" s="389"/>
      <c r="V520" s="389"/>
      <c r="X520" s="386" t="s">
        <v>209</v>
      </c>
      <c r="Y520" s="386">
        <v>0.5</v>
      </c>
      <c r="AA520" s="379"/>
      <c r="AB520" s="379"/>
      <c r="AD520" s="391" t="s">
        <v>72</v>
      </c>
      <c r="AG520" s="389"/>
      <c r="AK520" s="392"/>
      <c r="AM520" s="393"/>
      <c r="AN520" s="393"/>
    </row>
    <row r="521" spans="1:44" s="380" customFormat="1" ht="18.649999999999999" customHeight="1">
      <c r="A521" s="379"/>
      <c r="B521" s="379" t="s">
        <v>1302</v>
      </c>
      <c r="D521" s="381" t="s">
        <v>48</v>
      </c>
      <c r="E521" s="382" t="s">
        <v>210</v>
      </c>
      <c r="F521" s="383">
        <v>2000003674</v>
      </c>
      <c r="G521" s="22" t="s">
        <v>226</v>
      </c>
      <c r="H521" s="384">
        <v>10</v>
      </c>
      <c r="I521" s="385" t="s">
        <v>212</v>
      </c>
      <c r="K521" s="386"/>
      <c r="L521" s="387">
        <v>46104</v>
      </c>
      <c r="M521" s="381" t="s">
        <v>1303</v>
      </c>
      <c r="N521" s="386">
        <v>28033737</v>
      </c>
      <c r="O521" s="388" t="s">
        <v>189</v>
      </c>
      <c r="R521" s="379"/>
      <c r="S521" s="389"/>
      <c r="T521" s="390">
        <v>46235</v>
      </c>
      <c r="U521" s="389"/>
      <c r="V521" s="389"/>
      <c r="X521" s="386" t="s">
        <v>209</v>
      </c>
      <c r="Y521" s="386">
        <v>0.5</v>
      </c>
      <c r="AA521" s="379"/>
      <c r="AB521" s="379"/>
      <c r="AD521" s="391" t="s">
        <v>72</v>
      </c>
      <c r="AG521" s="389"/>
      <c r="AK521" s="392"/>
      <c r="AM521" s="393"/>
      <c r="AN521" s="393"/>
    </row>
    <row r="522" spans="1:44" s="380" customFormat="1" ht="18.649999999999999" customHeight="1">
      <c r="A522" s="379"/>
      <c r="B522" s="379" t="s">
        <v>1302</v>
      </c>
      <c r="D522" s="381" t="s">
        <v>48</v>
      </c>
      <c r="E522" s="382" t="s">
        <v>210</v>
      </c>
      <c r="F522" s="383">
        <v>2000007554</v>
      </c>
      <c r="G522" s="22" t="s">
        <v>228</v>
      </c>
      <c r="H522" s="384">
        <v>150</v>
      </c>
      <c r="I522" s="385" t="s">
        <v>212</v>
      </c>
      <c r="K522" s="386"/>
      <c r="L522" s="387">
        <v>46104</v>
      </c>
      <c r="M522" s="381" t="s">
        <v>1303</v>
      </c>
      <c r="N522" s="386">
        <v>28033737</v>
      </c>
      <c r="O522" s="388" t="s">
        <v>189</v>
      </c>
      <c r="R522" s="379"/>
      <c r="S522" s="389"/>
      <c r="T522" s="390">
        <v>46235</v>
      </c>
      <c r="U522" s="389"/>
      <c r="V522" s="389"/>
      <c r="X522" s="386" t="s">
        <v>209</v>
      </c>
      <c r="Y522" s="386">
        <v>0.5</v>
      </c>
      <c r="AA522" s="379"/>
      <c r="AB522" s="379"/>
      <c r="AD522" s="391" t="s">
        <v>72</v>
      </c>
      <c r="AG522" s="389"/>
      <c r="AK522" s="392"/>
      <c r="AM522" s="393"/>
      <c r="AN522" s="393"/>
    </row>
    <row r="523" spans="1:44" s="380" customFormat="1" ht="18.649999999999999" customHeight="1">
      <c r="A523" s="379"/>
      <c r="B523" s="379" t="s">
        <v>1302</v>
      </c>
      <c r="D523" s="381" t="s">
        <v>48</v>
      </c>
      <c r="E523" s="382" t="s">
        <v>210</v>
      </c>
      <c r="F523" s="394">
        <v>2000021351</v>
      </c>
      <c r="G523" s="22" t="s">
        <v>232</v>
      </c>
      <c r="H523" s="384">
        <v>8</v>
      </c>
      <c r="I523" s="385" t="s">
        <v>212</v>
      </c>
      <c r="J523" s="385" t="s">
        <v>1308</v>
      </c>
      <c r="K523" s="386"/>
      <c r="L523" s="387">
        <v>46104</v>
      </c>
      <c r="M523" s="381" t="s">
        <v>1303</v>
      </c>
      <c r="N523" s="386">
        <v>28033737</v>
      </c>
      <c r="O523" s="388" t="s">
        <v>189</v>
      </c>
      <c r="R523" s="379"/>
      <c r="S523" s="389"/>
      <c r="T523" s="390">
        <v>46235</v>
      </c>
      <c r="U523" s="389"/>
      <c r="V523" s="389"/>
      <c r="X523" s="386" t="s">
        <v>209</v>
      </c>
      <c r="Y523" s="386">
        <v>0.5</v>
      </c>
      <c r="AA523" s="379"/>
      <c r="AB523" s="379"/>
      <c r="AD523" s="391" t="s">
        <v>72</v>
      </c>
      <c r="AG523" s="389"/>
      <c r="AK523" s="392"/>
      <c r="AM523" s="393"/>
      <c r="AN523" s="393"/>
    </row>
    <row r="524" spans="1:44" s="380" customFormat="1" ht="18.649999999999999" customHeight="1">
      <c r="A524" s="379"/>
      <c r="B524" s="379" t="s">
        <v>1302</v>
      </c>
      <c r="D524" s="381" t="s">
        <v>48</v>
      </c>
      <c r="E524" s="382" t="s">
        <v>210</v>
      </c>
      <c r="F524" s="383">
        <v>2000001039</v>
      </c>
      <c r="G524" s="22" t="s">
        <v>1316</v>
      </c>
      <c r="H524" s="384">
        <v>20</v>
      </c>
      <c r="I524" s="385" t="s">
        <v>212</v>
      </c>
      <c r="K524" s="386"/>
      <c r="L524" s="387">
        <v>46104</v>
      </c>
      <c r="M524" s="381" t="s">
        <v>1303</v>
      </c>
      <c r="N524" s="386">
        <v>28033737</v>
      </c>
      <c r="O524" s="388" t="s">
        <v>189</v>
      </c>
      <c r="R524" s="379"/>
      <c r="S524" s="389"/>
      <c r="T524" s="390">
        <v>46235</v>
      </c>
      <c r="U524" s="389"/>
      <c r="V524" s="389"/>
      <c r="X524" s="386" t="s">
        <v>209</v>
      </c>
      <c r="Y524" s="386">
        <v>0.5</v>
      </c>
      <c r="AA524" s="379"/>
      <c r="AB524" s="379"/>
      <c r="AD524" s="391" t="s">
        <v>72</v>
      </c>
      <c r="AG524" s="389"/>
      <c r="AK524" s="392"/>
      <c r="AM524" s="393"/>
      <c r="AN524" s="393"/>
    </row>
    <row r="525" spans="1:44" s="380" customFormat="1" ht="18.649999999999999" customHeight="1">
      <c r="A525" s="379"/>
      <c r="B525" s="379" t="s">
        <v>1302</v>
      </c>
      <c r="D525" s="381" t="s">
        <v>48</v>
      </c>
      <c r="E525" s="382" t="s">
        <v>210</v>
      </c>
      <c r="F525" s="383">
        <v>2000016288</v>
      </c>
      <c r="G525" s="22" t="s">
        <v>1317</v>
      </c>
      <c r="H525" s="384">
        <v>10</v>
      </c>
      <c r="I525" s="385" t="s">
        <v>212</v>
      </c>
      <c r="J525" s="380" t="s">
        <v>1318</v>
      </c>
      <c r="K525" s="386"/>
      <c r="L525" s="387">
        <v>46104</v>
      </c>
      <c r="M525" s="381" t="s">
        <v>1303</v>
      </c>
      <c r="N525" s="386">
        <v>28033737</v>
      </c>
      <c r="O525" s="388" t="s">
        <v>189</v>
      </c>
      <c r="R525" s="379"/>
      <c r="S525" s="389"/>
      <c r="T525" s="390">
        <v>46235</v>
      </c>
      <c r="U525" s="389"/>
      <c r="V525" s="389"/>
      <c r="X525" s="386" t="s">
        <v>209</v>
      </c>
      <c r="Y525" s="386">
        <v>0.5</v>
      </c>
      <c r="AA525" s="379"/>
      <c r="AB525" s="379"/>
      <c r="AD525" s="391" t="s">
        <v>72</v>
      </c>
      <c r="AG525" s="389"/>
      <c r="AK525" s="392"/>
      <c r="AM525" s="393"/>
      <c r="AN525" s="393"/>
    </row>
    <row r="526" spans="1:44" ht="18.649999999999999" customHeight="1">
      <c r="A526" s="48" t="s">
        <v>633</v>
      </c>
      <c r="B526" s="199" t="s">
        <v>625</v>
      </c>
      <c r="D526" s="20" t="s">
        <v>48</v>
      </c>
      <c r="E526" s="23" t="s">
        <v>116</v>
      </c>
      <c r="F526" s="23">
        <v>2000020375</v>
      </c>
      <c r="G526" s="22" t="s">
        <v>124</v>
      </c>
      <c r="H526" s="30">
        <v>216</v>
      </c>
      <c r="I526" s="108" t="s">
        <v>85</v>
      </c>
      <c r="K526" s="21"/>
      <c r="M526" s="226" t="s">
        <v>748</v>
      </c>
      <c r="N526" s="21" t="s">
        <v>1319</v>
      </c>
      <c r="O526" s="21" t="s">
        <v>120</v>
      </c>
      <c r="Q526" s="20" t="s">
        <v>1320</v>
      </c>
      <c r="R526" s="30" t="s">
        <v>122</v>
      </c>
      <c r="S526" s="30" t="s">
        <v>122</v>
      </c>
      <c r="T526" s="24">
        <v>46082</v>
      </c>
      <c r="U526" s="137">
        <v>46099</v>
      </c>
      <c r="V526" s="137">
        <v>46102</v>
      </c>
      <c r="X526" s="5" t="s">
        <v>123</v>
      </c>
      <c r="Y526" s="5">
        <v>0.5</v>
      </c>
      <c r="AA526" s="137">
        <v>46099</v>
      </c>
      <c r="AB526" s="137">
        <v>46102</v>
      </c>
      <c r="AD526" s="90" t="s">
        <v>122</v>
      </c>
      <c r="AE526" s="21"/>
      <c r="AF526" s="65">
        <v>46099</v>
      </c>
      <c r="AG526" s="65">
        <v>46099</v>
      </c>
      <c r="AH526" s="65">
        <v>46106</v>
      </c>
      <c r="AI526" s="177">
        <v>46107</v>
      </c>
      <c r="AJ526" s="177"/>
      <c r="AK526" s="178">
        <v>46106</v>
      </c>
      <c r="AL526" s="227">
        <v>7182</v>
      </c>
      <c r="AM526" s="58"/>
      <c r="AN526" s="58"/>
      <c r="AR526" s="21"/>
    </row>
    <row r="527" spans="1:44" ht="18.649999999999999" customHeight="1">
      <c r="A527" s="48" t="s">
        <v>633</v>
      </c>
      <c r="B527" s="199" t="s">
        <v>625</v>
      </c>
      <c r="D527" s="20" t="s">
        <v>48</v>
      </c>
      <c r="E527" s="23" t="s">
        <v>116</v>
      </c>
      <c r="F527" s="23">
        <v>2000000418</v>
      </c>
      <c r="G527" s="22" t="s">
        <v>130</v>
      </c>
      <c r="H527" s="30">
        <v>225</v>
      </c>
      <c r="I527" s="108" t="s">
        <v>129</v>
      </c>
      <c r="K527" s="21"/>
      <c r="M527" s="226" t="s">
        <v>748</v>
      </c>
      <c r="N527" s="21" t="s">
        <v>1319</v>
      </c>
      <c r="O527" s="21" t="s">
        <v>120</v>
      </c>
      <c r="Q527" s="20" t="s">
        <v>1320</v>
      </c>
      <c r="R527" s="30" t="s">
        <v>122</v>
      </c>
      <c r="S527" s="30" t="s">
        <v>122</v>
      </c>
      <c r="T527" s="24">
        <v>46082</v>
      </c>
      <c r="U527" s="137">
        <v>46099</v>
      </c>
      <c r="V527" s="137">
        <v>46102</v>
      </c>
      <c r="X527" s="5" t="s">
        <v>123</v>
      </c>
      <c r="Y527" s="5">
        <v>0.5</v>
      </c>
      <c r="AA527" s="137">
        <v>46099</v>
      </c>
      <c r="AB527" s="137">
        <v>46102</v>
      </c>
      <c r="AD527" s="90" t="s">
        <v>122</v>
      </c>
      <c r="AE527" s="21"/>
      <c r="AF527" s="65">
        <v>46099</v>
      </c>
      <c r="AG527" s="65">
        <v>46099</v>
      </c>
      <c r="AH527" s="65">
        <v>46106</v>
      </c>
      <c r="AI527" s="177">
        <v>46107</v>
      </c>
      <c r="AJ527" s="177"/>
      <c r="AK527" s="178">
        <v>46106</v>
      </c>
      <c r="AL527" s="227">
        <v>2344.5</v>
      </c>
      <c r="AM527" s="58"/>
      <c r="AN527" s="58"/>
      <c r="AR527" s="21"/>
    </row>
    <row r="528" spans="1:44" ht="18.649999999999999" customHeight="1">
      <c r="A528" s="48" t="s">
        <v>633</v>
      </c>
      <c r="B528" s="199" t="s">
        <v>625</v>
      </c>
      <c r="D528" s="20" t="s">
        <v>48</v>
      </c>
      <c r="E528" s="23" t="s">
        <v>116</v>
      </c>
      <c r="F528" s="23">
        <v>2000003583</v>
      </c>
      <c r="G528" s="22" t="s">
        <v>131</v>
      </c>
      <c r="H528" s="30">
        <v>24</v>
      </c>
      <c r="I528" s="108" t="s">
        <v>85</v>
      </c>
      <c r="K528" s="21"/>
      <c r="M528" s="226" t="s">
        <v>748</v>
      </c>
      <c r="N528" s="21" t="s">
        <v>1319</v>
      </c>
      <c r="O528" s="21" t="s">
        <v>120</v>
      </c>
      <c r="Q528" s="20" t="s">
        <v>1320</v>
      </c>
      <c r="R528" s="30" t="s">
        <v>122</v>
      </c>
      <c r="S528" s="30" t="s">
        <v>122</v>
      </c>
      <c r="T528" s="24">
        <v>46082</v>
      </c>
      <c r="U528" s="137">
        <v>46099</v>
      </c>
      <c r="V528" s="137">
        <v>46102</v>
      </c>
      <c r="X528" s="5" t="s">
        <v>123</v>
      </c>
      <c r="Y528" s="5">
        <v>0.5</v>
      </c>
      <c r="AA528" s="137">
        <v>46099</v>
      </c>
      <c r="AB528" s="137">
        <v>46102</v>
      </c>
      <c r="AD528" s="90" t="s">
        <v>122</v>
      </c>
      <c r="AE528" s="21"/>
      <c r="AF528" s="65">
        <v>46099</v>
      </c>
      <c r="AG528" s="65">
        <v>46099</v>
      </c>
      <c r="AH528" s="65">
        <v>46106</v>
      </c>
      <c r="AI528" s="177">
        <v>46107</v>
      </c>
      <c r="AJ528" s="177"/>
      <c r="AK528" s="178">
        <v>46106</v>
      </c>
      <c r="AL528" s="227">
        <v>1804.8</v>
      </c>
      <c r="AM528" s="58"/>
      <c r="AN528" s="58"/>
      <c r="AR528" s="21"/>
    </row>
    <row r="529" spans="1:45" ht="18.649999999999999" customHeight="1">
      <c r="A529" s="48" t="s">
        <v>633</v>
      </c>
      <c r="B529" s="199" t="s">
        <v>625</v>
      </c>
      <c r="D529" s="20" t="s">
        <v>48</v>
      </c>
      <c r="E529" s="23" t="s">
        <v>116</v>
      </c>
      <c r="F529" s="23">
        <v>2000021031</v>
      </c>
      <c r="G529" s="22" t="s">
        <v>132</v>
      </c>
      <c r="H529" s="30" t="s">
        <v>1321</v>
      </c>
      <c r="I529" s="108" t="s">
        <v>85</v>
      </c>
      <c r="K529" s="21"/>
      <c r="M529" s="226" t="s">
        <v>748</v>
      </c>
      <c r="N529" s="21" t="s">
        <v>1319</v>
      </c>
      <c r="O529" s="21" t="s">
        <v>120</v>
      </c>
      <c r="Q529" s="20" t="s">
        <v>1320</v>
      </c>
      <c r="R529" s="30" t="s">
        <v>122</v>
      </c>
      <c r="S529" s="30" t="s">
        <v>122</v>
      </c>
      <c r="T529" s="24">
        <v>46082</v>
      </c>
      <c r="U529" s="137">
        <v>46099</v>
      </c>
      <c r="V529" s="137">
        <v>46102</v>
      </c>
      <c r="X529" s="5" t="s">
        <v>123</v>
      </c>
      <c r="Y529" s="5">
        <v>0.5</v>
      </c>
      <c r="AA529" s="137">
        <v>46099</v>
      </c>
      <c r="AB529" s="137">
        <v>46102</v>
      </c>
      <c r="AD529" s="90" t="s">
        <v>122</v>
      </c>
      <c r="AE529" s="21"/>
      <c r="AF529" s="65">
        <v>46099</v>
      </c>
      <c r="AG529" s="65">
        <v>46099</v>
      </c>
      <c r="AH529" s="65">
        <v>46106</v>
      </c>
      <c r="AI529" s="177">
        <v>46107</v>
      </c>
      <c r="AJ529" s="177"/>
      <c r="AK529" s="178">
        <v>46106</v>
      </c>
      <c r="AL529" s="227">
        <v>2417.25</v>
      </c>
      <c r="AM529" s="58"/>
      <c r="AN529" s="58"/>
      <c r="AR529" s="21"/>
    </row>
    <row r="530" spans="1:45" ht="18.649999999999999" customHeight="1">
      <c r="A530" s="48" t="s">
        <v>633</v>
      </c>
      <c r="B530" s="199" t="s">
        <v>625</v>
      </c>
      <c r="D530" s="20" t="s">
        <v>48</v>
      </c>
      <c r="E530" s="23" t="s">
        <v>116</v>
      </c>
      <c r="F530" s="23">
        <v>2000019417</v>
      </c>
      <c r="G530" s="22" t="s">
        <v>128</v>
      </c>
      <c r="H530" s="30">
        <v>275</v>
      </c>
      <c r="I530" s="108" t="s">
        <v>129</v>
      </c>
      <c r="K530" s="21"/>
      <c r="M530" s="226" t="s">
        <v>748</v>
      </c>
      <c r="N530" s="21" t="s">
        <v>1319</v>
      </c>
      <c r="O530" s="21" t="s">
        <v>120</v>
      </c>
      <c r="Q530" s="20" t="s">
        <v>1320</v>
      </c>
      <c r="R530" s="30" t="s">
        <v>122</v>
      </c>
      <c r="S530" s="30" t="s">
        <v>122</v>
      </c>
      <c r="T530" s="24">
        <v>46082</v>
      </c>
      <c r="U530" s="137">
        <v>46099</v>
      </c>
      <c r="V530" s="137">
        <v>46102</v>
      </c>
      <c r="X530" s="5" t="s">
        <v>123</v>
      </c>
      <c r="Y530" s="5">
        <v>0.5</v>
      </c>
      <c r="AA530" s="137">
        <v>46099</v>
      </c>
      <c r="AB530" s="137">
        <v>46102</v>
      </c>
      <c r="AD530" s="90" t="s">
        <v>122</v>
      </c>
      <c r="AE530" s="21"/>
      <c r="AF530" s="65">
        <v>46099</v>
      </c>
      <c r="AG530" s="65">
        <v>46099</v>
      </c>
      <c r="AH530" s="65">
        <v>46106</v>
      </c>
      <c r="AI530" s="177">
        <v>46107</v>
      </c>
      <c r="AJ530" s="177"/>
      <c r="AK530" s="178">
        <v>46106</v>
      </c>
      <c r="AL530" s="227">
        <v>5780.5</v>
      </c>
      <c r="AM530" s="58"/>
      <c r="AN530" s="58"/>
      <c r="AR530" s="21"/>
    </row>
    <row r="531" spans="1:45" ht="18.649999999999999" customHeight="1">
      <c r="A531" s="48" t="s">
        <v>633</v>
      </c>
      <c r="B531" s="199" t="s">
        <v>625</v>
      </c>
      <c r="D531" s="20" t="s">
        <v>48</v>
      </c>
      <c r="E531" s="23" t="s">
        <v>116</v>
      </c>
      <c r="F531" s="23">
        <v>2000008060</v>
      </c>
      <c r="G531" s="22" t="s">
        <v>133</v>
      </c>
      <c r="H531" s="30">
        <v>110</v>
      </c>
      <c r="I531" s="108" t="s">
        <v>85</v>
      </c>
      <c r="K531" s="21"/>
      <c r="M531" s="226" t="s">
        <v>748</v>
      </c>
      <c r="N531" s="21" t="s">
        <v>1319</v>
      </c>
      <c r="O531" s="21" t="s">
        <v>120</v>
      </c>
      <c r="Q531" s="20" t="s">
        <v>1320</v>
      </c>
      <c r="R531" s="30" t="s">
        <v>122</v>
      </c>
      <c r="S531" s="30" t="s">
        <v>122</v>
      </c>
      <c r="T531" s="24">
        <v>46082</v>
      </c>
      <c r="U531" s="137">
        <v>46099</v>
      </c>
      <c r="V531" s="137">
        <v>46102</v>
      </c>
      <c r="X531" s="5" t="s">
        <v>123</v>
      </c>
      <c r="Y531" s="5">
        <v>0.5</v>
      </c>
      <c r="AA531" s="137">
        <v>46099</v>
      </c>
      <c r="AB531" s="137">
        <v>46102</v>
      </c>
      <c r="AD531" s="90" t="s">
        <v>122</v>
      </c>
      <c r="AE531" s="21"/>
      <c r="AF531" s="65">
        <v>46099</v>
      </c>
      <c r="AG531" s="65">
        <v>46099</v>
      </c>
      <c r="AH531" s="65">
        <v>46106</v>
      </c>
      <c r="AI531" s="177">
        <v>46107</v>
      </c>
      <c r="AJ531" s="177"/>
      <c r="AK531" s="178">
        <v>46106</v>
      </c>
      <c r="AL531" s="227">
        <v>2597.5</v>
      </c>
      <c r="AM531" s="58"/>
      <c r="AN531" s="58"/>
      <c r="AR531" s="21"/>
    </row>
    <row r="532" spans="1:45" ht="18.649999999999999" customHeight="1">
      <c r="A532" s="48" t="s">
        <v>633</v>
      </c>
      <c r="B532" s="199" t="s">
        <v>625</v>
      </c>
      <c r="D532" s="20" t="s">
        <v>48</v>
      </c>
      <c r="E532" s="23" t="s">
        <v>116</v>
      </c>
      <c r="F532" s="23">
        <v>2000005877</v>
      </c>
      <c r="G532" s="22" t="s">
        <v>134</v>
      </c>
      <c r="H532" s="30">
        <v>250</v>
      </c>
      <c r="I532" s="108" t="s">
        <v>129</v>
      </c>
      <c r="K532" s="21"/>
      <c r="M532" s="226" t="s">
        <v>748</v>
      </c>
      <c r="N532" s="21" t="s">
        <v>1319</v>
      </c>
      <c r="O532" s="21" t="s">
        <v>120</v>
      </c>
      <c r="Q532" s="20" t="s">
        <v>1320</v>
      </c>
      <c r="R532" s="30" t="s">
        <v>122</v>
      </c>
      <c r="S532" s="30" t="s">
        <v>122</v>
      </c>
      <c r="T532" s="24">
        <v>46082</v>
      </c>
      <c r="U532" s="137">
        <v>46099</v>
      </c>
      <c r="V532" s="137">
        <v>46102</v>
      </c>
      <c r="X532" s="5" t="s">
        <v>123</v>
      </c>
      <c r="Y532" s="5">
        <v>0.5</v>
      </c>
      <c r="AA532" s="137">
        <v>46099</v>
      </c>
      <c r="AB532" s="137">
        <v>46102</v>
      </c>
      <c r="AD532" s="90" t="s">
        <v>122</v>
      </c>
      <c r="AE532" s="21"/>
      <c r="AF532" s="65">
        <v>46099</v>
      </c>
      <c r="AG532" s="65">
        <v>46099</v>
      </c>
      <c r="AH532" s="65">
        <v>46106</v>
      </c>
      <c r="AI532" s="177">
        <v>46107</v>
      </c>
      <c r="AJ532" s="177"/>
      <c r="AK532" s="178">
        <v>46106</v>
      </c>
      <c r="AL532" s="227">
        <v>4171.05</v>
      </c>
      <c r="AM532" s="58"/>
      <c r="AN532" s="58"/>
      <c r="AR532" s="21"/>
    </row>
    <row r="533" spans="1:45" ht="18.649999999999999" customHeight="1">
      <c r="B533" s="60" t="s">
        <v>93</v>
      </c>
      <c r="D533" s="48" t="s">
        <v>81</v>
      </c>
      <c r="E533" s="49" t="s">
        <v>82</v>
      </c>
      <c r="F533" s="49" t="s">
        <v>154</v>
      </c>
      <c r="G533" s="22" t="s">
        <v>155</v>
      </c>
      <c r="H533" s="5">
        <v>14111</v>
      </c>
      <c r="I533" s="108" t="s">
        <v>85</v>
      </c>
      <c r="J533" s="33" t="s">
        <v>634</v>
      </c>
      <c r="K533" s="21" t="s">
        <v>53</v>
      </c>
      <c r="L533" s="21" t="s">
        <v>1322</v>
      </c>
      <c r="M533" s="214" t="s">
        <v>1323</v>
      </c>
      <c r="N533" s="5">
        <v>2245516912</v>
      </c>
      <c r="O533" s="48" t="s">
        <v>55</v>
      </c>
      <c r="Q533" s="20">
        <v>721335197</v>
      </c>
      <c r="R533" s="48" t="s">
        <v>88</v>
      </c>
      <c r="S533" s="5" t="s">
        <v>1324</v>
      </c>
      <c r="T533" s="24">
        <v>46133</v>
      </c>
      <c r="U533" s="137">
        <v>46097</v>
      </c>
      <c r="V533" s="137">
        <v>46133</v>
      </c>
      <c r="X533" s="30" t="s">
        <v>58</v>
      </c>
      <c r="Y533" s="5">
        <v>7</v>
      </c>
      <c r="AA533" s="137">
        <v>46097</v>
      </c>
      <c r="AB533" s="137">
        <v>46133</v>
      </c>
      <c r="AD533" s="56" t="s">
        <v>72</v>
      </c>
      <c r="AE533" s="21"/>
      <c r="AF533" s="65">
        <v>46108</v>
      </c>
      <c r="AG533" s="65">
        <v>46101</v>
      </c>
      <c r="AH533" s="281">
        <v>46136</v>
      </c>
      <c r="AI533" s="177">
        <v>46139</v>
      </c>
      <c r="AJ533" s="177"/>
      <c r="AK533" s="138"/>
      <c r="AL533" s="58"/>
      <c r="AM533" s="58"/>
      <c r="AN533" s="58"/>
      <c r="AR533" s="21">
        <v>1</v>
      </c>
      <c r="AS533" s="21" t="s">
        <v>577</v>
      </c>
    </row>
    <row r="534" spans="1:45" s="398" customFormat="1" ht="18.649999999999999" customHeight="1">
      <c r="A534" s="395" t="s">
        <v>1325</v>
      </c>
      <c r="B534" s="395" t="s">
        <v>1297</v>
      </c>
      <c r="C534" s="340">
        <v>46127</v>
      </c>
      <c r="D534" s="395" t="s">
        <v>275</v>
      </c>
      <c r="E534" s="396" t="s">
        <v>319</v>
      </c>
      <c r="F534" s="396">
        <v>1000030433</v>
      </c>
      <c r="G534" s="22" t="s">
        <v>320</v>
      </c>
      <c r="H534" s="397">
        <v>1134</v>
      </c>
      <c r="I534" s="397" t="s">
        <v>85</v>
      </c>
      <c r="L534" s="399">
        <v>46101</v>
      </c>
      <c r="M534" s="400" t="s">
        <v>1326</v>
      </c>
      <c r="N534" s="401" t="s">
        <v>1327</v>
      </c>
      <c r="O534" s="402" t="s">
        <v>189</v>
      </c>
      <c r="Q534" s="398" t="s">
        <v>1328</v>
      </c>
      <c r="R534" s="395" t="s">
        <v>1194</v>
      </c>
      <c r="S534" s="401" t="s">
        <v>1329</v>
      </c>
      <c r="T534" s="403">
        <v>46143</v>
      </c>
      <c r="U534" s="352">
        <v>46127</v>
      </c>
      <c r="V534" s="352">
        <v>46140</v>
      </c>
      <c r="X534" s="402" t="s">
        <v>123</v>
      </c>
      <c r="Y534" s="402">
        <v>0.5</v>
      </c>
      <c r="AA534" s="352">
        <v>46136</v>
      </c>
      <c r="AB534" s="352">
        <v>46147</v>
      </c>
      <c r="AD534" s="404" t="s">
        <v>72</v>
      </c>
      <c r="AE534" s="65">
        <v>46141</v>
      </c>
      <c r="AF534" s="65">
        <v>46141</v>
      </c>
      <c r="AG534" s="405">
        <v>46139</v>
      </c>
      <c r="AH534" s="405">
        <v>46150</v>
      </c>
      <c r="AI534" s="406"/>
      <c r="AJ534" s="406"/>
      <c r="AK534" s="407">
        <v>46137</v>
      </c>
      <c r="AL534" s="170">
        <v>226800</v>
      </c>
      <c r="AM534" s="408"/>
      <c r="AN534" s="408"/>
    </row>
    <row r="535" spans="1:45" s="398" customFormat="1" ht="18.649999999999999" customHeight="1">
      <c r="A535" s="395" t="s">
        <v>1325</v>
      </c>
      <c r="B535" s="395" t="s">
        <v>1297</v>
      </c>
      <c r="D535" s="395" t="s">
        <v>275</v>
      </c>
      <c r="E535" s="396" t="s">
        <v>319</v>
      </c>
      <c r="F535" s="396">
        <v>1000024287</v>
      </c>
      <c r="G535" s="22" t="s">
        <v>326</v>
      </c>
      <c r="H535" s="397">
        <v>756</v>
      </c>
      <c r="I535" s="397" t="s">
        <v>85</v>
      </c>
      <c r="L535" s="399">
        <v>46101</v>
      </c>
      <c r="M535" s="400" t="s">
        <v>1326</v>
      </c>
      <c r="N535" s="401" t="s">
        <v>1327</v>
      </c>
      <c r="O535" s="402" t="s">
        <v>189</v>
      </c>
      <c r="Q535" s="398" t="s">
        <v>1328</v>
      </c>
      <c r="R535" s="395" t="s">
        <v>1194</v>
      </c>
      <c r="S535" s="401" t="s">
        <v>1329</v>
      </c>
      <c r="T535" s="403">
        <v>46143</v>
      </c>
      <c r="U535" s="352">
        <v>46127</v>
      </c>
      <c r="V535" s="352">
        <v>46140</v>
      </c>
      <c r="X535" s="402" t="s">
        <v>123</v>
      </c>
      <c r="Y535" s="402">
        <v>0.5</v>
      </c>
      <c r="AA535" s="352">
        <v>46136</v>
      </c>
      <c r="AB535" s="352">
        <v>46147</v>
      </c>
      <c r="AD535" s="404" t="s">
        <v>72</v>
      </c>
      <c r="AE535" s="65">
        <v>46141</v>
      </c>
      <c r="AF535" s="65">
        <v>46141</v>
      </c>
      <c r="AG535" s="405">
        <v>46139</v>
      </c>
      <c r="AH535" s="405">
        <v>46150</v>
      </c>
      <c r="AI535" s="406"/>
      <c r="AJ535" s="406"/>
      <c r="AK535" s="407">
        <v>46137</v>
      </c>
      <c r="AL535" s="170">
        <v>151200</v>
      </c>
      <c r="AM535" s="408"/>
      <c r="AN535" s="408"/>
    </row>
    <row r="536" spans="1:45" s="398" customFormat="1" ht="18.649999999999999" customHeight="1">
      <c r="A536" s="395" t="s">
        <v>1325</v>
      </c>
      <c r="B536" s="395" t="s">
        <v>1297</v>
      </c>
      <c r="D536" s="395" t="s">
        <v>275</v>
      </c>
      <c r="E536" s="396" t="s">
        <v>319</v>
      </c>
      <c r="F536" s="409">
        <v>2000023499</v>
      </c>
      <c r="G536" s="22" t="s">
        <v>333</v>
      </c>
      <c r="H536" s="397">
        <v>80</v>
      </c>
      <c r="I536" s="397" t="s">
        <v>239</v>
      </c>
      <c r="L536" s="399">
        <v>46101</v>
      </c>
      <c r="M536" s="400" t="s">
        <v>1326</v>
      </c>
      <c r="N536" s="401" t="s">
        <v>1327</v>
      </c>
      <c r="O536" s="402" t="s">
        <v>189</v>
      </c>
      <c r="Q536" s="398" t="s">
        <v>1328</v>
      </c>
      <c r="R536" s="395" t="s">
        <v>1194</v>
      </c>
      <c r="S536" s="401" t="s">
        <v>1329</v>
      </c>
      <c r="T536" s="403">
        <v>46143</v>
      </c>
      <c r="U536" s="352">
        <v>46127</v>
      </c>
      <c r="V536" s="352">
        <v>46140</v>
      </c>
      <c r="X536" s="402" t="s">
        <v>123</v>
      </c>
      <c r="Y536" s="402">
        <v>0.5</v>
      </c>
      <c r="Z536" s="401"/>
      <c r="AA536" s="352">
        <v>46136</v>
      </c>
      <c r="AB536" s="352">
        <v>46147</v>
      </c>
      <c r="AD536" s="404" t="s">
        <v>72</v>
      </c>
      <c r="AE536" s="65">
        <v>46141</v>
      </c>
      <c r="AF536" s="65">
        <v>46141</v>
      </c>
      <c r="AG536" s="405">
        <v>46139</v>
      </c>
      <c r="AH536" s="405">
        <v>46150</v>
      </c>
      <c r="AI536" s="406"/>
      <c r="AJ536" s="406"/>
      <c r="AK536" s="407">
        <v>46137</v>
      </c>
      <c r="AL536" s="170">
        <v>160</v>
      </c>
      <c r="AM536" s="408"/>
      <c r="AN536" s="408"/>
    </row>
    <row r="537" spans="1:45" s="168" customFormat="1" ht="18.649999999999999" customHeight="1">
      <c r="A537" s="141" t="s">
        <v>957</v>
      </c>
      <c r="B537" s="362" t="s">
        <v>741</v>
      </c>
      <c r="C537" s="410">
        <v>46140</v>
      </c>
      <c r="D537" s="139" t="s">
        <v>81</v>
      </c>
      <c r="E537" s="149" t="s">
        <v>262</v>
      </c>
      <c r="F537" s="142" t="s">
        <v>299</v>
      </c>
      <c r="G537" s="22" t="s">
        <v>300</v>
      </c>
      <c r="H537" s="108">
        <v>4476</v>
      </c>
      <c r="I537" s="108" t="s">
        <v>85</v>
      </c>
      <c r="K537" s="141" t="s">
        <v>53</v>
      </c>
      <c r="L537" s="411">
        <v>46101</v>
      </c>
      <c r="M537" s="141" t="s">
        <v>1330</v>
      </c>
      <c r="N537" s="412"/>
      <c r="O537" s="140" t="s">
        <v>68</v>
      </c>
      <c r="Q537" s="168" t="s">
        <v>1331</v>
      </c>
      <c r="R537" s="141" t="s">
        <v>1332</v>
      </c>
      <c r="S537" s="141" t="s">
        <v>1333</v>
      </c>
      <c r="T537" s="413">
        <v>46143</v>
      </c>
      <c r="U537" s="352">
        <v>46149</v>
      </c>
      <c r="V537" s="352">
        <v>46156</v>
      </c>
      <c r="X537" s="412" t="s">
        <v>309</v>
      </c>
      <c r="Y537" s="139">
        <v>4</v>
      </c>
      <c r="AA537" s="410">
        <v>46150</v>
      </c>
      <c r="AB537" s="410">
        <v>46157</v>
      </c>
      <c r="AD537" s="414" t="s">
        <v>59</v>
      </c>
      <c r="AE537" s="412"/>
      <c r="AF537" s="412"/>
      <c r="AG537" s="412"/>
      <c r="AH537" s="412"/>
      <c r="AJ537" s="168" t="s">
        <v>765</v>
      </c>
      <c r="AK537" s="415"/>
      <c r="AM537" s="416"/>
      <c r="AN537" s="416"/>
    </row>
    <row r="538" spans="1:45" s="254" customFormat="1" ht="18.649999999999999" customHeight="1">
      <c r="A538" s="222"/>
      <c r="B538" s="222" t="s">
        <v>1297</v>
      </c>
      <c r="D538" s="220" t="s">
        <v>81</v>
      </c>
      <c r="E538" s="248" t="s">
        <v>964</v>
      </c>
      <c r="F538" s="255">
        <v>1000033716</v>
      </c>
      <c r="G538" s="22" t="s">
        <v>965</v>
      </c>
      <c r="H538" s="220">
        <v>300</v>
      </c>
      <c r="I538" s="220" t="s">
        <v>948</v>
      </c>
      <c r="L538" s="417">
        <v>46101</v>
      </c>
      <c r="M538" s="222" t="s">
        <v>1334</v>
      </c>
      <c r="N538" s="302"/>
      <c r="O538" s="302" t="s">
        <v>55</v>
      </c>
      <c r="R538" s="222"/>
      <c r="S538" s="302"/>
      <c r="T538" s="418">
        <v>46143</v>
      </c>
      <c r="U538" s="419">
        <v>46137</v>
      </c>
      <c r="V538" s="302"/>
      <c r="X538" s="302" t="s">
        <v>58</v>
      </c>
      <c r="Y538" s="238">
        <v>0.5</v>
      </c>
      <c r="AA538" s="222"/>
      <c r="AB538" s="222" t="s">
        <v>1335</v>
      </c>
      <c r="AD538" s="249" t="s">
        <v>72</v>
      </c>
      <c r="AE538" s="302"/>
      <c r="AF538" s="302"/>
      <c r="AG538" s="302"/>
      <c r="AH538" s="302"/>
      <c r="AK538" s="420"/>
      <c r="AM538" s="421"/>
      <c r="AN538" s="421"/>
    </row>
    <row r="539" spans="1:45" s="254" customFormat="1" ht="18.649999999999999" customHeight="1">
      <c r="A539" s="222"/>
      <c r="B539" s="222" t="s">
        <v>1297</v>
      </c>
      <c r="D539" s="220" t="s">
        <v>81</v>
      </c>
      <c r="E539" s="248" t="s">
        <v>964</v>
      </c>
      <c r="F539" s="255">
        <v>1000032688</v>
      </c>
      <c r="G539" s="22" t="s">
        <v>947</v>
      </c>
      <c r="H539" s="220">
        <v>200</v>
      </c>
      <c r="I539" s="220" t="s">
        <v>948</v>
      </c>
      <c r="L539" s="417">
        <v>46101</v>
      </c>
      <c r="M539" s="222" t="s">
        <v>1334</v>
      </c>
      <c r="N539" s="302"/>
      <c r="O539" s="302" t="s">
        <v>55</v>
      </c>
      <c r="R539" s="222"/>
      <c r="S539" s="302"/>
      <c r="T539" s="418">
        <v>46143</v>
      </c>
      <c r="U539" s="419">
        <v>46137</v>
      </c>
      <c r="V539" s="302"/>
      <c r="X539" s="302" t="s">
        <v>58</v>
      </c>
      <c r="Y539" s="238">
        <v>0.5</v>
      </c>
      <c r="AA539" s="222"/>
      <c r="AB539" s="222" t="s">
        <v>1335</v>
      </c>
      <c r="AD539" s="249" t="s">
        <v>72</v>
      </c>
      <c r="AE539" s="302"/>
      <c r="AF539" s="302"/>
      <c r="AG539" s="302"/>
      <c r="AH539" s="302"/>
      <c r="AK539" s="420"/>
      <c r="AM539" s="421"/>
      <c r="AN539" s="421"/>
    </row>
    <row r="540" spans="1:45" s="254" customFormat="1" ht="18.649999999999999" customHeight="1">
      <c r="A540" s="222"/>
      <c r="B540" s="222" t="s">
        <v>1297</v>
      </c>
      <c r="D540" s="220" t="s">
        <v>81</v>
      </c>
      <c r="E540" s="248" t="s">
        <v>964</v>
      </c>
      <c r="F540" s="255">
        <v>1000033248</v>
      </c>
      <c r="G540" s="22" t="s">
        <v>975</v>
      </c>
      <c r="H540" s="220">
        <v>3000</v>
      </c>
      <c r="I540" s="220" t="s">
        <v>1336</v>
      </c>
      <c r="L540" s="417">
        <v>46101</v>
      </c>
      <c r="M540" s="222" t="s">
        <v>1334</v>
      </c>
      <c r="N540" s="302"/>
      <c r="O540" s="302" t="s">
        <v>55</v>
      </c>
      <c r="R540" s="222"/>
      <c r="S540" s="302"/>
      <c r="T540" s="418">
        <v>46143</v>
      </c>
      <c r="U540" s="419">
        <v>46137</v>
      </c>
      <c r="V540" s="302"/>
      <c r="X540" s="302" t="s">
        <v>58</v>
      </c>
      <c r="Y540" s="238">
        <v>0.5</v>
      </c>
      <c r="AA540" s="222"/>
      <c r="AB540" s="222" t="s">
        <v>1335</v>
      </c>
      <c r="AD540" s="249" t="s">
        <v>72</v>
      </c>
      <c r="AE540" s="302"/>
      <c r="AF540" s="302"/>
      <c r="AG540" s="302"/>
      <c r="AH540" s="302"/>
      <c r="AK540" s="420"/>
      <c r="AM540" s="421"/>
      <c r="AN540" s="421"/>
    </row>
    <row r="541" spans="1:45" s="254" customFormat="1" ht="18.649999999999999" customHeight="1">
      <c r="A541" s="222"/>
      <c r="B541" s="222" t="s">
        <v>1297</v>
      </c>
      <c r="D541" s="220" t="s">
        <v>81</v>
      </c>
      <c r="E541" s="248" t="s">
        <v>964</v>
      </c>
      <c r="F541" s="255">
        <v>1000031896</v>
      </c>
      <c r="G541" s="22" t="s">
        <v>973</v>
      </c>
      <c r="H541" s="220">
        <v>100</v>
      </c>
      <c r="I541" s="220" t="s">
        <v>948</v>
      </c>
      <c r="L541" s="417">
        <v>46101</v>
      </c>
      <c r="M541" s="222" t="s">
        <v>1334</v>
      </c>
      <c r="N541" s="302"/>
      <c r="O541" s="302" t="s">
        <v>55</v>
      </c>
      <c r="R541" s="222"/>
      <c r="S541" s="302"/>
      <c r="T541" s="418">
        <v>46143</v>
      </c>
      <c r="U541" s="419">
        <v>46137</v>
      </c>
      <c r="V541" s="302"/>
      <c r="X541" s="302" t="s">
        <v>58</v>
      </c>
      <c r="Y541" s="238">
        <v>0.5</v>
      </c>
      <c r="AA541" s="222"/>
      <c r="AB541" s="222" t="s">
        <v>1335</v>
      </c>
      <c r="AD541" s="249" t="s">
        <v>72</v>
      </c>
      <c r="AE541" s="302"/>
      <c r="AF541" s="302"/>
      <c r="AG541" s="302"/>
      <c r="AH541" s="302"/>
      <c r="AK541" s="420"/>
      <c r="AM541" s="421"/>
      <c r="AN541" s="421"/>
    </row>
    <row r="542" spans="1:45" s="254" customFormat="1" ht="18.649999999999999" customHeight="1">
      <c r="A542" s="222"/>
      <c r="B542" s="222" t="s">
        <v>1297</v>
      </c>
      <c r="D542" s="220" t="s">
        <v>81</v>
      </c>
      <c r="E542" s="248" t="s">
        <v>964</v>
      </c>
      <c r="F542" s="255">
        <v>1000032694</v>
      </c>
      <c r="G542" s="22" t="s">
        <v>974</v>
      </c>
      <c r="H542" s="220">
        <v>50</v>
      </c>
      <c r="I542" s="220" t="s">
        <v>948</v>
      </c>
      <c r="L542" s="417">
        <v>46101</v>
      </c>
      <c r="M542" s="222" t="s">
        <v>1334</v>
      </c>
      <c r="N542" s="302"/>
      <c r="O542" s="302" t="s">
        <v>55</v>
      </c>
      <c r="R542" s="222"/>
      <c r="S542" s="302"/>
      <c r="T542" s="418">
        <v>46143</v>
      </c>
      <c r="U542" s="419">
        <v>46137</v>
      </c>
      <c r="V542" s="302"/>
      <c r="X542" s="302" t="s">
        <v>58</v>
      </c>
      <c r="Y542" s="238">
        <v>0.5</v>
      </c>
      <c r="AA542" s="222"/>
      <c r="AB542" s="222" t="s">
        <v>1335</v>
      </c>
      <c r="AD542" s="249" t="s">
        <v>72</v>
      </c>
      <c r="AE542" s="302"/>
      <c r="AF542" s="302"/>
      <c r="AG542" s="302"/>
      <c r="AH542" s="302"/>
      <c r="AK542" s="420"/>
      <c r="AM542" s="421"/>
      <c r="AN542" s="421"/>
    </row>
    <row r="543" spans="1:45" s="254" customFormat="1" ht="18.649999999999999" customHeight="1">
      <c r="A543" s="222"/>
      <c r="B543" s="222" t="s">
        <v>1297</v>
      </c>
      <c r="D543" s="220" t="s">
        <v>81</v>
      </c>
      <c r="E543" s="248" t="s">
        <v>964</v>
      </c>
      <c r="F543" s="255">
        <v>1000033248</v>
      </c>
      <c r="G543" s="22" t="s">
        <v>975</v>
      </c>
      <c r="H543" s="220">
        <v>9500</v>
      </c>
      <c r="I543" s="220" t="s">
        <v>1336</v>
      </c>
      <c r="K543" s="254" t="s">
        <v>53</v>
      </c>
      <c r="L543" s="417">
        <v>46101</v>
      </c>
      <c r="M543" s="222" t="s">
        <v>1337</v>
      </c>
      <c r="N543" s="302"/>
      <c r="O543" s="302" t="s">
        <v>55</v>
      </c>
      <c r="R543" s="222"/>
      <c r="S543" s="302"/>
      <c r="T543" s="418">
        <v>46143</v>
      </c>
      <c r="U543" s="419">
        <v>46137</v>
      </c>
      <c r="V543" s="302"/>
      <c r="X543" s="302" t="s">
        <v>58</v>
      </c>
      <c r="Y543" s="238">
        <v>0.5</v>
      </c>
      <c r="AA543" s="222"/>
      <c r="AB543" s="222" t="s">
        <v>1335</v>
      </c>
      <c r="AD543" s="249" t="s">
        <v>72</v>
      </c>
      <c r="AE543" s="302"/>
      <c r="AF543" s="302"/>
      <c r="AG543" s="302"/>
      <c r="AH543" s="302"/>
      <c r="AK543" s="420"/>
      <c r="AM543" s="421"/>
      <c r="AN543" s="421"/>
    </row>
    <row r="544" spans="1:45" s="244" customFormat="1" ht="18.649999999999999" customHeight="1">
      <c r="A544" s="239"/>
      <c r="B544" s="239" t="s">
        <v>1297</v>
      </c>
      <c r="C544" s="272" t="s">
        <v>625</v>
      </c>
      <c r="D544" s="239" t="s">
        <v>99</v>
      </c>
      <c r="E544" s="240" t="s">
        <v>236</v>
      </c>
      <c r="F544" s="307">
        <v>2000003094</v>
      </c>
      <c r="G544" s="240" t="s">
        <v>1167</v>
      </c>
      <c r="H544" s="189">
        <v>900</v>
      </c>
      <c r="I544" s="239" t="s">
        <v>239</v>
      </c>
      <c r="J544" s="244" t="s">
        <v>1338</v>
      </c>
      <c r="K544" s="244" t="s">
        <v>53</v>
      </c>
      <c r="L544" s="245">
        <v>46101</v>
      </c>
      <c r="M544" s="308" t="s">
        <v>1339</v>
      </c>
      <c r="N544" s="189" t="s">
        <v>1340</v>
      </c>
      <c r="O544" s="189" t="s">
        <v>55</v>
      </c>
      <c r="Q544" s="239" t="s">
        <v>1341</v>
      </c>
      <c r="R544" s="239" t="s">
        <v>1172</v>
      </c>
      <c r="S544" s="189" t="s">
        <v>1172</v>
      </c>
      <c r="T544" s="309">
        <v>46143</v>
      </c>
      <c r="U544" s="310">
        <v>46120</v>
      </c>
      <c r="V544" s="310">
        <v>46122</v>
      </c>
      <c r="X544" s="189" t="s">
        <v>209</v>
      </c>
      <c r="Y544" s="189">
        <v>1</v>
      </c>
      <c r="AA544" s="310">
        <v>46120</v>
      </c>
      <c r="AB544" s="310">
        <v>46128</v>
      </c>
      <c r="AD544" s="311" t="s">
        <v>72</v>
      </c>
      <c r="AE544" s="245">
        <v>46129</v>
      </c>
      <c r="AF544" s="310">
        <v>46128</v>
      </c>
      <c r="AG544" s="310">
        <v>46125</v>
      </c>
      <c r="AH544" s="310">
        <v>46129</v>
      </c>
      <c r="AI544" s="245">
        <v>46132</v>
      </c>
      <c r="AJ544" s="245"/>
      <c r="AK544" s="422">
        <v>46137</v>
      </c>
      <c r="AL544" s="423">
        <v>840</v>
      </c>
      <c r="AM544" s="316"/>
      <c r="AN544" s="316"/>
    </row>
    <row r="545" spans="1:44" s="370" customFormat="1" ht="18.649999999999999" customHeight="1">
      <c r="A545" s="369" t="s">
        <v>826</v>
      </c>
      <c r="B545" s="369" t="s">
        <v>1342</v>
      </c>
      <c r="D545" s="424" t="s">
        <v>183</v>
      </c>
      <c r="E545" s="425" t="s">
        <v>184</v>
      </c>
      <c r="F545" s="425">
        <v>1000021451</v>
      </c>
      <c r="G545" s="22" t="s">
        <v>334</v>
      </c>
      <c r="H545" s="373">
        <v>190</v>
      </c>
      <c r="I545" s="426" t="s">
        <v>52</v>
      </c>
      <c r="J545" s="370" t="s">
        <v>1343</v>
      </c>
      <c r="M545" s="342" t="s">
        <v>1344</v>
      </c>
      <c r="N545" s="373" t="s">
        <v>1345</v>
      </c>
      <c r="O545" s="427" t="s">
        <v>189</v>
      </c>
      <c r="Q545" s="369" t="s">
        <v>1346</v>
      </c>
      <c r="R545" s="20" t="s">
        <v>178</v>
      </c>
      <c r="S545" s="373" t="s">
        <v>1347</v>
      </c>
      <c r="T545" s="345">
        <v>46120</v>
      </c>
      <c r="U545" s="346">
        <v>46116</v>
      </c>
      <c r="V545" s="346">
        <v>46120</v>
      </c>
      <c r="X545" s="30" t="s">
        <v>170</v>
      </c>
      <c r="Y545" s="5">
        <v>0.5</v>
      </c>
      <c r="AA545" s="428">
        <v>46119</v>
      </c>
      <c r="AB545" s="428">
        <v>46123</v>
      </c>
      <c r="AD545" s="429" t="s">
        <v>72</v>
      </c>
      <c r="AE545" s="65">
        <v>46121</v>
      </c>
      <c r="AF545" s="65">
        <v>46129</v>
      </c>
      <c r="AG545" s="346">
        <v>46121</v>
      </c>
      <c r="AH545" s="177">
        <v>46136</v>
      </c>
      <c r="AI545" s="177">
        <v>46139</v>
      </c>
      <c r="AJ545" s="177"/>
      <c r="AK545" s="430"/>
      <c r="AL545" s="378"/>
      <c r="AM545" s="378"/>
      <c r="AN545" s="378"/>
    </row>
    <row r="546" spans="1:44" s="370" customFormat="1" ht="18.649999999999999" customHeight="1">
      <c r="A546" s="369" t="s">
        <v>826</v>
      </c>
      <c r="B546" s="369" t="s">
        <v>1342</v>
      </c>
      <c r="D546" s="424" t="s">
        <v>183</v>
      </c>
      <c r="E546" s="425" t="s">
        <v>184</v>
      </c>
      <c r="F546" s="425">
        <v>1000012500</v>
      </c>
      <c r="G546" s="22" t="s">
        <v>340</v>
      </c>
      <c r="H546" s="373">
        <v>15</v>
      </c>
      <c r="I546" s="426" t="s">
        <v>52</v>
      </c>
      <c r="M546" s="347" t="s">
        <v>1348</v>
      </c>
      <c r="N546" s="373" t="s">
        <v>1345</v>
      </c>
      <c r="O546" s="427" t="s">
        <v>189</v>
      </c>
      <c r="Q546" s="369" t="s">
        <v>1346</v>
      </c>
      <c r="R546" s="20" t="s">
        <v>178</v>
      </c>
      <c r="S546" s="373" t="s">
        <v>1347</v>
      </c>
      <c r="T546" s="345">
        <v>46120</v>
      </c>
      <c r="U546" s="346">
        <v>46116</v>
      </c>
      <c r="V546" s="346">
        <v>46120</v>
      </c>
      <c r="X546" s="30" t="s">
        <v>170</v>
      </c>
      <c r="Y546" s="5">
        <v>0.5</v>
      </c>
      <c r="AA546" s="428">
        <v>46119</v>
      </c>
      <c r="AB546" s="428">
        <v>46123</v>
      </c>
      <c r="AD546" s="429" t="s">
        <v>72</v>
      </c>
      <c r="AE546" s="65">
        <v>46121</v>
      </c>
      <c r="AF546" s="65">
        <v>46129</v>
      </c>
      <c r="AG546" s="346">
        <v>46121</v>
      </c>
      <c r="AH546" s="177">
        <v>46136</v>
      </c>
      <c r="AI546" s="177">
        <v>46139</v>
      </c>
      <c r="AJ546" s="177"/>
      <c r="AK546" s="430"/>
      <c r="AL546" s="378"/>
      <c r="AM546" s="378"/>
      <c r="AN546" s="378"/>
    </row>
    <row r="547" spans="1:44" s="370" customFormat="1" ht="18.649999999999999" customHeight="1">
      <c r="A547" s="369" t="s">
        <v>826</v>
      </c>
      <c r="B547" s="369" t="s">
        <v>1342</v>
      </c>
      <c r="D547" s="424" t="s">
        <v>183</v>
      </c>
      <c r="E547" s="425" t="s">
        <v>184</v>
      </c>
      <c r="F547" s="425">
        <v>1000020058</v>
      </c>
      <c r="G547" s="22" t="s">
        <v>341</v>
      </c>
      <c r="H547" s="373">
        <v>70</v>
      </c>
      <c r="I547" s="426" t="s">
        <v>52</v>
      </c>
      <c r="M547" s="347" t="s">
        <v>1348</v>
      </c>
      <c r="N547" s="373" t="s">
        <v>1345</v>
      </c>
      <c r="O547" s="427" t="s">
        <v>189</v>
      </c>
      <c r="Q547" s="369" t="s">
        <v>1346</v>
      </c>
      <c r="R547" s="20" t="s">
        <v>178</v>
      </c>
      <c r="S547" s="373" t="s">
        <v>1347</v>
      </c>
      <c r="T547" s="345">
        <v>46120</v>
      </c>
      <c r="U547" s="346">
        <v>46116</v>
      </c>
      <c r="V547" s="346">
        <v>46120</v>
      </c>
      <c r="X547" s="30" t="s">
        <v>170</v>
      </c>
      <c r="Y547" s="5">
        <v>0.5</v>
      </c>
      <c r="AA547" s="428">
        <v>46119</v>
      </c>
      <c r="AB547" s="428">
        <v>46123</v>
      </c>
      <c r="AD547" s="429" t="s">
        <v>72</v>
      </c>
      <c r="AE547" s="65">
        <v>46121</v>
      </c>
      <c r="AF547" s="65">
        <v>46129</v>
      </c>
      <c r="AG547" s="346">
        <v>46121</v>
      </c>
      <c r="AH547" s="177">
        <v>46136</v>
      </c>
      <c r="AI547" s="177">
        <v>46139</v>
      </c>
      <c r="AJ547" s="177"/>
      <c r="AK547" s="430"/>
      <c r="AL547" s="378"/>
      <c r="AM547" s="378"/>
      <c r="AN547" s="378"/>
    </row>
    <row r="548" spans="1:44" s="370" customFormat="1" ht="18.649999999999999" customHeight="1">
      <c r="A548" s="369" t="s">
        <v>826</v>
      </c>
      <c r="B548" s="369" t="s">
        <v>1342</v>
      </c>
      <c r="D548" s="424" t="s">
        <v>183</v>
      </c>
      <c r="E548" s="425" t="s">
        <v>184</v>
      </c>
      <c r="F548" s="425">
        <v>1000019487</v>
      </c>
      <c r="G548" s="22" t="s">
        <v>342</v>
      </c>
      <c r="H548" s="373">
        <v>155</v>
      </c>
      <c r="I548" s="426" t="s">
        <v>52</v>
      </c>
      <c r="M548" s="347" t="s">
        <v>1348</v>
      </c>
      <c r="N548" s="373" t="s">
        <v>1345</v>
      </c>
      <c r="O548" s="427" t="s">
        <v>189</v>
      </c>
      <c r="Q548" s="369" t="s">
        <v>1346</v>
      </c>
      <c r="R548" s="20" t="s">
        <v>178</v>
      </c>
      <c r="S548" s="373" t="s">
        <v>1347</v>
      </c>
      <c r="T548" s="345">
        <v>46120</v>
      </c>
      <c r="U548" s="346">
        <v>46116</v>
      </c>
      <c r="V548" s="346">
        <v>46120</v>
      </c>
      <c r="X548" s="30" t="s">
        <v>170</v>
      </c>
      <c r="Y548" s="5">
        <v>0.5</v>
      </c>
      <c r="AA548" s="428">
        <v>46119</v>
      </c>
      <c r="AB548" s="428">
        <v>46123</v>
      </c>
      <c r="AD548" s="429" t="s">
        <v>72</v>
      </c>
      <c r="AE548" s="65">
        <v>46121</v>
      </c>
      <c r="AF548" s="65">
        <v>46129</v>
      </c>
      <c r="AG548" s="346">
        <v>46121</v>
      </c>
      <c r="AH548" s="177">
        <v>46136</v>
      </c>
      <c r="AI548" s="177">
        <v>46139</v>
      </c>
      <c r="AJ548" s="177"/>
      <c r="AK548" s="430"/>
      <c r="AL548" s="378"/>
      <c r="AM548" s="378"/>
      <c r="AN548" s="378"/>
    </row>
    <row r="549" spans="1:44" s="370" customFormat="1" ht="18.649999999999999" customHeight="1">
      <c r="A549" s="369" t="s">
        <v>826</v>
      </c>
      <c r="B549" s="369" t="s">
        <v>1342</v>
      </c>
      <c r="D549" s="424" t="s">
        <v>183</v>
      </c>
      <c r="E549" s="425" t="s">
        <v>184</v>
      </c>
      <c r="F549" s="425">
        <v>1000020806</v>
      </c>
      <c r="G549" s="22" t="s">
        <v>343</v>
      </c>
      <c r="H549" s="373">
        <v>110</v>
      </c>
      <c r="I549" s="426" t="s">
        <v>52</v>
      </c>
      <c r="M549" s="347" t="s">
        <v>1348</v>
      </c>
      <c r="N549" s="373" t="s">
        <v>1345</v>
      </c>
      <c r="O549" s="427" t="s">
        <v>189</v>
      </c>
      <c r="Q549" s="369" t="s">
        <v>1346</v>
      </c>
      <c r="R549" s="20" t="s">
        <v>178</v>
      </c>
      <c r="S549" s="373" t="s">
        <v>1347</v>
      </c>
      <c r="T549" s="345">
        <v>46120</v>
      </c>
      <c r="U549" s="346">
        <v>46116</v>
      </c>
      <c r="V549" s="346">
        <v>46120</v>
      </c>
      <c r="X549" s="30" t="s">
        <v>170</v>
      </c>
      <c r="Y549" s="5">
        <v>0.5</v>
      </c>
      <c r="AA549" s="428">
        <v>46119</v>
      </c>
      <c r="AB549" s="428">
        <v>46123</v>
      </c>
      <c r="AD549" s="429" t="s">
        <v>72</v>
      </c>
      <c r="AE549" s="65">
        <v>46121</v>
      </c>
      <c r="AF549" s="65">
        <v>46129</v>
      </c>
      <c r="AG549" s="346">
        <v>46121</v>
      </c>
      <c r="AH549" s="177">
        <v>46136</v>
      </c>
      <c r="AI549" s="177">
        <v>46139</v>
      </c>
      <c r="AJ549" s="177"/>
      <c r="AK549" s="430"/>
      <c r="AL549" s="378"/>
      <c r="AM549" s="378"/>
      <c r="AN549" s="378"/>
    </row>
    <row r="550" spans="1:44" s="370" customFormat="1" ht="18.649999999999999" customHeight="1">
      <c r="A550" s="369" t="s">
        <v>826</v>
      </c>
      <c r="B550" s="369" t="s">
        <v>1342</v>
      </c>
      <c r="D550" s="424" t="s">
        <v>183</v>
      </c>
      <c r="E550" s="425" t="s">
        <v>184</v>
      </c>
      <c r="F550" s="425"/>
      <c r="G550" s="22" t="s">
        <v>1349</v>
      </c>
      <c r="H550" s="373">
        <v>5</v>
      </c>
      <c r="I550" s="426" t="s">
        <v>52</v>
      </c>
      <c r="M550" s="347" t="s">
        <v>1348</v>
      </c>
      <c r="N550" s="373" t="s">
        <v>1345</v>
      </c>
      <c r="O550" s="427" t="s">
        <v>189</v>
      </c>
      <c r="Q550" s="369" t="s">
        <v>1346</v>
      </c>
      <c r="R550" s="20" t="s">
        <v>178</v>
      </c>
      <c r="S550" s="373" t="s">
        <v>1347</v>
      </c>
      <c r="T550" s="345">
        <v>46120</v>
      </c>
      <c r="U550" s="346">
        <v>46116</v>
      </c>
      <c r="V550" s="346">
        <v>46120</v>
      </c>
      <c r="X550" s="30" t="s">
        <v>170</v>
      </c>
      <c r="Y550" s="5">
        <v>0.5</v>
      </c>
      <c r="AA550" s="428">
        <v>46119</v>
      </c>
      <c r="AB550" s="428">
        <v>46123</v>
      </c>
      <c r="AD550" s="429" t="s">
        <v>72</v>
      </c>
      <c r="AE550" s="65">
        <v>46121</v>
      </c>
      <c r="AF550" s="65">
        <v>46129</v>
      </c>
      <c r="AG550" s="346">
        <v>46121</v>
      </c>
      <c r="AH550" s="177">
        <v>46136</v>
      </c>
      <c r="AI550" s="177">
        <v>46139</v>
      </c>
      <c r="AJ550" s="177"/>
      <c r="AK550" s="430"/>
      <c r="AL550" s="378"/>
      <c r="AM550" s="378"/>
      <c r="AN550" s="378"/>
    </row>
    <row r="551" spans="1:44" s="370" customFormat="1" ht="18.649999999999999" customHeight="1">
      <c r="A551" s="369" t="s">
        <v>826</v>
      </c>
      <c r="B551" s="369" t="s">
        <v>1342</v>
      </c>
      <c r="D551" s="424" t="s">
        <v>183</v>
      </c>
      <c r="E551" s="425" t="s">
        <v>184</v>
      </c>
      <c r="F551" s="425">
        <v>1000016616</v>
      </c>
      <c r="G551" s="22" t="s">
        <v>344</v>
      </c>
      <c r="H551" s="373" t="s">
        <v>1350</v>
      </c>
      <c r="I551" s="426" t="s">
        <v>52</v>
      </c>
      <c r="M551" s="347" t="s">
        <v>1348</v>
      </c>
      <c r="N551" s="373" t="s">
        <v>1345</v>
      </c>
      <c r="O551" s="427" t="s">
        <v>189</v>
      </c>
      <c r="Q551" s="369" t="s">
        <v>1346</v>
      </c>
      <c r="R551" s="20" t="s">
        <v>178</v>
      </c>
      <c r="S551" s="373" t="s">
        <v>1347</v>
      </c>
      <c r="T551" s="345">
        <v>46120</v>
      </c>
      <c r="U551" s="346">
        <v>46116</v>
      </c>
      <c r="V551" s="346">
        <v>46120</v>
      </c>
      <c r="X551" s="30" t="s">
        <v>170</v>
      </c>
      <c r="Y551" s="5">
        <v>0.5</v>
      </c>
      <c r="AA551" s="428">
        <v>46119</v>
      </c>
      <c r="AB551" s="428">
        <v>46123</v>
      </c>
      <c r="AD551" s="429" t="s">
        <v>72</v>
      </c>
      <c r="AE551" s="65">
        <v>46121</v>
      </c>
      <c r="AF551" s="65">
        <v>46129</v>
      </c>
      <c r="AG551" s="346">
        <v>46121</v>
      </c>
      <c r="AH551" s="177">
        <v>46136</v>
      </c>
      <c r="AI551" s="177">
        <v>46139</v>
      </c>
      <c r="AJ551" s="177"/>
      <c r="AK551" s="430"/>
      <c r="AL551" s="378"/>
      <c r="AM551" s="378"/>
      <c r="AN551" s="378"/>
    </row>
    <row r="552" spans="1:44" s="370" customFormat="1" ht="18.649999999999999" customHeight="1">
      <c r="A552" s="369" t="s">
        <v>826</v>
      </c>
      <c r="B552" s="369" t="s">
        <v>1342</v>
      </c>
      <c r="D552" s="424" t="s">
        <v>183</v>
      </c>
      <c r="E552" s="425" t="s">
        <v>184</v>
      </c>
      <c r="F552" s="425">
        <v>1000016122</v>
      </c>
      <c r="G552" s="22" t="s">
        <v>345</v>
      </c>
      <c r="H552" s="373" t="s">
        <v>1351</v>
      </c>
      <c r="I552" s="426" t="s">
        <v>52</v>
      </c>
      <c r="M552" s="347" t="s">
        <v>1348</v>
      </c>
      <c r="N552" s="373" t="s">
        <v>1345</v>
      </c>
      <c r="O552" s="427" t="s">
        <v>189</v>
      </c>
      <c r="Q552" s="369" t="s">
        <v>1346</v>
      </c>
      <c r="R552" s="20" t="s">
        <v>178</v>
      </c>
      <c r="S552" s="373" t="s">
        <v>1347</v>
      </c>
      <c r="T552" s="345">
        <v>46120</v>
      </c>
      <c r="U552" s="346">
        <v>46116</v>
      </c>
      <c r="V552" s="346">
        <v>46120</v>
      </c>
      <c r="X552" s="30" t="s">
        <v>170</v>
      </c>
      <c r="Y552" s="5">
        <v>0.5</v>
      </c>
      <c r="AA552" s="428">
        <v>46119</v>
      </c>
      <c r="AB552" s="428">
        <v>46123</v>
      </c>
      <c r="AD552" s="429" t="s">
        <v>72</v>
      </c>
      <c r="AE552" s="65">
        <v>46121</v>
      </c>
      <c r="AF552" s="65">
        <v>46129</v>
      </c>
      <c r="AG552" s="346">
        <v>46121</v>
      </c>
      <c r="AH552" s="177">
        <v>46136</v>
      </c>
      <c r="AI552" s="177">
        <v>46139</v>
      </c>
      <c r="AJ552" s="177"/>
      <c r="AK552" s="430"/>
      <c r="AL552" s="378"/>
      <c r="AM552" s="378"/>
      <c r="AN552" s="378"/>
    </row>
    <row r="553" spans="1:44" s="380" customFormat="1" ht="18.649999999999999" customHeight="1">
      <c r="A553" s="379"/>
      <c r="B553" s="362" t="s">
        <v>741</v>
      </c>
      <c r="C553" s="340">
        <v>46160</v>
      </c>
      <c r="D553" s="379" t="s">
        <v>48</v>
      </c>
      <c r="E553" s="431" t="s">
        <v>1174</v>
      </c>
      <c r="F553" s="431">
        <v>2000021255</v>
      </c>
      <c r="G553" s="22" t="s">
        <v>558</v>
      </c>
      <c r="H553" s="389">
        <v>192</v>
      </c>
      <c r="I553" s="389" t="s">
        <v>85</v>
      </c>
      <c r="J553" s="380" t="s">
        <v>1175</v>
      </c>
      <c r="K553" s="389"/>
      <c r="L553" s="432">
        <v>46106</v>
      </c>
      <c r="M553" s="379" t="s">
        <v>1352</v>
      </c>
      <c r="N553" s="389"/>
      <c r="O553" s="379" t="s">
        <v>68</v>
      </c>
      <c r="Q553" s="379"/>
      <c r="R553" s="379"/>
      <c r="S553" s="389"/>
      <c r="T553" s="390">
        <v>46174</v>
      </c>
      <c r="U553" s="433">
        <v>46157</v>
      </c>
      <c r="V553" s="433">
        <v>46174</v>
      </c>
      <c r="X553" s="386" t="s">
        <v>123</v>
      </c>
      <c r="Y553" s="386">
        <v>0.5</v>
      </c>
      <c r="AA553" s="379"/>
      <c r="AB553" s="379"/>
      <c r="AD553" s="391" t="s">
        <v>72</v>
      </c>
      <c r="AF553" s="389"/>
      <c r="AG553" s="389"/>
      <c r="AH553" s="379"/>
      <c r="AK553" s="392"/>
      <c r="AM553" s="393"/>
      <c r="AN553" s="393"/>
      <c r="AR553" s="389"/>
    </row>
    <row r="554" spans="1:44" s="380" customFormat="1" ht="18.649999999999999" customHeight="1">
      <c r="A554" s="379"/>
      <c r="B554" s="362" t="s">
        <v>741</v>
      </c>
      <c r="D554" s="379" t="s">
        <v>48</v>
      </c>
      <c r="E554" s="431" t="s">
        <v>1174</v>
      </c>
      <c r="F554" s="431">
        <v>2000006598</v>
      </c>
      <c r="G554" s="22" t="s">
        <v>126</v>
      </c>
      <c r="H554" s="389">
        <v>288</v>
      </c>
      <c r="I554" s="389" t="s">
        <v>85</v>
      </c>
      <c r="K554" s="389"/>
      <c r="L554" s="432">
        <v>46106</v>
      </c>
      <c r="M554" s="379" t="s">
        <v>1352</v>
      </c>
      <c r="N554" s="389"/>
      <c r="O554" s="379" t="s">
        <v>68</v>
      </c>
      <c r="Q554" s="379"/>
      <c r="R554" s="379"/>
      <c r="S554" s="389"/>
      <c r="T554" s="390">
        <v>46174</v>
      </c>
      <c r="U554" s="433">
        <v>46157</v>
      </c>
      <c r="V554" s="433">
        <v>46174</v>
      </c>
      <c r="X554" s="386" t="s">
        <v>123</v>
      </c>
      <c r="Y554" s="386">
        <v>0.5</v>
      </c>
      <c r="AA554" s="379"/>
      <c r="AB554" s="379"/>
      <c r="AD554" s="391" t="s">
        <v>72</v>
      </c>
      <c r="AF554" s="389"/>
      <c r="AG554" s="389"/>
      <c r="AH554" s="379"/>
      <c r="AK554" s="392"/>
      <c r="AM554" s="393"/>
      <c r="AN554" s="393"/>
      <c r="AR554" s="389"/>
    </row>
    <row r="555" spans="1:44" s="380" customFormat="1" ht="18.649999999999999" customHeight="1">
      <c r="A555" s="379"/>
      <c r="B555" s="362" t="s">
        <v>741</v>
      </c>
      <c r="D555" s="379" t="s">
        <v>48</v>
      </c>
      <c r="E555" s="431" t="s">
        <v>1174</v>
      </c>
      <c r="F555" s="431">
        <v>2000011048</v>
      </c>
      <c r="G555" s="22" t="s">
        <v>117</v>
      </c>
      <c r="H555" s="389">
        <v>256</v>
      </c>
      <c r="I555" s="389" t="s">
        <v>85</v>
      </c>
      <c r="K555" s="389"/>
      <c r="L555" s="432">
        <v>46106</v>
      </c>
      <c r="M555" s="379" t="s">
        <v>1352</v>
      </c>
      <c r="N555" s="389"/>
      <c r="O555" s="379" t="s">
        <v>68</v>
      </c>
      <c r="Q555" s="379"/>
      <c r="R555" s="379"/>
      <c r="S555" s="389"/>
      <c r="T555" s="390">
        <v>46174</v>
      </c>
      <c r="U555" s="433">
        <v>46157</v>
      </c>
      <c r="V555" s="433">
        <v>46174</v>
      </c>
      <c r="X555" s="386" t="s">
        <v>123</v>
      </c>
      <c r="Y555" s="386">
        <v>0.5</v>
      </c>
      <c r="AA555" s="379"/>
      <c r="AB555" s="379"/>
      <c r="AD555" s="391" t="s">
        <v>72</v>
      </c>
      <c r="AF555" s="389"/>
      <c r="AG555" s="389"/>
      <c r="AH555" s="379"/>
      <c r="AK555" s="392"/>
      <c r="AM555" s="393"/>
      <c r="AN555" s="393"/>
      <c r="AR555" s="389"/>
    </row>
    <row r="556" spans="1:44" s="380" customFormat="1" ht="18.649999999999999" customHeight="1">
      <c r="A556" s="379"/>
      <c r="B556" s="362" t="s">
        <v>741</v>
      </c>
      <c r="D556" s="379" t="s">
        <v>48</v>
      </c>
      <c r="E556" s="431" t="s">
        <v>1174</v>
      </c>
      <c r="F556" s="431">
        <v>2000020375</v>
      </c>
      <c r="G556" s="22" t="s">
        <v>124</v>
      </c>
      <c r="H556" s="389">
        <v>432</v>
      </c>
      <c r="I556" s="389" t="s">
        <v>85</v>
      </c>
      <c r="K556" s="389"/>
      <c r="L556" s="432">
        <v>46106</v>
      </c>
      <c r="M556" s="379" t="s">
        <v>1352</v>
      </c>
      <c r="N556" s="389"/>
      <c r="O556" s="379" t="s">
        <v>68</v>
      </c>
      <c r="Q556" s="379"/>
      <c r="R556" s="379"/>
      <c r="S556" s="389"/>
      <c r="T556" s="390">
        <v>46174</v>
      </c>
      <c r="U556" s="433">
        <v>46157</v>
      </c>
      <c r="V556" s="433">
        <v>46174</v>
      </c>
      <c r="X556" s="386" t="s">
        <v>123</v>
      </c>
      <c r="Y556" s="386">
        <v>0.5</v>
      </c>
      <c r="AA556" s="379"/>
      <c r="AB556" s="379"/>
      <c r="AD556" s="391" t="s">
        <v>72</v>
      </c>
      <c r="AF556" s="389"/>
      <c r="AG556" s="389"/>
      <c r="AH556" s="379"/>
      <c r="AK556" s="392"/>
      <c r="AM556" s="393"/>
      <c r="AN556" s="393"/>
      <c r="AR556" s="389"/>
    </row>
    <row r="557" spans="1:44" s="380" customFormat="1" ht="18.649999999999999" customHeight="1">
      <c r="A557" s="379"/>
      <c r="B557" s="362" t="s">
        <v>741</v>
      </c>
      <c r="D557" s="379" t="s">
        <v>48</v>
      </c>
      <c r="E557" s="431" t="s">
        <v>1174</v>
      </c>
      <c r="F557" s="431">
        <v>2000011850</v>
      </c>
      <c r="G557" s="22" t="s">
        <v>1353</v>
      </c>
      <c r="H557" s="389">
        <v>120</v>
      </c>
      <c r="I557" s="389" t="s">
        <v>85</v>
      </c>
      <c r="K557" s="389"/>
      <c r="L557" s="432">
        <v>46106</v>
      </c>
      <c r="M557" s="379" t="s">
        <v>1352</v>
      </c>
      <c r="N557" s="389"/>
      <c r="O557" s="379" t="s">
        <v>68</v>
      </c>
      <c r="Q557" s="379"/>
      <c r="R557" s="379"/>
      <c r="S557" s="389"/>
      <c r="T557" s="390">
        <v>46174</v>
      </c>
      <c r="U557" s="433">
        <v>46157</v>
      </c>
      <c r="V557" s="433">
        <v>46174</v>
      </c>
      <c r="X557" s="386" t="s">
        <v>123</v>
      </c>
      <c r="Y557" s="386">
        <v>0.5</v>
      </c>
      <c r="AA557" s="379"/>
      <c r="AB557" s="379"/>
      <c r="AD557" s="391" t="s">
        <v>72</v>
      </c>
      <c r="AF557" s="389"/>
      <c r="AG557" s="389"/>
      <c r="AH557" s="379"/>
      <c r="AK557" s="392"/>
      <c r="AM557" s="393"/>
      <c r="AN557" s="393"/>
      <c r="AR557" s="389"/>
    </row>
    <row r="558" spans="1:44" s="380" customFormat="1" ht="18.649999999999999" customHeight="1">
      <c r="A558" s="379"/>
      <c r="B558" s="362" t="s">
        <v>741</v>
      </c>
      <c r="D558" s="379" t="s">
        <v>48</v>
      </c>
      <c r="E558" s="431" t="s">
        <v>1174</v>
      </c>
      <c r="F558" s="431">
        <v>2000019417</v>
      </c>
      <c r="G558" s="22" t="s">
        <v>128</v>
      </c>
      <c r="H558" s="389">
        <v>288</v>
      </c>
      <c r="I558" s="389" t="s">
        <v>129</v>
      </c>
      <c r="K558" s="389"/>
      <c r="L558" s="432">
        <v>46106</v>
      </c>
      <c r="M558" s="379" t="s">
        <v>1352</v>
      </c>
      <c r="N558" s="389"/>
      <c r="O558" s="379" t="s">
        <v>68</v>
      </c>
      <c r="Q558" s="434"/>
      <c r="R558" s="379"/>
      <c r="S558" s="389"/>
      <c r="T558" s="390">
        <v>46174</v>
      </c>
      <c r="U558" s="433">
        <v>46157</v>
      </c>
      <c r="V558" s="433">
        <v>46174</v>
      </c>
      <c r="X558" s="386" t="s">
        <v>123</v>
      </c>
      <c r="Y558" s="386">
        <v>0.5</v>
      </c>
      <c r="AA558" s="379"/>
      <c r="AB558" s="379"/>
      <c r="AD558" s="391" t="s">
        <v>72</v>
      </c>
      <c r="AF558" s="389"/>
      <c r="AG558" s="389"/>
      <c r="AH558" s="379"/>
      <c r="AK558" s="392"/>
      <c r="AM558" s="393"/>
      <c r="AN558" s="393"/>
      <c r="AR558" s="389"/>
    </row>
    <row r="559" spans="1:44" s="380" customFormat="1" ht="18.649999999999999" customHeight="1">
      <c r="A559" s="379"/>
      <c r="B559" s="362" t="s">
        <v>741</v>
      </c>
      <c r="D559" s="379" t="s">
        <v>48</v>
      </c>
      <c r="E559" s="431" t="s">
        <v>1174</v>
      </c>
      <c r="F559" s="431">
        <v>2000007005</v>
      </c>
      <c r="G559" s="22" t="s">
        <v>1184</v>
      </c>
      <c r="H559" s="389">
        <v>128</v>
      </c>
      <c r="I559" s="389" t="s">
        <v>85</v>
      </c>
      <c r="K559" s="389"/>
      <c r="L559" s="432">
        <v>46106</v>
      </c>
      <c r="M559" s="379" t="s">
        <v>1352</v>
      </c>
      <c r="N559" s="389"/>
      <c r="O559" s="379" t="s">
        <v>68</v>
      </c>
      <c r="Q559" s="379"/>
      <c r="R559" s="379"/>
      <c r="S559" s="389"/>
      <c r="T559" s="390">
        <v>46174</v>
      </c>
      <c r="U559" s="433">
        <v>46157</v>
      </c>
      <c r="V559" s="433">
        <v>46174</v>
      </c>
      <c r="X559" s="386" t="s">
        <v>123</v>
      </c>
      <c r="Y559" s="386">
        <v>0.5</v>
      </c>
      <c r="AA559" s="379"/>
      <c r="AB559" s="379"/>
      <c r="AD559" s="391" t="s">
        <v>72</v>
      </c>
      <c r="AF559" s="389"/>
      <c r="AG559" s="389"/>
      <c r="AH559" s="379"/>
      <c r="AK559" s="392"/>
      <c r="AM559" s="393"/>
      <c r="AN559" s="393"/>
      <c r="AR559" s="389"/>
    </row>
    <row r="560" spans="1:44" s="380" customFormat="1" ht="18.649999999999999" customHeight="1">
      <c r="A560" s="379"/>
      <c r="B560" s="362" t="s">
        <v>741</v>
      </c>
      <c r="D560" s="379" t="s">
        <v>48</v>
      </c>
      <c r="E560" s="431" t="s">
        <v>1174</v>
      </c>
      <c r="F560" s="431">
        <v>2000008060</v>
      </c>
      <c r="G560" s="22" t="s">
        <v>1354</v>
      </c>
      <c r="H560" s="389">
        <v>192</v>
      </c>
      <c r="I560" s="389" t="s">
        <v>85</v>
      </c>
      <c r="K560" s="389"/>
      <c r="L560" s="432">
        <v>46106</v>
      </c>
      <c r="M560" s="379" t="s">
        <v>1352</v>
      </c>
      <c r="N560" s="389"/>
      <c r="O560" s="379" t="s">
        <v>68</v>
      </c>
      <c r="Q560" s="379"/>
      <c r="R560" s="379"/>
      <c r="S560" s="389"/>
      <c r="T560" s="390">
        <v>46174</v>
      </c>
      <c r="U560" s="433">
        <v>46157</v>
      </c>
      <c r="V560" s="433">
        <v>46174</v>
      </c>
      <c r="X560" s="386" t="s">
        <v>123</v>
      </c>
      <c r="Y560" s="386">
        <v>0.5</v>
      </c>
      <c r="AA560" s="379"/>
      <c r="AB560" s="379"/>
      <c r="AD560" s="391" t="s">
        <v>72</v>
      </c>
      <c r="AF560" s="389"/>
      <c r="AG560" s="389"/>
      <c r="AH560" s="379"/>
      <c r="AK560" s="392"/>
      <c r="AM560" s="393"/>
      <c r="AN560" s="393"/>
      <c r="AR560" s="389"/>
    </row>
    <row r="561" spans="1:44" s="380" customFormat="1" ht="18.649999999999999" customHeight="1">
      <c r="A561" s="379"/>
      <c r="B561" s="362" t="s">
        <v>741</v>
      </c>
      <c r="D561" s="379" t="s">
        <v>48</v>
      </c>
      <c r="E561" s="431" t="s">
        <v>1174</v>
      </c>
      <c r="F561" s="431">
        <v>2000000418</v>
      </c>
      <c r="G561" s="22" t="s">
        <v>130</v>
      </c>
      <c r="H561" s="389">
        <v>912</v>
      </c>
      <c r="I561" s="389" t="s">
        <v>129</v>
      </c>
      <c r="K561" s="389"/>
      <c r="L561" s="432">
        <v>46106</v>
      </c>
      <c r="M561" s="379" t="s">
        <v>1352</v>
      </c>
      <c r="N561" s="389"/>
      <c r="O561" s="379" t="s">
        <v>68</v>
      </c>
      <c r="Q561" s="379"/>
      <c r="R561" s="379"/>
      <c r="S561" s="389"/>
      <c r="T561" s="390">
        <v>46174</v>
      </c>
      <c r="U561" s="433">
        <v>46157</v>
      </c>
      <c r="V561" s="433">
        <v>46174</v>
      </c>
      <c r="X561" s="386" t="s">
        <v>123</v>
      </c>
      <c r="Y561" s="386">
        <v>0.5</v>
      </c>
      <c r="AA561" s="379"/>
      <c r="AB561" s="379"/>
      <c r="AD561" s="391" t="s">
        <v>72</v>
      </c>
      <c r="AF561" s="389"/>
      <c r="AG561" s="389"/>
      <c r="AH561" s="379"/>
      <c r="AK561" s="392"/>
      <c r="AM561" s="393"/>
      <c r="AN561" s="393"/>
      <c r="AR561" s="389"/>
    </row>
    <row r="562" spans="1:44" s="380" customFormat="1" ht="18.649999999999999" customHeight="1">
      <c r="A562" s="379"/>
      <c r="B562" s="362" t="s">
        <v>741</v>
      </c>
      <c r="D562" s="379" t="s">
        <v>48</v>
      </c>
      <c r="E562" s="431" t="s">
        <v>1174</v>
      </c>
      <c r="F562" s="431">
        <v>2000005877</v>
      </c>
      <c r="G562" s="22" t="s">
        <v>1355</v>
      </c>
      <c r="H562" s="389">
        <v>128</v>
      </c>
      <c r="I562" s="389" t="s">
        <v>129</v>
      </c>
      <c r="K562" s="389"/>
      <c r="L562" s="432">
        <v>46106</v>
      </c>
      <c r="M562" s="379" t="s">
        <v>1352</v>
      </c>
      <c r="N562" s="389"/>
      <c r="O562" s="379" t="s">
        <v>68</v>
      </c>
      <c r="Q562" s="379"/>
      <c r="R562" s="379"/>
      <c r="S562" s="389"/>
      <c r="T562" s="390">
        <v>46174</v>
      </c>
      <c r="U562" s="433">
        <v>46157</v>
      </c>
      <c r="V562" s="433">
        <v>46174</v>
      </c>
      <c r="X562" s="386" t="s">
        <v>123</v>
      </c>
      <c r="Y562" s="386">
        <v>0.5</v>
      </c>
      <c r="AA562" s="379"/>
      <c r="AB562" s="379"/>
      <c r="AD562" s="391" t="s">
        <v>72</v>
      </c>
      <c r="AF562" s="389"/>
      <c r="AG562" s="389"/>
      <c r="AH562" s="379"/>
      <c r="AK562" s="392"/>
      <c r="AM562" s="393"/>
      <c r="AN562" s="393"/>
      <c r="AR562" s="389"/>
    </row>
    <row r="563" spans="1:44" s="380" customFormat="1" ht="18.649999999999999" customHeight="1">
      <c r="A563" s="379"/>
      <c r="B563" s="362" t="s">
        <v>741</v>
      </c>
      <c r="C563" s="362"/>
      <c r="D563" s="379" t="s">
        <v>48</v>
      </c>
      <c r="E563" s="431" t="s">
        <v>1174</v>
      </c>
      <c r="F563" s="431">
        <v>2000021031</v>
      </c>
      <c r="G563" s="22" t="s">
        <v>132</v>
      </c>
      <c r="H563" s="389">
        <v>192</v>
      </c>
      <c r="I563" s="389" t="s">
        <v>85</v>
      </c>
      <c r="K563" s="389"/>
      <c r="L563" s="432">
        <v>46106</v>
      </c>
      <c r="M563" s="379" t="s">
        <v>1352</v>
      </c>
      <c r="N563" s="389"/>
      <c r="O563" s="379" t="s">
        <v>68</v>
      </c>
      <c r="Q563" s="379"/>
      <c r="R563" s="379"/>
      <c r="S563" s="389"/>
      <c r="T563" s="390">
        <v>46174</v>
      </c>
      <c r="U563" s="433">
        <v>46157</v>
      </c>
      <c r="V563" s="433">
        <v>46174</v>
      </c>
      <c r="X563" s="386" t="s">
        <v>123</v>
      </c>
      <c r="Y563" s="386">
        <v>0.5</v>
      </c>
      <c r="AA563" s="379"/>
      <c r="AB563" s="379"/>
      <c r="AD563" s="391" t="s">
        <v>72</v>
      </c>
      <c r="AF563" s="389"/>
      <c r="AG563" s="389"/>
      <c r="AH563" s="379"/>
      <c r="AK563" s="392"/>
      <c r="AM563" s="393"/>
      <c r="AN563" s="393"/>
      <c r="AR563" s="389"/>
    </row>
    <row r="564" spans="1:44" ht="18.649999999999999" customHeight="1">
      <c r="B564" s="362" t="s">
        <v>741</v>
      </c>
      <c r="D564" s="20" t="s">
        <v>99</v>
      </c>
      <c r="E564" s="22" t="s">
        <v>1048</v>
      </c>
      <c r="F564" s="23">
        <v>2000019530</v>
      </c>
      <c r="G564" s="22" t="s">
        <v>1356</v>
      </c>
      <c r="H564" s="5">
        <v>200</v>
      </c>
      <c r="I564" s="5" t="s">
        <v>239</v>
      </c>
      <c r="J564" s="21" t="s">
        <v>1357</v>
      </c>
      <c r="K564" s="5" t="s">
        <v>53</v>
      </c>
      <c r="L564" s="177">
        <v>46108</v>
      </c>
      <c r="M564" s="20" t="s">
        <v>1358</v>
      </c>
      <c r="O564" s="5" t="s">
        <v>55</v>
      </c>
      <c r="T564" s="24">
        <v>46143</v>
      </c>
      <c r="X564" s="5" t="s">
        <v>209</v>
      </c>
      <c r="Y564" s="5">
        <v>1</v>
      </c>
      <c r="AB564" s="20" t="s">
        <v>1359</v>
      </c>
      <c r="AD564" s="56" t="s">
        <v>72</v>
      </c>
      <c r="AM564" s="58"/>
      <c r="AN564" s="58"/>
    </row>
    <row r="565" spans="1:44" ht="18.649999999999999" customHeight="1">
      <c r="B565" s="355" t="s">
        <v>741</v>
      </c>
      <c r="D565" s="356" t="s">
        <v>48</v>
      </c>
      <c r="E565" s="357" t="s">
        <v>678</v>
      </c>
      <c r="F565" s="435">
        <v>2000007670</v>
      </c>
      <c r="G565" s="357" t="s">
        <v>1246</v>
      </c>
      <c r="H565" s="360" t="s">
        <v>1257</v>
      </c>
      <c r="I565" s="360" t="s">
        <v>212</v>
      </c>
      <c r="J565" s="360"/>
      <c r="K565" s="436"/>
      <c r="L565" s="361">
        <v>46119</v>
      </c>
      <c r="M565" s="356" t="s">
        <v>1360</v>
      </c>
      <c r="O565" s="5" t="s">
        <v>55</v>
      </c>
      <c r="T565" s="24">
        <v>46204</v>
      </c>
      <c r="X565" s="5" t="s">
        <v>209</v>
      </c>
      <c r="Y565" s="5">
        <v>0.5</v>
      </c>
      <c r="AD565" s="5" t="s">
        <v>599</v>
      </c>
      <c r="AE565" s="21"/>
      <c r="AM565" s="58"/>
      <c r="AN565" s="58"/>
    </row>
    <row r="566" spans="1:44" ht="18.649999999999999" customHeight="1">
      <c r="B566" s="355" t="s">
        <v>741</v>
      </c>
      <c r="D566" s="356" t="s">
        <v>48</v>
      </c>
      <c r="E566" s="357" t="s">
        <v>678</v>
      </c>
      <c r="F566" s="435">
        <v>2000002593</v>
      </c>
      <c r="G566" s="357" t="s">
        <v>1249</v>
      </c>
      <c r="H566" s="360" t="s">
        <v>1257</v>
      </c>
      <c r="I566" s="360" t="s">
        <v>212</v>
      </c>
      <c r="J566" s="360"/>
      <c r="K566" s="436"/>
      <c r="L566" s="361">
        <v>46119</v>
      </c>
      <c r="M566" s="356" t="s">
        <v>1360</v>
      </c>
      <c r="O566" s="5" t="s">
        <v>55</v>
      </c>
      <c r="T566" s="24">
        <v>46204</v>
      </c>
      <c r="X566" s="5" t="s">
        <v>209</v>
      </c>
      <c r="Y566" s="5">
        <v>0.5</v>
      </c>
      <c r="AD566" s="5" t="s">
        <v>599</v>
      </c>
      <c r="AE566" s="21"/>
      <c r="AM566" s="58"/>
      <c r="AN566" s="58"/>
    </row>
    <row r="567" spans="1:44" ht="18.649999999999999" customHeight="1">
      <c r="B567" s="355" t="s">
        <v>741</v>
      </c>
      <c r="D567" s="356" t="s">
        <v>48</v>
      </c>
      <c r="E567" s="357" t="s">
        <v>678</v>
      </c>
      <c r="F567" s="435">
        <v>2000017548</v>
      </c>
      <c r="G567" s="357" t="s">
        <v>1253</v>
      </c>
      <c r="H567" s="360" t="s">
        <v>1263</v>
      </c>
      <c r="I567" s="360" t="s">
        <v>212</v>
      </c>
      <c r="J567" s="360"/>
      <c r="K567" s="436"/>
      <c r="L567" s="361">
        <v>46119</v>
      </c>
      <c r="M567" s="356" t="s">
        <v>1360</v>
      </c>
      <c r="O567" s="5" t="s">
        <v>55</v>
      </c>
      <c r="T567" s="24">
        <v>46204</v>
      </c>
      <c r="X567" s="5" t="s">
        <v>209</v>
      </c>
      <c r="Y567" s="5">
        <v>0.5</v>
      </c>
      <c r="AD567" s="5" t="s">
        <v>599</v>
      </c>
      <c r="AE567" s="21"/>
      <c r="AM567" s="58"/>
      <c r="AN567" s="58"/>
    </row>
    <row r="568" spans="1:44" ht="18.649999999999999" customHeight="1">
      <c r="B568" s="355" t="s">
        <v>741</v>
      </c>
      <c r="D568" s="356" t="s">
        <v>48</v>
      </c>
      <c r="E568" s="357" t="s">
        <v>678</v>
      </c>
      <c r="F568" s="435">
        <v>2000010358</v>
      </c>
      <c r="G568" s="357" t="s">
        <v>1254</v>
      </c>
      <c r="H568" s="360" t="s">
        <v>1255</v>
      </c>
      <c r="I568" s="360" t="s">
        <v>219</v>
      </c>
      <c r="J568" s="360"/>
      <c r="K568" s="436"/>
      <c r="L568" s="361">
        <v>46119</v>
      </c>
      <c r="M568" s="356" t="s">
        <v>1360</v>
      </c>
      <c r="O568" s="5" t="s">
        <v>55</v>
      </c>
      <c r="T568" s="24">
        <v>46204</v>
      </c>
      <c r="X568" s="5" t="s">
        <v>209</v>
      </c>
      <c r="Y568" s="5">
        <v>0.5</v>
      </c>
      <c r="AD568" s="5" t="s">
        <v>599</v>
      </c>
      <c r="AE568" s="21"/>
      <c r="AM568" s="58"/>
      <c r="AN568" s="58"/>
    </row>
    <row r="569" spans="1:44" ht="18.649999999999999" customHeight="1">
      <c r="B569" s="355" t="s">
        <v>741</v>
      </c>
      <c r="D569" s="356" t="s">
        <v>48</v>
      </c>
      <c r="E569" s="357" t="s">
        <v>678</v>
      </c>
      <c r="F569" s="435">
        <v>2000009979</v>
      </c>
      <c r="G569" s="357" t="s">
        <v>679</v>
      </c>
      <c r="H569" s="360" t="s">
        <v>1361</v>
      </c>
      <c r="I569" s="360" t="s">
        <v>212</v>
      </c>
      <c r="J569" s="360"/>
      <c r="K569" s="436"/>
      <c r="L569" s="361">
        <v>46119</v>
      </c>
      <c r="M569" s="356" t="s">
        <v>1360</v>
      </c>
      <c r="O569" s="5" t="s">
        <v>55</v>
      </c>
      <c r="T569" s="24">
        <v>46204</v>
      </c>
      <c r="X569" s="5" t="s">
        <v>209</v>
      </c>
      <c r="Y569" s="5">
        <v>0.5</v>
      </c>
      <c r="AD569" s="5" t="s">
        <v>599</v>
      </c>
      <c r="AE569" s="21"/>
      <c r="AM569" s="58"/>
      <c r="AN569" s="58"/>
    </row>
    <row r="570" spans="1:44" ht="18.649999999999999" customHeight="1">
      <c r="B570" s="355" t="s">
        <v>741</v>
      </c>
      <c r="D570" s="356" t="s">
        <v>48</v>
      </c>
      <c r="E570" s="357" t="s">
        <v>678</v>
      </c>
      <c r="F570" s="435">
        <v>2000004959</v>
      </c>
      <c r="G570" s="357" t="s">
        <v>1063</v>
      </c>
      <c r="H570" s="360" t="s">
        <v>1362</v>
      </c>
      <c r="I570" s="360" t="s">
        <v>212</v>
      </c>
      <c r="J570" s="360"/>
      <c r="K570" s="436"/>
      <c r="L570" s="361">
        <v>46119</v>
      </c>
      <c r="M570" s="356" t="s">
        <v>1360</v>
      </c>
      <c r="O570" s="5" t="s">
        <v>55</v>
      </c>
      <c r="T570" s="24">
        <v>46204</v>
      </c>
      <c r="X570" s="5" t="s">
        <v>209</v>
      </c>
      <c r="Y570" s="5">
        <v>0.5</v>
      </c>
      <c r="AD570" s="5" t="s">
        <v>599</v>
      </c>
      <c r="AE570" s="21"/>
      <c r="AM570" s="58"/>
      <c r="AN570" s="58"/>
    </row>
    <row r="571" spans="1:44" ht="18.649999999999999" customHeight="1">
      <c r="B571" s="355" t="s">
        <v>741</v>
      </c>
      <c r="D571" s="356" t="s">
        <v>48</v>
      </c>
      <c r="E571" s="357" t="s">
        <v>678</v>
      </c>
      <c r="F571" s="435">
        <v>2000010477</v>
      </c>
      <c r="G571" s="357" t="s">
        <v>685</v>
      </c>
      <c r="H571" s="360" t="s">
        <v>1363</v>
      </c>
      <c r="I571" s="360" t="s">
        <v>212</v>
      </c>
      <c r="J571" s="360"/>
      <c r="K571" s="436"/>
      <c r="L571" s="361">
        <v>46119</v>
      </c>
      <c r="M571" s="356" t="s">
        <v>1360</v>
      </c>
      <c r="O571" s="5" t="s">
        <v>55</v>
      </c>
      <c r="T571" s="24">
        <v>46204</v>
      </c>
      <c r="X571" s="5" t="s">
        <v>209</v>
      </c>
      <c r="Y571" s="5">
        <v>0.5</v>
      </c>
      <c r="AD571" s="5" t="s">
        <v>599</v>
      </c>
      <c r="AE571" s="21"/>
      <c r="AM571" s="58"/>
      <c r="AN571" s="58"/>
    </row>
    <row r="572" spans="1:44" ht="18.649999999999999" customHeight="1">
      <c r="B572" s="355" t="s">
        <v>741</v>
      </c>
      <c r="D572" s="356" t="s">
        <v>48</v>
      </c>
      <c r="E572" s="357" t="s">
        <v>678</v>
      </c>
      <c r="F572" s="435">
        <v>2000010519</v>
      </c>
      <c r="G572" s="357" t="s">
        <v>687</v>
      </c>
      <c r="H572" s="360" t="s">
        <v>1263</v>
      </c>
      <c r="I572" s="360" t="s">
        <v>212</v>
      </c>
      <c r="J572" s="360"/>
      <c r="K572" s="436"/>
      <c r="L572" s="361">
        <v>46119</v>
      </c>
      <c r="M572" s="356" t="s">
        <v>1360</v>
      </c>
      <c r="O572" s="5" t="s">
        <v>55</v>
      </c>
      <c r="T572" s="24">
        <v>46204</v>
      </c>
      <c r="X572" s="5" t="s">
        <v>209</v>
      </c>
      <c r="Y572" s="5">
        <v>0.5</v>
      </c>
      <c r="AD572" s="5" t="s">
        <v>599</v>
      </c>
      <c r="AE572" s="21"/>
      <c r="AM572" s="58"/>
      <c r="AN572" s="58"/>
    </row>
    <row r="573" spans="1:44" ht="18.649999999999999" customHeight="1">
      <c r="B573" s="355" t="s">
        <v>741</v>
      </c>
      <c r="D573" s="356" t="s">
        <v>48</v>
      </c>
      <c r="E573" s="357" t="s">
        <v>678</v>
      </c>
      <c r="F573" s="435">
        <v>2000019876</v>
      </c>
      <c r="G573" s="357" t="s">
        <v>1364</v>
      </c>
      <c r="H573" s="360" t="s">
        <v>1365</v>
      </c>
      <c r="I573" s="360" t="s">
        <v>212</v>
      </c>
      <c r="J573" s="360"/>
      <c r="K573" s="436"/>
      <c r="L573" s="361">
        <v>46119</v>
      </c>
      <c r="M573" s="356" t="s">
        <v>1360</v>
      </c>
      <c r="O573" s="5" t="s">
        <v>55</v>
      </c>
      <c r="T573" s="24">
        <v>46204</v>
      </c>
      <c r="X573" s="5" t="s">
        <v>209</v>
      </c>
      <c r="Y573" s="5">
        <v>0.5</v>
      </c>
      <c r="AD573" s="5" t="s">
        <v>599</v>
      </c>
      <c r="AE573" s="21"/>
      <c r="AM573" s="58"/>
      <c r="AN573" s="58"/>
    </row>
    <row r="574" spans="1:44" ht="18.649999999999999" customHeight="1">
      <c r="B574" s="355" t="s">
        <v>741</v>
      </c>
      <c r="D574" s="356" t="s">
        <v>48</v>
      </c>
      <c r="E574" s="357" t="s">
        <v>678</v>
      </c>
      <c r="F574" s="435">
        <v>2000017469</v>
      </c>
      <c r="G574" s="357" t="s">
        <v>688</v>
      </c>
      <c r="H574" s="360" t="s">
        <v>1366</v>
      </c>
      <c r="I574" s="360" t="s">
        <v>212</v>
      </c>
      <c r="J574" s="360"/>
      <c r="K574" s="436"/>
      <c r="L574" s="361">
        <v>46119</v>
      </c>
      <c r="M574" s="356" t="s">
        <v>1360</v>
      </c>
      <c r="O574" s="5" t="s">
        <v>55</v>
      </c>
      <c r="T574" s="24">
        <v>46204</v>
      </c>
      <c r="X574" s="5" t="s">
        <v>209</v>
      </c>
      <c r="Y574" s="5">
        <v>0.5</v>
      </c>
      <c r="AD574" s="5" t="s">
        <v>599</v>
      </c>
      <c r="AE574" s="21"/>
      <c r="AM574" s="58"/>
      <c r="AN574" s="58"/>
    </row>
    <row r="575" spans="1:44" ht="18.649999999999999" customHeight="1">
      <c r="B575" s="355" t="s">
        <v>741</v>
      </c>
      <c r="D575" s="356" t="s">
        <v>48</v>
      </c>
      <c r="E575" s="357" t="s">
        <v>678</v>
      </c>
      <c r="F575" s="435">
        <v>2000008357</v>
      </c>
      <c r="G575" s="357" t="s">
        <v>689</v>
      </c>
      <c r="H575" s="360" t="s">
        <v>1367</v>
      </c>
      <c r="I575" s="360" t="s">
        <v>212</v>
      </c>
      <c r="J575" s="360"/>
      <c r="K575" s="436"/>
      <c r="L575" s="361">
        <v>46119</v>
      </c>
      <c r="M575" s="356" t="s">
        <v>1360</v>
      </c>
      <c r="O575" s="5" t="s">
        <v>55</v>
      </c>
      <c r="T575" s="24">
        <v>46204</v>
      </c>
      <c r="X575" s="5" t="s">
        <v>209</v>
      </c>
      <c r="Y575" s="5">
        <v>0.5</v>
      </c>
      <c r="AD575" s="5" t="s">
        <v>599</v>
      </c>
      <c r="AE575" s="21"/>
      <c r="AM575" s="58"/>
      <c r="AN575" s="58"/>
    </row>
    <row r="576" spans="1:44" ht="18.649999999999999" customHeight="1">
      <c r="B576" s="355" t="s">
        <v>741</v>
      </c>
      <c r="D576" s="356" t="s">
        <v>48</v>
      </c>
      <c r="E576" s="357" t="s">
        <v>678</v>
      </c>
      <c r="F576" s="435">
        <v>2000000311</v>
      </c>
      <c r="G576" s="357" t="s">
        <v>690</v>
      </c>
      <c r="H576" s="360" t="s">
        <v>1258</v>
      </c>
      <c r="I576" s="360" t="s">
        <v>212</v>
      </c>
      <c r="J576" s="360"/>
      <c r="K576" s="436"/>
      <c r="L576" s="361">
        <v>46119</v>
      </c>
      <c r="M576" s="356" t="s">
        <v>1360</v>
      </c>
      <c r="O576" s="5" t="s">
        <v>55</v>
      </c>
      <c r="T576" s="24">
        <v>46204</v>
      </c>
      <c r="X576" s="5" t="s">
        <v>209</v>
      </c>
      <c r="Y576" s="5">
        <v>0.5</v>
      </c>
      <c r="AD576" s="5" t="s">
        <v>599</v>
      </c>
      <c r="AE576" s="21"/>
      <c r="AM576" s="58"/>
      <c r="AN576" s="58"/>
    </row>
    <row r="577" spans="2:40" ht="18.649999999999999" customHeight="1">
      <c r="B577" s="355" t="s">
        <v>741</v>
      </c>
      <c r="D577" s="356" t="s">
        <v>48</v>
      </c>
      <c r="E577" s="357" t="s">
        <v>678</v>
      </c>
      <c r="F577" s="435">
        <v>2000006178</v>
      </c>
      <c r="G577" s="357" t="s">
        <v>1067</v>
      </c>
      <c r="H577" s="360" t="s">
        <v>1368</v>
      </c>
      <c r="I577" s="360" t="s">
        <v>212</v>
      </c>
      <c r="J577" s="360"/>
      <c r="K577" s="436"/>
      <c r="L577" s="361">
        <v>46119</v>
      </c>
      <c r="M577" s="356" t="s">
        <v>1360</v>
      </c>
      <c r="O577" s="5" t="s">
        <v>55</v>
      </c>
      <c r="T577" s="24">
        <v>46204</v>
      </c>
      <c r="X577" s="5" t="s">
        <v>209</v>
      </c>
      <c r="Y577" s="5">
        <v>0.5</v>
      </c>
      <c r="AD577" s="5" t="s">
        <v>599</v>
      </c>
      <c r="AE577" s="21"/>
      <c r="AM577" s="58"/>
      <c r="AN577" s="58"/>
    </row>
    <row r="578" spans="2:40" ht="18.649999999999999" customHeight="1">
      <c r="B578" s="355" t="s">
        <v>741</v>
      </c>
      <c r="D578" s="356" t="s">
        <v>48</v>
      </c>
      <c r="E578" s="357" t="s">
        <v>678</v>
      </c>
      <c r="F578" s="435">
        <v>2000007680</v>
      </c>
      <c r="G578" s="357" t="s">
        <v>1259</v>
      </c>
      <c r="H578" s="360" t="s">
        <v>1361</v>
      </c>
      <c r="I578" s="360" t="s">
        <v>212</v>
      </c>
      <c r="J578" s="360"/>
      <c r="K578" s="436"/>
      <c r="L578" s="361">
        <v>46119</v>
      </c>
      <c r="M578" s="356" t="s">
        <v>1360</v>
      </c>
      <c r="O578" s="5" t="s">
        <v>55</v>
      </c>
      <c r="T578" s="24">
        <v>46204</v>
      </c>
      <c r="X578" s="5" t="s">
        <v>209</v>
      </c>
      <c r="Y578" s="5">
        <v>0.5</v>
      </c>
      <c r="AD578" s="5" t="s">
        <v>599</v>
      </c>
      <c r="AE578" s="21"/>
      <c r="AM578" s="58"/>
      <c r="AN578" s="58"/>
    </row>
    <row r="579" spans="2:40" ht="18.649999999999999" customHeight="1">
      <c r="B579" s="355" t="s">
        <v>741</v>
      </c>
      <c r="D579" s="356" t="s">
        <v>48</v>
      </c>
      <c r="E579" s="357" t="s">
        <v>678</v>
      </c>
      <c r="F579" s="435">
        <v>2000005297</v>
      </c>
      <c r="G579" s="357" t="s">
        <v>1261</v>
      </c>
      <c r="H579" s="360" t="s">
        <v>1368</v>
      </c>
      <c r="I579" s="360" t="s">
        <v>212</v>
      </c>
      <c r="J579" s="360"/>
      <c r="K579" s="436"/>
      <c r="L579" s="361">
        <v>46119</v>
      </c>
      <c r="M579" s="356" t="s">
        <v>1360</v>
      </c>
      <c r="O579" s="5" t="s">
        <v>55</v>
      </c>
      <c r="T579" s="24">
        <v>46204</v>
      </c>
      <c r="X579" s="5" t="s">
        <v>209</v>
      </c>
      <c r="Y579" s="5">
        <v>0.5</v>
      </c>
      <c r="AD579" s="5" t="s">
        <v>599</v>
      </c>
      <c r="AE579" s="21"/>
      <c r="AM579" s="58"/>
      <c r="AN579" s="58"/>
    </row>
    <row r="580" spans="2:40" ht="18.649999999999999" customHeight="1">
      <c r="B580" s="355" t="s">
        <v>741</v>
      </c>
      <c r="D580" s="356" t="s">
        <v>48</v>
      </c>
      <c r="E580" s="357" t="s">
        <v>678</v>
      </c>
      <c r="F580" s="435">
        <v>2000010805</v>
      </c>
      <c r="G580" s="357" t="s">
        <v>1068</v>
      </c>
      <c r="H580" s="360" t="s">
        <v>1369</v>
      </c>
      <c r="I580" s="360" t="s">
        <v>212</v>
      </c>
      <c r="J580" s="360"/>
      <c r="K580" s="436"/>
      <c r="L580" s="361">
        <v>46119</v>
      </c>
      <c r="M580" s="356" t="s">
        <v>1360</v>
      </c>
      <c r="O580" s="5" t="s">
        <v>55</v>
      </c>
      <c r="T580" s="24">
        <v>46204</v>
      </c>
      <c r="X580" s="5" t="s">
        <v>209</v>
      </c>
      <c r="Y580" s="5">
        <v>0.5</v>
      </c>
      <c r="AD580" s="5" t="s">
        <v>599</v>
      </c>
      <c r="AE580" s="21"/>
      <c r="AM580" s="58"/>
      <c r="AN580" s="58"/>
    </row>
    <row r="581" spans="2:40" ht="18.649999999999999" customHeight="1">
      <c r="B581" s="355" t="s">
        <v>741</v>
      </c>
      <c r="D581" s="356" t="s">
        <v>48</v>
      </c>
      <c r="E581" s="357" t="s">
        <v>678</v>
      </c>
      <c r="F581" s="435">
        <v>2000007272</v>
      </c>
      <c r="G581" s="357" t="s">
        <v>693</v>
      </c>
      <c r="H581" s="360" t="s">
        <v>1370</v>
      </c>
      <c r="I581" s="360" t="s">
        <v>212</v>
      </c>
      <c r="J581" s="360"/>
      <c r="K581" s="436"/>
      <c r="L581" s="361">
        <v>46119</v>
      </c>
      <c r="M581" s="356" t="s">
        <v>1360</v>
      </c>
      <c r="O581" s="5" t="s">
        <v>55</v>
      </c>
      <c r="T581" s="24">
        <v>46204</v>
      </c>
      <c r="X581" s="5" t="s">
        <v>209</v>
      </c>
      <c r="Y581" s="5">
        <v>0.5</v>
      </c>
      <c r="AD581" s="5" t="s">
        <v>599</v>
      </c>
      <c r="AE581" s="21"/>
      <c r="AM581" s="58"/>
      <c r="AN581" s="58"/>
    </row>
    <row r="582" spans="2:40" ht="18.649999999999999" customHeight="1">
      <c r="B582" s="355" t="s">
        <v>741</v>
      </c>
      <c r="D582" s="356" t="s">
        <v>48</v>
      </c>
      <c r="E582" s="357" t="s">
        <v>678</v>
      </c>
      <c r="F582" s="435">
        <v>2000005674</v>
      </c>
      <c r="G582" s="357" t="s">
        <v>1262</v>
      </c>
      <c r="H582" s="360" t="s">
        <v>1371</v>
      </c>
      <c r="I582" s="360" t="s">
        <v>212</v>
      </c>
      <c r="J582" s="360"/>
      <c r="K582" s="436"/>
      <c r="L582" s="361">
        <v>46119</v>
      </c>
      <c r="M582" s="356" t="s">
        <v>1360</v>
      </c>
      <c r="O582" s="5" t="s">
        <v>55</v>
      </c>
      <c r="T582" s="24">
        <v>46204</v>
      </c>
      <c r="X582" s="5" t="s">
        <v>209</v>
      </c>
      <c r="Y582" s="5">
        <v>0.5</v>
      </c>
      <c r="AD582" s="5" t="s">
        <v>599</v>
      </c>
      <c r="AE582" s="21"/>
      <c r="AM582" s="58"/>
      <c r="AN582" s="58"/>
    </row>
    <row r="583" spans="2:40" ht="18.649999999999999" customHeight="1">
      <c r="B583" s="355" t="s">
        <v>741</v>
      </c>
      <c r="D583" s="356" t="s">
        <v>48</v>
      </c>
      <c r="E583" s="357" t="s">
        <v>678</v>
      </c>
      <c r="F583" s="435">
        <v>2000014502</v>
      </c>
      <c r="G583" s="357" t="s">
        <v>1069</v>
      </c>
      <c r="H583" s="360" t="s">
        <v>1372</v>
      </c>
      <c r="I583" s="360" t="s">
        <v>212</v>
      </c>
      <c r="J583" s="360"/>
      <c r="K583" s="436"/>
      <c r="L583" s="361">
        <v>46119</v>
      </c>
      <c r="M583" s="356" t="s">
        <v>1360</v>
      </c>
      <c r="O583" s="5" t="s">
        <v>55</v>
      </c>
      <c r="T583" s="24">
        <v>46204</v>
      </c>
      <c r="X583" s="5" t="s">
        <v>209</v>
      </c>
      <c r="Y583" s="5">
        <v>0.5</v>
      </c>
      <c r="AD583" s="5" t="s">
        <v>599</v>
      </c>
      <c r="AE583" s="21"/>
      <c r="AM583" s="58"/>
      <c r="AN583" s="58"/>
    </row>
    <row r="584" spans="2:40" ht="18.649999999999999" customHeight="1">
      <c r="B584" s="355" t="s">
        <v>741</v>
      </c>
      <c r="D584" s="356" t="s">
        <v>48</v>
      </c>
      <c r="E584" s="357" t="s">
        <v>678</v>
      </c>
      <c r="F584" s="435">
        <v>2000014271</v>
      </c>
      <c r="G584" s="357" t="s">
        <v>1070</v>
      </c>
      <c r="H584" s="360" t="s">
        <v>1368</v>
      </c>
      <c r="I584" s="360" t="s">
        <v>212</v>
      </c>
      <c r="J584" s="360"/>
      <c r="K584" s="436"/>
      <c r="L584" s="361">
        <v>46119</v>
      </c>
      <c r="M584" s="356" t="s">
        <v>1360</v>
      </c>
      <c r="O584" s="5" t="s">
        <v>55</v>
      </c>
      <c r="T584" s="24">
        <v>46204</v>
      </c>
      <c r="X584" s="5" t="s">
        <v>209</v>
      </c>
      <c r="Y584" s="5">
        <v>0.5</v>
      </c>
      <c r="AD584" s="5" t="s">
        <v>599</v>
      </c>
      <c r="AE584" s="21"/>
      <c r="AM584" s="58"/>
      <c r="AN584" s="58"/>
    </row>
    <row r="585" spans="2:40" ht="18.649999999999999" customHeight="1">
      <c r="B585" s="355" t="s">
        <v>741</v>
      </c>
      <c r="C585" s="340">
        <v>46164</v>
      </c>
      <c r="D585" s="20" t="s">
        <v>160</v>
      </c>
      <c r="E585" s="22" t="s">
        <v>161</v>
      </c>
      <c r="F585" s="49">
        <v>1000033517</v>
      </c>
      <c r="G585" s="22" t="s">
        <v>162</v>
      </c>
      <c r="H585" s="20">
        <v>1008</v>
      </c>
      <c r="I585" s="48" t="s">
        <v>163</v>
      </c>
      <c r="J585" s="293" t="s">
        <v>1373</v>
      </c>
      <c r="K585" s="5" t="s">
        <v>53</v>
      </c>
      <c r="L585" s="177">
        <v>46113</v>
      </c>
      <c r="M585" s="20" t="s">
        <v>1374</v>
      </c>
      <c r="N585" s="5" t="s">
        <v>1375</v>
      </c>
      <c r="O585" s="20" t="s">
        <v>150</v>
      </c>
      <c r="T585" s="24">
        <v>46174</v>
      </c>
      <c r="X585" s="20" t="s">
        <v>170</v>
      </c>
      <c r="Y585" s="20">
        <v>1</v>
      </c>
      <c r="AD585" s="42" t="s">
        <v>59</v>
      </c>
      <c r="AE585" s="21"/>
      <c r="AK585" s="275">
        <v>46157</v>
      </c>
      <c r="AL585" s="276">
        <v>25502.400000000001</v>
      </c>
      <c r="AM585" s="58"/>
      <c r="AN585" s="58"/>
    </row>
    <row r="586" spans="2:40" ht="18.649999999999999" customHeight="1">
      <c r="D586" s="20" t="s">
        <v>160</v>
      </c>
      <c r="E586" s="22" t="s">
        <v>161</v>
      </c>
      <c r="F586" s="49">
        <v>1000033517</v>
      </c>
      <c r="G586" s="22" t="s">
        <v>162</v>
      </c>
      <c r="H586" s="20">
        <v>1008</v>
      </c>
      <c r="I586" s="48" t="s">
        <v>163</v>
      </c>
      <c r="J586" s="293" t="s">
        <v>1376</v>
      </c>
      <c r="O586" s="20" t="s">
        <v>150</v>
      </c>
      <c r="T586" s="24">
        <v>46266</v>
      </c>
      <c r="X586" s="20" t="s">
        <v>170</v>
      </c>
      <c r="Y586" s="20">
        <v>1</v>
      </c>
      <c r="AD586" s="42" t="s">
        <v>59</v>
      </c>
      <c r="AE586" s="21"/>
      <c r="AM586" s="58"/>
      <c r="AN586" s="58"/>
    </row>
    <row r="587" spans="2:40" ht="18.649999999999999" customHeight="1">
      <c r="D587" s="20" t="s">
        <v>160</v>
      </c>
      <c r="E587" s="22" t="s">
        <v>161</v>
      </c>
      <c r="F587" s="49">
        <v>1000033517</v>
      </c>
      <c r="G587" s="22" t="s">
        <v>162</v>
      </c>
      <c r="H587" s="20">
        <v>1008</v>
      </c>
      <c r="I587" s="48" t="s">
        <v>163</v>
      </c>
      <c r="J587" s="293" t="s">
        <v>1377</v>
      </c>
      <c r="O587" s="20" t="s">
        <v>150</v>
      </c>
      <c r="T587" s="24">
        <v>46296</v>
      </c>
      <c r="X587" s="20" t="s">
        <v>170</v>
      </c>
      <c r="Y587" s="20">
        <v>1</v>
      </c>
      <c r="AD587" s="42" t="s">
        <v>59</v>
      </c>
      <c r="AE587" s="21"/>
      <c r="AM587" s="58"/>
      <c r="AN587" s="58"/>
    </row>
    <row r="588" spans="2:40" ht="18.649999999999999" customHeight="1">
      <c r="D588" s="20" t="s">
        <v>160</v>
      </c>
      <c r="E588" s="22" t="s">
        <v>161</v>
      </c>
      <c r="F588" s="49">
        <v>1000033517</v>
      </c>
      <c r="G588" s="22" t="s">
        <v>162</v>
      </c>
      <c r="H588" s="20">
        <v>1008</v>
      </c>
      <c r="I588" s="48" t="s">
        <v>163</v>
      </c>
      <c r="J588" s="293" t="s">
        <v>1378</v>
      </c>
      <c r="O588" s="20" t="s">
        <v>150</v>
      </c>
      <c r="T588" s="24">
        <v>46327</v>
      </c>
      <c r="X588" s="20" t="s">
        <v>170</v>
      </c>
      <c r="Y588" s="20">
        <v>1</v>
      </c>
      <c r="AD588" s="42" t="s">
        <v>59</v>
      </c>
      <c r="AE588" s="21"/>
      <c r="AM588" s="58"/>
      <c r="AN588" s="58"/>
    </row>
    <row r="589" spans="2:40" ht="18.649999999999999" customHeight="1">
      <c r="D589" s="20" t="s">
        <v>160</v>
      </c>
      <c r="E589" s="22" t="s">
        <v>161</v>
      </c>
      <c r="F589" s="49">
        <v>1000033517</v>
      </c>
      <c r="G589" s="22" t="s">
        <v>162</v>
      </c>
      <c r="H589" s="20">
        <v>1008</v>
      </c>
      <c r="I589" s="48" t="s">
        <v>163</v>
      </c>
      <c r="J589" s="293" t="s">
        <v>1379</v>
      </c>
      <c r="O589" s="20" t="s">
        <v>150</v>
      </c>
      <c r="T589" s="24">
        <v>46357</v>
      </c>
      <c r="X589" s="20" t="s">
        <v>170</v>
      </c>
      <c r="Y589" s="20">
        <v>1</v>
      </c>
      <c r="AD589" s="42" t="s">
        <v>59</v>
      </c>
      <c r="AE589" s="21"/>
      <c r="AM589" s="58"/>
      <c r="AN589" s="58"/>
    </row>
    <row r="590" spans="2:40" ht="18.649999999999999" customHeight="1">
      <c r="D590" s="20" t="s">
        <v>160</v>
      </c>
      <c r="E590" s="22" t="s">
        <v>161</v>
      </c>
      <c r="F590" s="49">
        <v>1000033517</v>
      </c>
      <c r="G590" s="22" t="s">
        <v>162</v>
      </c>
      <c r="H590" s="20">
        <v>1008</v>
      </c>
      <c r="I590" s="48" t="s">
        <v>163</v>
      </c>
      <c r="J590" s="293" t="s">
        <v>1380</v>
      </c>
      <c r="O590" s="20" t="s">
        <v>150</v>
      </c>
      <c r="T590" s="24">
        <v>46388</v>
      </c>
      <c r="X590" s="20" t="s">
        <v>170</v>
      </c>
      <c r="Y590" s="20">
        <v>1</v>
      </c>
      <c r="AD590" s="42" t="s">
        <v>59</v>
      </c>
      <c r="AE590" s="21"/>
      <c r="AM590" s="58"/>
      <c r="AN590" s="58"/>
    </row>
    <row r="591" spans="2:40" ht="18.649999999999999" customHeight="1">
      <c r="D591" s="20" t="s">
        <v>160</v>
      </c>
      <c r="E591" s="22" t="s">
        <v>161</v>
      </c>
      <c r="F591" s="49">
        <v>1000033517</v>
      </c>
      <c r="G591" s="22" t="s">
        <v>162</v>
      </c>
      <c r="H591" s="20">
        <v>2016</v>
      </c>
      <c r="I591" s="48" t="s">
        <v>163</v>
      </c>
      <c r="J591" s="293" t="s">
        <v>1381</v>
      </c>
      <c r="O591" s="20" t="s">
        <v>150</v>
      </c>
      <c r="T591" s="24">
        <v>46419</v>
      </c>
      <c r="X591" s="20" t="s">
        <v>170</v>
      </c>
      <c r="Y591" s="20">
        <v>1</v>
      </c>
      <c r="AD591" s="42" t="s">
        <v>59</v>
      </c>
      <c r="AE591" s="21"/>
      <c r="AM591" s="58"/>
      <c r="AN591" s="58"/>
    </row>
    <row r="592" spans="2:40" ht="18.649999999999999" customHeight="1">
      <c r="D592" s="20" t="s">
        <v>160</v>
      </c>
      <c r="E592" s="22" t="s">
        <v>161</v>
      </c>
      <c r="F592" s="49">
        <v>1000033517</v>
      </c>
      <c r="G592" s="22" t="s">
        <v>162</v>
      </c>
      <c r="H592" s="20">
        <v>1008</v>
      </c>
      <c r="I592" s="48" t="s">
        <v>163</v>
      </c>
      <c r="J592" s="293" t="s">
        <v>1382</v>
      </c>
      <c r="O592" s="20" t="s">
        <v>150</v>
      </c>
      <c r="T592" s="24">
        <v>46447</v>
      </c>
      <c r="X592" s="20" t="s">
        <v>170</v>
      </c>
      <c r="Y592" s="20">
        <v>1</v>
      </c>
      <c r="AD592" s="42" t="s">
        <v>59</v>
      </c>
      <c r="AE592" s="21"/>
      <c r="AM592" s="58"/>
      <c r="AN592" s="58"/>
    </row>
    <row r="593" spans="1:40" ht="18.649999999999999" customHeight="1">
      <c r="D593" s="20" t="s">
        <v>160</v>
      </c>
      <c r="E593" s="22" t="s">
        <v>161</v>
      </c>
      <c r="F593" s="49">
        <v>1000033517</v>
      </c>
      <c r="G593" s="22" t="s">
        <v>162</v>
      </c>
      <c r="H593" s="20">
        <v>1008</v>
      </c>
      <c r="I593" s="48" t="s">
        <v>163</v>
      </c>
      <c r="J593" s="293" t="s">
        <v>1383</v>
      </c>
      <c r="O593" s="20" t="s">
        <v>150</v>
      </c>
      <c r="T593" s="24">
        <v>46478</v>
      </c>
      <c r="X593" s="20" t="s">
        <v>170</v>
      </c>
      <c r="Y593" s="20">
        <v>1</v>
      </c>
      <c r="AD593" s="42" t="s">
        <v>59</v>
      </c>
      <c r="AE593" s="21"/>
      <c r="AM593" s="58"/>
      <c r="AN593" s="58"/>
    </row>
    <row r="594" spans="1:40" ht="18.649999999999999" customHeight="1">
      <c r="D594" s="20" t="s">
        <v>160</v>
      </c>
      <c r="E594" s="22" t="s">
        <v>161</v>
      </c>
      <c r="F594" s="49">
        <v>1000033517</v>
      </c>
      <c r="G594" s="22" t="s">
        <v>162</v>
      </c>
      <c r="H594" s="20">
        <v>2016</v>
      </c>
      <c r="I594" s="48" t="s">
        <v>163</v>
      </c>
      <c r="J594" s="293" t="s">
        <v>1384</v>
      </c>
      <c r="O594" s="20" t="s">
        <v>150</v>
      </c>
      <c r="T594" s="24">
        <v>46508</v>
      </c>
      <c r="X594" s="20" t="s">
        <v>170</v>
      </c>
      <c r="Y594" s="20">
        <v>1</v>
      </c>
      <c r="AD594" s="42" t="s">
        <v>59</v>
      </c>
      <c r="AE594" s="21"/>
      <c r="AM594" s="58"/>
      <c r="AN594" s="58"/>
    </row>
    <row r="595" spans="1:40" ht="18.649999999999999" customHeight="1">
      <c r="A595" s="20" t="s">
        <v>1385</v>
      </c>
      <c r="B595" s="20" t="s">
        <v>625</v>
      </c>
      <c r="D595" s="20" t="s">
        <v>48</v>
      </c>
      <c r="E595" s="23" t="s">
        <v>1143</v>
      </c>
      <c r="F595" s="23">
        <v>2000063826</v>
      </c>
      <c r="G595" s="22" t="s">
        <v>1386</v>
      </c>
      <c r="H595" s="5">
        <v>46</v>
      </c>
      <c r="I595" s="5" t="s">
        <v>52</v>
      </c>
      <c r="J595" s="21" t="s">
        <v>1387</v>
      </c>
      <c r="L595" s="177">
        <v>46111</v>
      </c>
      <c r="M595" s="214" t="s">
        <v>1388</v>
      </c>
      <c r="N595" s="5" t="s">
        <v>1389</v>
      </c>
      <c r="O595" s="5" t="s">
        <v>150</v>
      </c>
      <c r="Q595" s="20">
        <v>22147115</v>
      </c>
      <c r="R595" s="20" t="s">
        <v>215</v>
      </c>
      <c r="S595" s="5" t="s">
        <v>1390</v>
      </c>
      <c r="T595" s="24">
        <v>46126</v>
      </c>
      <c r="U595" s="137">
        <v>46117</v>
      </c>
      <c r="V595" s="137">
        <v>46127</v>
      </c>
      <c r="X595" s="5" t="s">
        <v>209</v>
      </c>
      <c r="Y595" s="5">
        <v>1</v>
      </c>
      <c r="AA595" s="137">
        <v>46117</v>
      </c>
      <c r="AB595" s="137">
        <v>46127</v>
      </c>
      <c r="AD595" s="56" t="s">
        <v>430</v>
      </c>
      <c r="AE595" s="21"/>
      <c r="AF595" s="137">
        <v>46135</v>
      </c>
      <c r="AG595" s="137">
        <v>46133</v>
      </c>
      <c r="AH595" s="65">
        <v>46139</v>
      </c>
      <c r="AI595" s="177">
        <v>46141</v>
      </c>
      <c r="AJ595" s="177"/>
      <c r="AK595" s="178">
        <v>46137</v>
      </c>
      <c r="AL595" s="91">
        <v>2978.22</v>
      </c>
      <c r="AM595" s="177">
        <v>46157</v>
      </c>
    </row>
    <row r="596" spans="1:40" ht="18.649999999999999" customHeight="1">
      <c r="A596" s="20" t="s">
        <v>1385</v>
      </c>
      <c r="B596" s="20" t="s">
        <v>625</v>
      </c>
      <c r="D596" s="20" t="s">
        <v>48</v>
      </c>
      <c r="E596" s="23" t="s">
        <v>1143</v>
      </c>
      <c r="F596" s="23">
        <v>2000063827</v>
      </c>
      <c r="G596" s="22" t="s">
        <v>1391</v>
      </c>
      <c r="H596" s="5">
        <v>46</v>
      </c>
      <c r="I596" s="5" t="s">
        <v>52</v>
      </c>
      <c r="L596" s="177">
        <v>46111</v>
      </c>
      <c r="M596" s="214" t="s">
        <v>1388</v>
      </c>
      <c r="N596" s="5" t="s">
        <v>1392</v>
      </c>
      <c r="O596" s="5" t="s">
        <v>150</v>
      </c>
      <c r="Q596" s="20">
        <v>22147118</v>
      </c>
      <c r="R596" s="20" t="s">
        <v>215</v>
      </c>
      <c r="S596" s="5" t="s">
        <v>1390</v>
      </c>
      <c r="T596" s="24">
        <v>46126</v>
      </c>
      <c r="U596" s="137">
        <v>46117</v>
      </c>
      <c r="V596" s="137">
        <v>46127</v>
      </c>
      <c r="X596" s="5" t="s">
        <v>209</v>
      </c>
      <c r="Y596" s="5">
        <v>1</v>
      </c>
      <c r="AA596" s="137">
        <v>46117</v>
      </c>
      <c r="AB596" s="137">
        <v>46127</v>
      </c>
      <c r="AD596" s="56" t="s">
        <v>430</v>
      </c>
      <c r="AE596" s="21"/>
      <c r="AF596" s="137">
        <v>46135</v>
      </c>
      <c r="AG596" s="137">
        <v>46133</v>
      </c>
      <c r="AH596" s="65">
        <v>46139</v>
      </c>
      <c r="AI596" s="177">
        <v>46141</v>
      </c>
      <c r="AJ596" s="177"/>
      <c r="AK596" s="178">
        <v>46137</v>
      </c>
      <c r="AL596" s="91">
        <v>2978.22</v>
      </c>
      <c r="AM596" s="177">
        <v>46157</v>
      </c>
    </row>
    <row r="597" spans="1:40" ht="18.649999999999999" customHeight="1">
      <c r="A597" s="20" t="s">
        <v>1385</v>
      </c>
      <c r="B597" s="20" t="s">
        <v>625</v>
      </c>
      <c r="D597" s="20" t="s">
        <v>48</v>
      </c>
      <c r="E597" s="23" t="s">
        <v>1143</v>
      </c>
      <c r="F597" s="23">
        <v>2000063828</v>
      </c>
      <c r="G597" s="22" t="s">
        <v>1393</v>
      </c>
      <c r="H597" s="5">
        <v>46</v>
      </c>
      <c r="I597" s="5" t="s">
        <v>52</v>
      </c>
      <c r="L597" s="177">
        <v>46111</v>
      </c>
      <c r="M597" s="214" t="s">
        <v>1388</v>
      </c>
      <c r="N597" s="5" t="s">
        <v>1394</v>
      </c>
      <c r="O597" s="5" t="s">
        <v>150</v>
      </c>
      <c r="Q597" s="20">
        <v>22147119</v>
      </c>
      <c r="R597" s="20" t="s">
        <v>215</v>
      </c>
      <c r="S597" s="5" t="s">
        <v>1390</v>
      </c>
      <c r="T597" s="24">
        <v>46126</v>
      </c>
      <c r="U597" s="137">
        <v>46117</v>
      </c>
      <c r="V597" s="137">
        <v>46127</v>
      </c>
      <c r="X597" s="5" t="s">
        <v>209</v>
      </c>
      <c r="Y597" s="5">
        <v>1</v>
      </c>
      <c r="AA597" s="137">
        <v>46117</v>
      </c>
      <c r="AB597" s="137">
        <v>46127</v>
      </c>
      <c r="AD597" s="56" t="s">
        <v>430</v>
      </c>
      <c r="AE597" s="21"/>
      <c r="AF597" s="137">
        <v>46135</v>
      </c>
      <c r="AG597" s="137">
        <v>46133</v>
      </c>
      <c r="AH597" s="65">
        <v>46139</v>
      </c>
      <c r="AI597" s="177">
        <v>46141</v>
      </c>
      <c r="AJ597" s="177"/>
      <c r="AK597" s="178">
        <v>46137</v>
      </c>
      <c r="AL597" s="91">
        <v>2978.22</v>
      </c>
      <c r="AM597" s="177">
        <v>46157</v>
      </c>
    </row>
    <row r="598" spans="1:40" ht="28" customHeight="1">
      <c r="D598" s="20" t="s">
        <v>275</v>
      </c>
      <c r="E598" s="22" t="s">
        <v>210</v>
      </c>
      <c r="F598" s="23">
        <v>2000011697</v>
      </c>
      <c r="G598" s="22" t="s">
        <v>1395</v>
      </c>
      <c r="H598" s="5">
        <v>100</v>
      </c>
      <c r="I598" s="5" t="s">
        <v>1396</v>
      </c>
      <c r="J598" s="21" t="s">
        <v>1357</v>
      </c>
      <c r="K598" s="5" t="s">
        <v>53</v>
      </c>
      <c r="L598" s="177">
        <v>46127</v>
      </c>
      <c r="M598" s="73" t="s">
        <v>1397</v>
      </c>
      <c r="O598" s="5" t="s">
        <v>189</v>
      </c>
      <c r="T598" s="24">
        <v>46147</v>
      </c>
      <c r="X598" s="5" t="s">
        <v>209</v>
      </c>
      <c r="Y598" s="5">
        <v>1</v>
      </c>
      <c r="AB598" s="20" t="s">
        <v>1359</v>
      </c>
      <c r="AC598" s="5"/>
      <c r="AD598" s="5" t="s">
        <v>72</v>
      </c>
      <c r="AK598" s="27">
        <v>46167</v>
      </c>
      <c r="AL598" s="21" t="s">
        <v>1398</v>
      </c>
      <c r="AM598" s="58"/>
      <c r="AN598" s="58"/>
    </row>
    <row r="599" spans="1:40" ht="18.649999999999999" customHeight="1">
      <c r="A599" s="437" t="s">
        <v>1399</v>
      </c>
      <c r="B599" s="369" t="s">
        <v>625</v>
      </c>
      <c r="D599" s="48" t="s">
        <v>183</v>
      </c>
      <c r="E599" s="49" t="s">
        <v>184</v>
      </c>
      <c r="F599" s="49">
        <v>1000010127</v>
      </c>
      <c r="G599" s="22" t="s">
        <v>185</v>
      </c>
      <c r="H599" s="108" t="s">
        <v>1400</v>
      </c>
      <c r="I599" s="108" t="s">
        <v>52</v>
      </c>
      <c r="J599" s="21" t="s">
        <v>1401</v>
      </c>
      <c r="M599" s="214" t="s">
        <v>1402</v>
      </c>
      <c r="N599" s="5" t="s">
        <v>1403</v>
      </c>
      <c r="O599" s="30" t="s">
        <v>189</v>
      </c>
      <c r="Q599" s="20" t="s">
        <v>1404</v>
      </c>
      <c r="R599" s="20" t="s">
        <v>178</v>
      </c>
      <c r="S599" s="5" t="s">
        <v>1405</v>
      </c>
      <c r="T599" s="24">
        <v>46132</v>
      </c>
      <c r="U599" s="137">
        <v>46137</v>
      </c>
      <c r="V599" s="137">
        <v>46140</v>
      </c>
      <c r="X599" s="30" t="s">
        <v>58</v>
      </c>
      <c r="Y599" s="5">
        <v>0.5</v>
      </c>
      <c r="AA599" s="65">
        <v>46138</v>
      </c>
      <c r="AB599" s="65">
        <v>46140</v>
      </c>
      <c r="AD599" s="429" t="s">
        <v>72</v>
      </c>
      <c r="AE599" s="137">
        <v>46139</v>
      </c>
      <c r="AF599" s="137">
        <v>46139</v>
      </c>
      <c r="AG599" s="137">
        <v>46136</v>
      </c>
      <c r="AH599" s="137">
        <v>46144</v>
      </c>
      <c r="AI599" s="177">
        <v>46147</v>
      </c>
      <c r="AJ599" s="177"/>
      <c r="AK599" s="138"/>
      <c r="AL599" s="58"/>
      <c r="AM599" s="58"/>
      <c r="AN599" s="58"/>
    </row>
    <row r="600" spans="1:40" ht="18.649999999999999" customHeight="1">
      <c r="A600" s="437" t="s">
        <v>1399</v>
      </c>
      <c r="B600" s="369" t="s">
        <v>625</v>
      </c>
      <c r="D600" s="48" t="s">
        <v>183</v>
      </c>
      <c r="E600" s="49" t="s">
        <v>184</v>
      </c>
      <c r="F600" s="49">
        <v>1000013084</v>
      </c>
      <c r="G600" s="22" t="s">
        <v>192</v>
      </c>
      <c r="H600" s="108">
        <v>20</v>
      </c>
      <c r="I600" s="108" t="s">
        <v>52</v>
      </c>
      <c r="M600" s="214" t="s">
        <v>1402</v>
      </c>
      <c r="N600" s="5" t="s">
        <v>1403</v>
      </c>
      <c r="O600" s="30" t="s">
        <v>189</v>
      </c>
      <c r="Q600" s="20" t="s">
        <v>1404</v>
      </c>
      <c r="R600" s="20" t="s">
        <v>178</v>
      </c>
      <c r="S600" s="5" t="s">
        <v>1405</v>
      </c>
      <c r="T600" s="24">
        <v>46132</v>
      </c>
      <c r="U600" s="137">
        <v>46137</v>
      </c>
      <c r="V600" s="137">
        <v>46140</v>
      </c>
      <c r="X600" s="30" t="s">
        <v>58</v>
      </c>
      <c r="Y600" s="5">
        <v>0.5</v>
      </c>
      <c r="AA600" s="65">
        <v>46138</v>
      </c>
      <c r="AB600" s="65">
        <v>46140</v>
      </c>
      <c r="AD600" s="429" t="s">
        <v>72</v>
      </c>
      <c r="AE600" s="137">
        <v>46139</v>
      </c>
      <c r="AF600" s="137">
        <v>46139</v>
      </c>
      <c r="AG600" s="137">
        <v>46136</v>
      </c>
      <c r="AH600" s="137">
        <v>46144</v>
      </c>
      <c r="AI600" s="177">
        <v>46147</v>
      </c>
      <c r="AJ600" s="177"/>
      <c r="AK600" s="138"/>
      <c r="AL600" s="58"/>
      <c r="AM600" s="58"/>
      <c r="AN600" s="58"/>
    </row>
    <row r="601" spans="1:40" ht="18.649999999999999" customHeight="1">
      <c r="A601" s="437" t="s">
        <v>1399</v>
      </c>
      <c r="B601" s="369" t="s">
        <v>625</v>
      </c>
      <c r="D601" s="48" t="s">
        <v>183</v>
      </c>
      <c r="E601" s="49" t="s">
        <v>184</v>
      </c>
      <c r="F601" s="49">
        <v>1000017944</v>
      </c>
      <c r="G601" s="22" t="s">
        <v>193</v>
      </c>
      <c r="H601" s="108">
        <v>100</v>
      </c>
      <c r="I601" s="108" t="s">
        <v>52</v>
      </c>
      <c r="M601" s="214" t="s">
        <v>1402</v>
      </c>
      <c r="N601" s="5" t="s">
        <v>1403</v>
      </c>
      <c r="O601" s="30" t="s">
        <v>189</v>
      </c>
      <c r="Q601" s="20" t="s">
        <v>1404</v>
      </c>
      <c r="R601" s="20" t="s">
        <v>178</v>
      </c>
      <c r="S601" s="5" t="s">
        <v>1405</v>
      </c>
      <c r="T601" s="24">
        <v>46132</v>
      </c>
      <c r="U601" s="137">
        <v>46137</v>
      </c>
      <c r="V601" s="137">
        <v>46140</v>
      </c>
      <c r="X601" s="30" t="s">
        <v>58</v>
      </c>
      <c r="Y601" s="5">
        <v>0.5</v>
      </c>
      <c r="AA601" s="65">
        <v>46138</v>
      </c>
      <c r="AB601" s="65">
        <v>46140</v>
      </c>
      <c r="AD601" s="429" t="s">
        <v>72</v>
      </c>
      <c r="AE601" s="137">
        <v>46139</v>
      </c>
      <c r="AF601" s="137">
        <v>46139</v>
      </c>
      <c r="AG601" s="137">
        <v>46136</v>
      </c>
      <c r="AH601" s="137">
        <v>46144</v>
      </c>
      <c r="AI601" s="177">
        <v>46147</v>
      </c>
      <c r="AJ601" s="177"/>
      <c r="AK601" s="138"/>
      <c r="AL601" s="58"/>
      <c r="AM601" s="58"/>
      <c r="AN601" s="58"/>
    </row>
    <row r="602" spans="1:40" ht="18.649999999999999" customHeight="1">
      <c r="A602" s="20" t="s">
        <v>1406</v>
      </c>
      <c r="B602" s="369" t="s">
        <v>625</v>
      </c>
      <c r="D602" s="48" t="s">
        <v>183</v>
      </c>
      <c r="E602" s="52" t="s">
        <v>184</v>
      </c>
      <c r="F602" s="49">
        <v>1000010127</v>
      </c>
      <c r="G602" s="22" t="s">
        <v>185</v>
      </c>
      <c r="H602" s="5">
        <v>883</v>
      </c>
      <c r="I602" s="108" t="s">
        <v>52</v>
      </c>
      <c r="J602" s="21" t="s">
        <v>1407</v>
      </c>
      <c r="M602" s="20" t="s">
        <v>1408</v>
      </c>
      <c r="O602" s="30" t="s">
        <v>189</v>
      </c>
      <c r="Q602" s="20" t="s">
        <v>1409</v>
      </c>
      <c r="R602" s="20" t="s">
        <v>178</v>
      </c>
      <c r="T602" s="24">
        <v>46152</v>
      </c>
      <c r="U602" s="137">
        <v>46150</v>
      </c>
      <c r="V602" s="137">
        <v>46153</v>
      </c>
      <c r="X602" s="30" t="s">
        <v>58</v>
      </c>
      <c r="Y602" s="5">
        <v>0.5</v>
      </c>
      <c r="AA602" s="137">
        <v>46150</v>
      </c>
      <c r="AB602" s="137">
        <v>46153</v>
      </c>
      <c r="AD602" s="429" t="s">
        <v>72</v>
      </c>
      <c r="AK602" s="138"/>
      <c r="AL602" s="58"/>
      <c r="AM602" s="58"/>
      <c r="AN602" s="58"/>
    </row>
    <row r="603" spans="1:40" ht="18.649999999999999" customHeight="1">
      <c r="A603" s="20" t="s">
        <v>1406</v>
      </c>
      <c r="B603" s="369" t="s">
        <v>625</v>
      </c>
      <c r="D603" s="48" t="s">
        <v>183</v>
      </c>
      <c r="E603" s="52" t="s">
        <v>184</v>
      </c>
      <c r="F603" s="49">
        <v>1000013084</v>
      </c>
      <c r="G603" s="22" t="s">
        <v>192</v>
      </c>
      <c r="H603" s="5">
        <v>25</v>
      </c>
      <c r="I603" s="108" t="s">
        <v>52</v>
      </c>
      <c r="M603" s="20" t="s">
        <v>1408</v>
      </c>
      <c r="O603" s="30" t="s">
        <v>189</v>
      </c>
      <c r="Q603" s="20" t="s">
        <v>1409</v>
      </c>
      <c r="R603" s="20" t="s">
        <v>178</v>
      </c>
      <c r="T603" s="24">
        <v>46152</v>
      </c>
      <c r="U603" s="137">
        <v>46150</v>
      </c>
      <c r="V603" s="137">
        <v>46153</v>
      </c>
      <c r="X603" s="30" t="s">
        <v>58</v>
      </c>
      <c r="Y603" s="5">
        <v>0.5</v>
      </c>
      <c r="AA603" s="137">
        <v>46150</v>
      </c>
      <c r="AB603" s="137">
        <v>46153</v>
      </c>
      <c r="AD603" s="429" t="s">
        <v>72</v>
      </c>
      <c r="AK603" s="138"/>
      <c r="AL603" s="58"/>
      <c r="AM603" s="58"/>
      <c r="AN603" s="58"/>
    </row>
    <row r="604" spans="1:40" ht="18.649999999999999" customHeight="1">
      <c r="A604" s="20" t="s">
        <v>1406</v>
      </c>
      <c r="B604" s="369" t="s">
        <v>625</v>
      </c>
      <c r="D604" s="48" t="s">
        <v>183</v>
      </c>
      <c r="E604" s="52" t="s">
        <v>184</v>
      </c>
      <c r="F604" s="49">
        <v>1000017944</v>
      </c>
      <c r="G604" s="22" t="s">
        <v>193</v>
      </c>
      <c r="H604" s="5">
        <v>100</v>
      </c>
      <c r="I604" s="108" t="s">
        <v>52</v>
      </c>
      <c r="M604" s="20" t="s">
        <v>1408</v>
      </c>
      <c r="O604" s="30" t="s">
        <v>189</v>
      </c>
      <c r="Q604" s="20" t="s">
        <v>1409</v>
      </c>
      <c r="R604" s="20" t="s">
        <v>178</v>
      </c>
      <c r="T604" s="24">
        <v>46152</v>
      </c>
      <c r="U604" s="137">
        <v>46150</v>
      </c>
      <c r="V604" s="137">
        <v>46153</v>
      </c>
      <c r="X604" s="30" t="s">
        <v>58</v>
      </c>
      <c r="Y604" s="5">
        <v>0.5</v>
      </c>
      <c r="AA604" s="137">
        <v>46150</v>
      </c>
      <c r="AB604" s="137">
        <v>46153</v>
      </c>
      <c r="AD604" s="429" t="s">
        <v>72</v>
      </c>
      <c r="AK604" s="138"/>
      <c r="AL604" s="58"/>
      <c r="AM604" s="58"/>
      <c r="AN604" s="58"/>
    </row>
    <row r="605" spans="1:40" ht="18.649999999999999" customHeight="1">
      <c r="A605" s="20" t="s">
        <v>1406</v>
      </c>
      <c r="B605" s="369" t="s">
        <v>625</v>
      </c>
      <c r="D605" s="48" t="s">
        <v>183</v>
      </c>
      <c r="E605" s="52" t="s">
        <v>184</v>
      </c>
      <c r="F605" s="49">
        <v>1000010127</v>
      </c>
      <c r="G605" s="22" t="s">
        <v>185</v>
      </c>
      <c r="H605" s="108">
        <v>883</v>
      </c>
      <c r="I605" s="108" t="s">
        <v>52</v>
      </c>
      <c r="J605" s="21" t="s">
        <v>1410</v>
      </c>
      <c r="M605" s="20" t="s">
        <v>1411</v>
      </c>
      <c r="O605" s="30" t="s">
        <v>189</v>
      </c>
      <c r="Q605" s="20" t="s">
        <v>1412</v>
      </c>
      <c r="R605" s="20" t="s">
        <v>178</v>
      </c>
      <c r="T605" s="24">
        <v>46162</v>
      </c>
      <c r="U605" s="137">
        <v>46158</v>
      </c>
      <c r="V605" s="137">
        <v>46160</v>
      </c>
      <c r="X605" s="30" t="s">
        <v>58</v>
      </c>
      <c r="Y605" s="5">
        <v>0.5</v>
      </c>
      <c r="AA605" s="137">
        <v>46158</v>
      </c>
      <c r="AB605" s="137">
        <v>46160</v>
      </c>
      <c r="AD605" s="429" t="s">
        <v>72</v>
      </c>
      <c r="AK605" s="138"/>
      <c r="AL605" s="58"/>
      <c r="AM605" s="58"/>
      <c r="AN605" s="58"/>
    </row>
    <row r="606" spans="1:40" ht="18.649999999999999" customHeight="1">
      <c r="A606" s="20" t="s">
        <v>1406</v>
      </c>
      <c r="B606" s="369" t="s">
        <v>625</v>
      </c>
      <c r="D606" s="48" t="s">
        <v>183</v>
      </c>
      <c r="E606" s="52" t="s">
        <v>184</v>
      </c>
      <c r="F606" s="49">
        <v>1000013084</v>
      </c>
      <c r="G606" s="22" t="s">
        <v>192</v>
      </c>
      <c r="H606" s="108">
        <v>25</v>
      </c>
      <c r="I606" s="108" t="s">
        <v>52</v>
      </c>
      <c r="M606" s="20" t="s">
        <v>1411</v>
      </c>
      <c r="O606" s="30" t="s">
        <v>189</v>
      </c>
      <c r="Q606" s="20" t="s">
        <v>1412</v>
      </c>
      <c r="R606" s="20" t="s">
        <v>178</v>
      </c>
      <c r="T606" s="24">
        <v>46162</v>
      </c>
      <c r="U606" s="137">
        <v>46158</v>
      </c>
      <c r="V606" s="137">
        <v>46160</v>
      </c>
      <c r="X606" s="30" t="s">
        <v>58</v>
      </c>
      <c r="Y606" s="5">
        <v>0.5</v>
      </c>
      <c r="AA606" s="137">
        <v>46158</v>
      </c>
      <c r="AB606" s="137">
        <v>46160</v>
      </c>
      <c r="AD606" s="429" t="s">
        <v>72</v>
      </c>
      <c r="AK606" s="138"/>
      <c r="AL606" s="58"/>
      <c r="AM606" s="58"/>
      <c r="AN606" s="58"/>
    </row>
    <row r="607" spans="1:40" ht="18.649999999999999" customHeight="1">
      <c r="A607" s="20" t="s">
        <v>1406</v>
      </c>
      <c r="B607" s="369" t="s">
        <v>625</v>
      </c>
      <c r="D607" s="48" t="s">
        <v>183</v>
      </c>
      <c r="E607" s="52" t="s">
        <v>184</v>
      </c>
      <c r="F607" s="49">
        <v>1000017944</v>
      </c>
      <c r="G607" s="22" t="s">
        <v>193</v>
      </c>
      <c r="H607" s="108">
        <v>20</v>
      </c>
      <c r="I607" s="108" t="s">
        <v>52</v>
      </c>
      <c r="M607" s="20" t="s">
        <v>1411</v>
      </c>
      <c r="O607" s="30" t="s">
        <v>189</v>
      </c>
      <c r="Q607" s="20" t="s">
        <v>1412</v>
      </c>
      <c r="R607" s="20" t="s">
        <v>178</v>
      </c>
      <c r="T607" s="24">
        <v>46162</v>
      </c>
      <c r="U607" s="137">
        <v>46158</v>
      </c>
      <c r="V607" s="137">
        <v>46160</v>
      </c>
      <c r="X607" s="30" t="s">
        <v>58</v>
      </c>
      <c r="Y607" s="5">
        <v>0.5</v>
      </c>
      <c r="AA607" s="137">
        <v>46158</v>
      </c>
      <c r="AB607" s="137">
        <v>46160</v>
      </c>
      <c r="AD607" s="429" t="s">
        <v>72</v>
      </c>
      <c r="AK607" s="138"/>
      <c r="AL607" s="58"/>
      <c r="AM607" s="58"/>
      <c r="AN607" s="58"/>
    </row>
    <row r="608" spans="1:40" ht="10.5">
      <c r="A608" s="20" t="s">
        <v>1406</v>
      </c>
      <c r="B608" s="369" t="s">
        <v>625</v>
      </c>
      <c r="D608" s="48" t="s">
        <v>183</v>
      </c>
      <c r="E608" s="52" t="s">
        <v>184</v>
      </c>
      <c r="F608" s="23">
        <v>1000037932</v>
      </c>
      <c r="G608" s="22" t="s">
        <v>1413</v>
      </c>
      <c r="H608" s="5">
        <v>80</v>
      </c>
      <c r="I608" s="108" t="s">
        <v>52</v>
      </c>
      <c r="M608" s="20" t="s">
        <v>1411</v>
      </c>
      <c r="O608" s="30" t="s">
        <v>189</v>
      </c>
      <c r="Q608" s="20" t="s">
        <v>1412</v>
      </c>
      <c r="R608" s="20" t="s">
        <v>178</v>
      </c>
      <c r="T608" s="24">
        <v>46162</v>
      </c>
      <c r="U608" s="137">
        <v>46158</v>
      </c>
      <c r="V608" s="137">
        <v>46160</v>
      </c>
      <c r="X608" s="30" t="s">
        <v>58</v>
      </c>
      <c r="Y608" s="5">
        <v>0.5</v>
      </c>
      <c r="AA608" s="137">
        <v>46158</v>
      </c>
      <c r="AB608" s="137">
        <v>46160</v>
      </c>
      <c r="AD608" s="429" t="s">
        <v>72</v>
      </c>
      <c r="AK608" s="138"/>
      <c r="AL608" s="58"/>
      <c r="AM608" s="58"/>
      <c r="AN608" s="58"/>
    </row>
    <row r="609" spans="1:41" ht="18.5" customHeight="1">
      <c r="B609" s="355" t="s">
        <v>741</v>
      </c>
      <c r="D609" s="48" t="s">
        <v>99</v>
      </c>
      <c r="E609" s="49" t="s">
        <v>210</v>
      </c>
      <c r="F609" s="49" t="s">
        <v>1414</v>
      </c>
      <c r="G609" s="22" t="s">
        <v>233</v>
      </c>
      <c r="H609" s="30">
        <v>3</v>
      </c>
      <c r="I609" s="33" t="s">
        <v>212</v>
      </c>
      <c r="J609" s="33" t="s">
        <v>1415</v>
      </c>
      <c r="K609" s="5" t="s">
        <v>53</v>
      </c>
      <c r="L609" s="177">
        <v>46127</v>
      </c>
      <c r="M609" s="20" t="s">
        <v>1416</v>
      </c>
      <c r="N609" s="5">
        <v>28034536</v>
      </c>
      <c r="O609" s="5" t="s">
        <v>55</v>
      </c>
      <c r="Q609" s="20">
        <v>1811482971</v>
      </c>
      <c r="R609" s="20" t="s">
        <v>1417</v>
      </c>
      <c r="S609" s="5" t="s">
        <v>1417</v>
      </c>
      <c r="T609" s="24">
        <v>46143</v>
      </c>
      <c r="U609" s="137">
        <v>46141</v>
      </c>
      <c r="V609" s="137">
        <v>46147</v>
      </c>
      <c r="X609" s="5" t="s">
        <v>217</v>
      </c>
      <c r="Y609" s="5">
        <v>1</v>
      </c>
      <c r="AA609" s="137">
        <v>46141</v>
      </c>
      <c r="AB609" s="137">
        <v>46147</v>
      </c>
      <c r="AD609" s="5" t="s">
        <v>72</v>
      </c>
      <c r="AF609" s="137">
        <v>46147</v>
      </c>
      <c r="AG609" s="137">
        <v>46147</v>
      </c>
      <c r="AK609" s="178">
        <v>46137</v>
      </c>
      <c r="AL609" s="179">
        <v>262.31</v>
      </c>
      <c r="AM609" s="58" t="s">
        <v>1418</v>
      </c>
      <c r="AN609" s="58"/>
      <c r="AO609" s="21" t="s">
        <v>1419</v>
      </c>
    </row>
    <row r="610" spans="1:41" ht="18.649999999999999" customHeight="1">
      <c r="B610" s="355" t="s">
        <v>741</v>
      </c>
      <c r="D610" s="20" t="s">
        <v>99</v>
      </c>
      <c r="E610" s="31" t="s">
        <v>63</v>
      </c>
      <c r="F610" s="31">
        <v>1000031684</v>
      </c>
      <c r="G610" s="22" t="s">
        <v>100</v>
      </c>
      <c r="H610" s="108" t="s">
        <v>101</v>
      </c>
      <c r="I610" s="108" t="s">
        <v>52</v>
      </c>
      <c r="J610" s="366" t="s">
        <v>1420</v>
      </c>
      <c r="K610" s="5" t="s">
        <v>53</v>
      </c>
      <c r="L610" s="177">
        <v>46127</v>
      </c>
      <c r="M610" s="20" t="s">
        <v>1421</v>
      </c>
      <c r="N610" s="5" t="s">
        <v>1422</v>
      </c>
      <c r="O610" s="5" t="s">
        <v>68</v>
      </c>
      <c r="T610" s="24">
        <v>46174</v>
      </c>
      <c r="X610" s="120" t="s">
        <v>58</v>
      </c>
      <c r="Y610" s="30">
        <v>2</v>
      </c>
      <c r="AD610" s="56" t="s">
        <v>72</v>
      </c>
      <c r="AE610" s="21"/>
      <c r="AM610" s="58"/>
      <c r="AN610" s="58"/>
    </row>
    <row r="611" spans="1:41" ht="18.649999999999999" customHeight="1">
      <c r="A611" s="21"/>
      <c r="B611" s="355" t="s">
        <v>741</v>
      </c>
      <c r="D611" s="48" t="s">
        <v>160</v>
      </c>
      <c r="E611" s="52" t="s">
        <v>281</v>
      </c>
      <c r="F611" s="49">
        <v>1000019446</v>
      </c>
      <c r="G611" s="22" t="s">
        <v>293</v>
      </c>
      <c r="H611" s="108">
        <v>3200</v>
      </c>
      <c r="I611" s="108" t="s">
        <v>85</v>
      </c>
      <c r="K611" s="5" t="s">
        <v>53</v>
      </c>
      <c r="L611" s="177">
        <v>46127</v>
      </c>
      <c r="M611" s="20" t="s">
        <v>1423</v>
      </c>
      <c r="O611" s="30" t="s">
        <v>150</v>
      </c>
      <c r="T611" s="24">
        <v>46204</v>
      </c>
      <c r="X611" s="120" t="s">
        <v>58</v>
      </c>
      <c r="Y611" s="120">
        <v>1</v>
      </c>
      <c r="AD611" s="56" t="s">
        <v>72</v>
      </c>
      <c r="AE611" s="21"/>
      <c r="AM611" s="58"/>
      <c r="AN611" s="58"/>
    </row>
    <row r="612" spans="1:41" ht="18.649999999999999" customHeight="1">
      <c r="B612" s="355" t="s">
        <v>741</v>
      </c>
      <c r="C612" s="65">
        <v>46141</v>
      </c>
      <c r="D612" s="239" t="s">
        <v>99</v>
      </c>
      <c r="E612" s="240" t="s">
        <v>236</v>
      </c>
      <c r="F612" s="307">
        <v>2000003094</v>
      </c>
      <c r="G612" s="22" t="s">
        <v>1167</v>
      </c>
      <c r="H612" s="189">
        <v>2000</v>
      </c>
      <c r="I612" s="239" t="s">
        <v>239</v>
      </c>
      <c r="K612" s="5" t="s">
        <v>53</v>
      </c>
      <c r="L612" s="177">
        <v>46127</v>
      </c>
      <c r="M612" s="214" t="s">
        <v>1424</v>
      </c>
      <c r="N612" s="5" t="s">
        <v>1425</v>
      </c>
      <c r="O612" s="5" t="s">
        <v>55</v>
      </c>
      <c r="Q612" s="20" t="s">
        <v>1426</v>
      </c>
      <c r="R612" s="239" t="s">
        <v>1172</v>
      </c>
      <c r="S612" s="239" t="s">
        <v>1172</v>
      </c>
      <c r="T612" s="24">
        <v>46174</v>
      </c>
      <c r="U612" s="137">
        <v>46139</v>
      </c>
      <c r="V612" s="137">
        <v>46141</v>
      </c>
      <c r="X612" s="5" t="s">
        <v>209</v>
      </c>
      <c r="Y612" s="5">
        <v>1</v>
      </c>
      <c r="AA612" s="137">
        <v>46139</v>
      </c>
      <c r="AB612" s="137">
        <v>46141</v>
      </c>
      <c r="AD612" s="56" t="s">
        <v>72</v>
      </c>
      <c r="AE612" s="21"/>
      <c r="AF612" s="137">
        <v>46147</v>
      </c>
      <c r="AG612" s="137">
        <v>46142</v>
      </c>
      <c r="AH612" s="137">
        <v>46149</v>
      </c>
      <c r="AK612" s="275">
        <v>46157</v>
      </c>
      <c r="AL612" s="276">
        <v>1650</v>
      </c>
      <c r="AM612" s="58"/>
      <c r="AN612" s="58"/>
    </row>
    <row r="613" spans="1:41" ht="18.649999999999999" customHeight="1">
      <c r="D613" s="20" t="s">
        <v>99</v>
      </c>
      <c r="E613" s="23" t="s">
        <v>1112</v>
      </c>
      <c r="F613" s="23">
        <v>2000001560</v>
      </c>
      <c r="G613" s="22" t="s">
        <v>1427</v>
      </c>
      <c r="H613" s="5">
        <f>30+10</f>
        <v>40</v>
      </c>
      <c r="I613" s="5" t="s">
        <v>1114</v>
      </c>
      <c r="L613" s="177">
        <v>46136</v>
      </c>
      <c r="M613" s="228" t="s">
        <v>1428</v>
      </c>
      <c r="N613" s="5" t="s">
        <v>1429</v>
      </c>
      <c r="O613" s="5" t="s">
        <v>189</v>
      </c>
      <c r="Q613" s="20" t="s">
        <v>1430</v>
      </c>
      <c r="R613" s="21" t="s">
        <v>1119</v>
      </c>
      <c r="S613" s="21" t="s">
        <v>1119</v>
      </c>
      <c r="T613" s="24">
        <v>46174</v>
      </c>
      <c r="U613" s="137">
        <v>46140</v>
      </c>
      <c r="V613" s="137">
        <v>46142</v>
      </c>
      <c r="X613" s="5" t="s">
        <v>217</v>
      </c>
      <c r="Y613" s="5">
        <v>1</v>
      </c>
      <c r="AA613" s="137">
        <v>46140</v>
      </c>
      <c r="AB613" s="137">
        <v>46142</v>
      </c>
      <c r="AD613" s="56" t="s">
        <v>72</v>
      </c>
      <c r="AE613" s="21"/>
      <c r="AF613" s="137">
        <v>46141</v>
      </c>
      <c r="AG613" s="137">
        <v>46141</v>
      </c>
      <c r="AK613" s="275">
        <v>46157</v>
      </c>
      <c r="AL613" s="338">
        <v>296</v>
      </c>
      <c r="AM613" s="58"/>
      <c r="AN613" s="58"/>
    </row>
    <row r="614" spans="1:41" ht="18.649999999999999" customHeight="1">
      <c r="D614" s="20" t="s">
        <v>99</v>
      </c>
      <c r="E614" s="23" t="s">
        <v>1112</v>
      </c>
      <c r="F614" s="23">
        <v>2000005713</v>
      </c>
      <c r="G614" s="22" t="s">
        <v>1113</v>
      </c>
      <c r="H614" s="5">
        <f>15+120+10</f>
        <v>145</v>
      </c>
      <c r="I614" s="5" t="s">
        <v>1114</v>
      </c>
      <c r="L614" s="177">
        <v>46136</v>
      </c>
      <c r="M614" s="228" t="s">
        <v>1428</v>
      </c>
      <c r="N614" s="5" t="s">
        <v>1429</v>
      </c>
      <c r="O614" s="5" t="s">
        <v>189</v>
      </c>
      <c r="Q614" s="20" t="s">
        <v>1430</v>
      </c>
      <c r="R614" s="21" t="s">
        <v>1119</v>
      </c>
      <c r="S614" s="21" t="s">
        <v>1119</v>
      </c>
      <c r="T614" s="24">
        <v>46174</v>
      </c>
      <c r="U614" s="137">
        <v>46140</v>
      </c>
      <c r="V614" s="137">
        <v>46142</v>
      </c>
      <c r="X614" s="5" t="s">
        <v>217</v>
      </c>
      <c r="Y614" s="5">
        <v>1</v>
      </c>
      <c r="AA614" s="137">
        <v>46140</v>
      </c>
      <c r="AB614" s="137">
        <v>46142</v>
      </c>
      <c r="AD614" s="56" t="s">
        <v>72</v>
      </c>
      <c r="AE614" s="21"/>
      <c r="AF614" s="137">
        <v>46141</v>
      </c>
      <c r="AG614" s="137">
        <v>46141</v>
      </c>
      <c r="AK614" s="275">
        <v>46157</v>
      </c>
      <c r="AL614" s="338">
        <v>746.75</v>
      </c>
      <c r="AM614" s="58"/>
      <c r="AN614" s="58"/>
    </row>
    <row r="615" spans="1:41" ht="18.649999999999999" customHeight="1">
      <c r="D615" s="20" t="s">
        <v>99</v>
      </c>
      <c r="E615" s="23" t="s">
        <v>1112</v>
      </c>
      <c r="F615" s="23">
        <v>2000011274</v>
      </c>
      <c r="G615" s="22" t="s">
        <v>1431</v>
      </c>
      <c r="H615" s="5">
        <v>40</v>
      </c>
      <c r="I615" s="5" t="s">
        <v>1114</v>
      </c>
      <c r="L615" s="177">
        <v>46136</v>
      </c>
      <c r="M615" s="228" t="s">
        <v>1428</v>
      </c>
      <c r="N615" s="5" t="s">
        <v>1429</v>
      </c>
      <c r="O615" s="5" t="s">
        <v>189</v>
      </c>
      <c r="Q615" s="20" t="s">
        <v>1430</v>
      </c>
      <c r="R615" s="21" t="s">
        <v>1119</v>
      </c>
      <c r="S615" s="21" t="s">
        <v>1119</v>
      </c>
      <c r="T615" s="24">
        <v>46174</v>
      </c>
      <c r="U615" s="137">
        <v>46140</v>
      </c>
      <c r="V615" s="137">
        <v>46142</v>
      </c>
      <c r="X615" s="5" t="s">
        <v>217</v>
      </c>
      <c r="Y615" s="5">
        <v>1</v>
      </c>
      <c r="AA615" s="137">
        <v>46140</v>
      </c>
      <c r="AB615" s="137">
        <v>46142</v>
      </c>
      <c r="AD615" s="56" t="s">
        <v>72</v>
      </c>
      <c r="AE615" s="21"/>
      <c r="AF615" s="137">
        <v>46141</v>
      </c>
      <c r="AG615" s="137">
        <v>46141</v>
      </c>
      <c r="AK615" s="275">
        <v>46157</v>
      </c>
      <c r="AL615" s="338">
        <v>256</v>
      </c>
      <c r="AM615" s="58"/>
      <c r="AN615" s="58"/>
    </row>
    <row r="616" spans="1:41" ht="18.649999999999999" customHeight="1">
      <c r="D616" s="20" t="s">
        <v>99</v>
      </c>
      <c r="E616" s="23" t="s">
        <v>1112</v>
      </c>
      <c r="F616" s="23">
        <v>2000013275</v>
      </c>
      <c r="G616" s="22" t="s">
        <v>1432</v>
      </c>
      <c r="H616" s="5">
        <f>30+150+10</f>
        <v>190</v>
      </c>
      <c r="I616" s="5" t="s">
        <v>1114</v>
      </c>
      <c r="L616" s="177">
        <v>46136</v>
      </c>
      <c r="M616" s="228" t="s">
        <v>1428</v>
      </c>
      <c r="N616" s="5" t="s">
        <v>1429</v>
      </c>
      <c r="O616" s="5" t="s">
        <v>189</v>
      </c>
      <c r="Q616" s="20" t="s">
        <v>1430</v>
      </c>
      <c r="R616" s="21" t="s">
        <v>1119</v>
      </c>
      <c r="S616" s="21" t="s">
        <v>1119</v>
      </c>
      <c r="T616" s="24">
        <v>46174</v>
      </c>
      <c r="U616" s="137">
        <v>46140</v>
      </c>
      <c r="V616" s="137">
        <v>46142</v>
      </c>
      <c r="X616" s="5" t="s">
        <v>217</v>
      </c>
      <c r="Y616" s="5">
        <v>1</v>
      </c>
      <c r="AA616" s="137">
        <v>46140</v>
      </c>
      <c r="AB616" s="137">
        <v>46142</v>
      </c>
      <c r="AD616" s="56" t="s">
        <v>72</v>
      </c>
      <c r="AE616" s="21"/>
      <c r="AF616" s="137">
        <v>46141</v>
      </c>
      <c r="AG616" s="137">
        <v>46141</v>
      </c>
      <c r="AK616" s="275">
        <v>46157</v>
      </c>
      <c r="AL616" s="338">
        <v>1102</v>
      </c>
      <c r="AM616" s="58"/>
      <c r="AN616" s="58"/>
    </row>
    <row r="617" spans="1:41" ht="18.649999999999999" customHeight="1">
      <c r="D617" s="20" t="s">
        <v>99</v>
      </c>
      <c r="E617" s="23" t="s">
        <v>1112</v>
      </c>
      <c r="F617" s="23">
        <v>2000013816</v>
      </c>
      <c r="G617" s="22" t="s">
        <v>1433</v>
      </c>
      <c r="H617" s="5">
        <f>30+10</f>
        <v>40</v>
      </c>
      <c r="I617" s="5" t="s">
        <v>1114</v>
      </c>
      <c r="L617" s="177">
        <v>46136</v>
      </c>
      <c r="M617" s="228" t="s">
        <v>1428</v>
      </c>
      <c r="N617" s="5" t="s">
        <v>1429</v>
      </c>
      <c r="O617" s="5" t="s">
        <v>189</v>
      </c>
      <c r="Q617" s="20" t="s">
        <v>1430</v>
      </c>
      <c r="R617" s="21" t="s">
        <v>1119</v>
      </c>
      <c r="S617" s="21" t="s">
        <v>1119</v>
      </c>
      <c r="T617" s="24">
        <v>46174</v>
      </c>
      <c r="U617" s="137">
        <v>46140</v>
      </c>
      <c r="V617" s="137">
        <v>46142</v>
      </c>
      <c r="X617" s="5" t="s">
        <v>217</v>
      </c>
      <c r="Y617" s="5">
        <v>1</v>
      </c>
      <c r="AA617" s="137">
        <v>46140</v>
      </c>
      <c r="AB617" s="137">
        <v>46142</v>
      </c>
      <c r="AD617" s="56" t="s">
        <v>72</v>
      </c>
      <c r="AE617" s="21"/>
      <c r="AF617" s="137">
        <v>46141</v>
      </c>
      <c r="AG617" s="137">
        <v>46141</v>
      </c>
      <c r="AK617" s="275">
        <v>46157</v>
      </c>
      <c r="AL617" s="338">
        <v>122</v>
      </c>
      <c r="AM617" s="58"/>
      <c r="AN617" s="58"/>
    </row>
    <row r="618" spans="1:41" ht="18.649999999999999" customHeight="1">
      <c r="A618" s="438" t="s">
        <v>1434</v>
      </c>
      <c r="B618" s="20" t="s">
        <v>93</v>
      </c>
      <c r="D618" s="20" t="s">
        <v>81</v>
      </c>
      <c r="E618" s="22" t="s">
        <v>1228</v>
      </c>
      <c r="F618" s="23">
        <v>2000028430</v>
      </c>
      <c r="G618" s="22" t="s">
        <v>1435</v>
      </c>
      <c r="H618" s="5">
        <v>1344</v>
      </c>
      <c r="I618" s="353" t="s">
        <v>239</v>
      </c>
      <c r="L618" s="177">
        <v>46128</v>
      </c>
      <c r="M618" s="214" t="s">
        <v>1230</v>
      </c>
      <c r="N618" s="354" t="s">
        <v>1231</v>
      </c>
      <c r="O618" s="20" t="s">
        <v>68</v>
      </c>
      <c r="Q618" s="5" t="s">
        <v>1234</v>
      </c>
      <c r="R618" s="20" t="s">
        <v>168</v>
      </c>
      <c r="S618" s="5" t="s">
        <v>1232</v>
      </c>
      <c r="T618" s="24">
        <v>46143</v>
      </c>
      <c r="U618" s="137">
        <v>46145</v>
      </c>
      <c r="V618" s="137">
        <v>46150</v>
      </c>
      <c r="X618" s="5" t="s">
        <v>170</v>
      </c>
      <c r="Y618" s="5">
        <v>0.5</v>
      </c>
      <c r="AA618" s="137">
        <v>46145</v>
      </c>
      <c r="AB618" s="137">
        <v>46150</v>
      </c>
      <c r="AD618" s="56" t="s">
        <v>72</v>
      </c>
      <c r="AF618" s="312"/>
      <c r="AG618" s="137">
        <v>46147</v>
      </c>
      <c r="AK618" s="178">
        <v>46137</v>
      </c>
      <c r="AL618" s="170">
        <v>806.4</v>
      </c>
      <c r="AM618" s="58"/>
      <c r="AN618" s="58"/>
    </row>
    <row r="619" spans="1:41" ht="18.649999999999999" customHeight="1">
      <c r="A619" s="438"/>
      <c r="B619" s="20" t="s">
        <v>93</v>
      </c>
      <c r="D619" s="20" t="s">
        <v>81</v>
      </c>
      <c r="E619" s="22" t="s">
        <v>1228</v>
      </c>
      <c r="F619" s="23">
        <v>2000028433</v>
      </c>
      <c r="G619" s="22" t="s">
        <v>1436</v>
      </c>
      <c r="H619" s="5">
        <v>288</v>
      </c>
      <c r="I619" s="353" t="s">
        <v>239</v>
      </c>
      <c r="L619" s="177">
        <v>46128</v>
      </c>
      <c r="M619" s="214" t="s">
        <v>1230</v>
      </c>
      <c r="N619" s="354" t="s">
        <v>1231</v>
      </c>
      <c r="O619" s="20" t="s">
        <v>68</v>
      </c>
      <c r="Q619" s="5" t="s">
        <v>1234</v>
      </c>
      <c r="R619" s="20" t="s">
        <v>168</v>
      </c>
      <c r="S619" s="5" t="s">
        <v>1232</v>
      </c>
      <c r="T619" s="24">
        <v>46143</v>
      </c>
      <c r="U619" s="137">
        <v>46145</v>
      </c>
      <c r="V619" s="137">
        <v>46150</v>
      </c>
      <c r="X619" s="5" t="s">
        <v>170</v>
      </c>
      <c r="Y619" s="5">
        <v>0.5</v>
      </c>
      <c r="AA619" s="137">
        <v>46145</v>
      </c>
      <c r="AB619" s="137">
        <v>46150</v>
      </c>
      <c r="AD619" s="56" t="s">
        <v>72</v>
      </c>
      <c r="AF619" s="312"/>
      <c r="AG619" s="137">
        <v>46147</v>
      </c>
      <c r="AK619" s="178">
        <v>46137</v>
      </c>
      <c r="AL619" s="170">
        <v>172.8</v>
      </c>
      <c r="AM619" s="58"/>
      <c r="AN619" s="58"/>
    </row>
    <row r="620" spans="1:41" ht="18.649999999999999" customHeight="1">
      <c r="A620" s="438"/>
      <c r="B620" s="20" t="s">
        <v>93</v>
      </c>
      <c r="D620" s="20" t="s">
        <v>81</v>
      </c>
      <c r="E620" s="22" t="s">
        <v>1228</v>
      </c>
      <c r="F620" s="439">
        <v>2000028435</v>
      </c>
      <c r="G620" s="22" t="s">
        <v>1437</v>
      </c>
      <c r="H620" s="5">
        <v>2112</v>
      </c>
      <c r="I620" s="353" t="s">
        <v>239</v>
      </c>
      <c r="L620" s="177">
        <v>46128</v>
      </c>
      <c r="M620" s="214" t="s">
        <v>1230</v>
      </c>
      <c r="N620" s="354" t="s">
        <v>1231</v>
      </c>
      <c r="O620" s="20" t="s">
        <v>68</v>
      </c>
      <c r="Q620" s="5" t="s">
        <v>1234</v>
      </c>
      <c r="R620" s="20" t="s">
        <v>168</v>
      </c>
      <c r="S620" s="5" t="s">
        <v>1232</v>
      </c>
      <c r="T620" s="24">
        <v>46143</v>
      </c>
      <c r="U620" s="137">
        <v>46145</v>
      </c>
      <c r="V620" s="137">
        <v>46150</v>
      </c>
      <c r="X620" s="5" t="s">
        <v>170</v>
      </c>
      <c r="Y620" s="5">
        <v>0.5</v>
      </c>
      <c r="AA620" s="137">
        <v>46145</v>
      </c>
      <c r="AB620" s="137">
        <v>46150</v>
      </c>
      <c r="AD620" s="56" t="s">
        <v>72</v>
      </c>
      <c r="AF620" s="312"/>
      <c r="AG620" s="137">
        <v>46147</v>
      </c>
      <c r="AK620" s="178">
        <v>46137</v>
      </c>
      <c r="AL620" s="170">
        <v>1478.4</v>
      </c>
      <c r="AM620" s="58"/>
      <c r="AN620" s="58"/>
    </row>
    <row r="621" spans="1:41" ht="18.649999999999999" customHeight="1">
      <c r="A621" s="438"/>
      <c r="B621" s="20" t="s">
        <v>93</v>
      </c>
      <c r="D621" s="20" t="s">
        <v>81</v>
      </c>
      <c r="E621" s="22" t="s">
        <v>1228</v>
      </c>
      <c r="F621" s="23">
        <v>2000028436</v>
      </c>
      <c r="G621" s="22" t="s">
        <v>1438</v>
      </c>
      <c r="H621" s="5">
        <v>624</v>
      </c>
      <c r="I621" s="353" t="s">
        <v>239</v>
      </c>
      <c r="L621" s="177">
        <v>46128</v>
      </c>
      <c r="M621" s="214" t="s">
        <v>1236</v>
      </c>
      <c r="N621" s="354" t="s">
        <v>1231</v>
      </c>
      <c r="O621" s="20" t="s">
        <v>68</v>
      </c>
      <c r="Q621" s="5" t="s">
        <v>1234</v>
      </c>
      <c r="R621" s="20" t="s">
        <v>168</v>
      </c>
      <c r="S621" s="5" t="s">
        <v>1232</v>
      </c>
      <c r="T621" s="24">
        <v>46143</v>
      </c>
      <c r="U621" s="137">
        <v>46145</v>
      </c>
      <c r="V621" s="137">
        <v>46150</v>
      </c>
      <c r="X621" s="5" t="s">
        <v>170</v>
      </c>
      <c r="Y621" s="5">
        <v>0.5</v>
      </c>
      <c r="AA621" s="137">
        <v>46145</v>
      </c>
      <c r="AB621" s="137">
        <v>46150</v>
      </c>
      <c r="AD621" s="56" t="s">
        <v>72</v>
      </c>
      <c r="AF621" s="312"/>
      <c r="AG621" s="137">
        <v>46147</v>
      </c>
      <c r="AK621" s="178">
        <v>46137</v>
      </c>
      <c r="AL621" s="170">
        <v>561.6</v>
      </c>
      <c r="AM621" s="58"/>
      <c r="AN621" s="58"/>
    </row>
    <row r="622" spans="1:41" ht="18.649999999999999" customHeight="1">
      <c r="A622" s="438"/>
      <c r="B622" s="20" t="s">
        <v>93</v>
      </c>
      <c r="D622" s="20" t="s">
        <v>81</v>
      </c>
      <c r="E622" s="22" t="s">
        <v>1228</v>
      </c>
      <c r="F622" s="23">
        <v>2000028434</v>
      </c>
      <c r="G622" s="22" t="s">
        <v>1439</v>
      </c>
      <c r="H622" s="5">
        <v>336</v>
      </c>
      <c r="I622" s="353" t="s">
        <v>239</v>
      </c>
      <c r="L622" s="177">
        <v>46128</v>
      </c>
      <c r="M622" s="214" t="s">
        <v>1236</v>
      </c>
      <c r="N622" s="354" t="s">
        <v>1231</v>
      </c>
      <c r="O622" s="20" t="s">
        <v>68</v>
      </c>
      <c r="Q622" s="5" t="s">
        <v>1234</v>
      </c>
      <c r="R622" s="20" t="s">
        <v>168</v>
      </c>
      <c r="S622" s="5" t="s">
        <v>1232</v>
      </c>
      <c r="T622" s="24">
        <v>46143</v>
      </c>
      <c r="U622" s="137">
        <v>46145</v>
      </c>
      <c r="V622" s="137">
        <v>46150</v>
      </c>
      <c r="X622" s="5" t="s">
        <v>170</v>
      </c>
      <c r="Y622" s="5">
        <v>0.5</v>
      </c>
      <c r="AA622" s="137">
        <v>46145</v>
      </c>
      <c r="AB622" s="137">
        <v>46150</v>
      </c>
      <c r="AD622" s="56" t="s">
        <v>72</v>
      </c>
      <c r="AF622" s="312"/>
      <c r="AG622" s="137">
        <v>46147</v>
      </c>
      <c r="AK622" s="178">
        <v>46137</v>
      </c>
      <c r="AL622" s="170">
        <v>168</v>
      </c>
      <c r="AM622" s="58"/>
      <c r="AN622" s="58"/>
    </row>
    <row r="623" spans="1:41" ht="18.649999999999999" customHeight="1">
      <c r="A623" s="438"/>
      <c r="B623" s="20" t="s">
        <v>93</v>
      </c>
      <c r="D623" s="20" t="s">
        <v>81</v>
      </c>
      <c r="E623" s="22" t="s">
        <v>1228</v>
      </c>
      <c r="F623" s="23">
        <v>2000028426</v>
      </c>
      <c r="G623" s="22" t="s">
        <v>1440</v>
      </c>
      <c r="H623" s="5">
        <v>154</v>
      </c>
      <c r="I623" s="353" t="s">
        <v>239</v>
      </c>
      <c r="L623" s="177">
        <v>46128</v>
      </c>
      <c r="M623" s="214" t="s">
        <v>1230</v>
      </c>
      <c r="N623" s="354" t="s">
        <v>1231</v>
      </c>
      <c r="O623" s="20" t="s">
        <v>68</v>
      </c>
      <c r="Q623" s="5" t="s">
        <v>1234</v>
      </c>
      <c r="R623" s="20" t="s">
        <v>168</v>
      </c>
      <c r="S623" s="5" t="s">
        <v>1232</v>
      </c>
      <c r="T623" s="24">
        <v>46143</v>
      </c>
      <c r="U623" s="137">
        <v>46145</v>
      </c>
      <c r="V623" s="137">
        <v>46150</v>
      </c>
      <c r="X623" s="5" t="s">
        <v>170</v>
      </c>
      <c r="Y623" s="5">
        <v>0.5</v>
      </c>
      <c r="AA623" s="137">
        <v>46145</v>
      </c>
      <c r="AB623" s="137">
        <v>46150</v>
      </c>
      <c r="AD623" s="56" t="s">
        <v>72</v>
      </c>
      <c r="AF623" s="312"/>
      <c r="AG623" s="137">
        <v>46147</v>
      </c>
      <c r="AK623" s="178">
        <v>46137</v>
      </c>
      <c r="AL623" s="170">
        <v>600.6</v>
      </c>
      <c r="AM623" s="58"/>
      <c r="AN623" s="58"/>
    </row>
    <row r="624" spans="1:41" ht="18.649999999999999" customHeight="1">
      <c r="B624" s="355" t="s">
        <v>741</v>
      </c>
      <c r="D624" s="20" t="s">
        <v>48</v>
      </c>
      <c r="E624" s="31" t="s">
        <v>367</v>
      </c>
      <c r="F624" s="31">
        <v>1000034016</v>
      </c>
      <c r="G624" s="107" t="s">
        <v>368</v>
      </c>
      <c r="H624" s="108">
        <v>38400</v>
      </c>
      <c r="I624" s="108" t="s">
        <v>369</v>
      </c>
      <c r="J624" s="33" t="s">
        <v>370</v>
      </c>
      <c r="K624" s="5" t="s">
        <v>53</v>
      </c>
      <c r="L624" s="177">
        <v>46127</v>
      </c>
      <c r="M624" s="20" t="s">
        <v>1441</v>
      </c>
      <c r="O624" s="30" t="s">
        <v>68</v>
      </c>
      <c r="T624" s="24">
        <v>46235</v>
      </c>
      <c r="X624" s="30" t="s">
        <v>58</v>
      </c>
      <c r="Y624" s="30">
        <v>1</v>
      </c>
      <c r="AD624" s="125" t="s">
        <v>59</v>
      </c>
      <c r="AE624" s="21"/>
      <c r="AM624" s="58"/>
      <c r="AN624" s="58"/>
    </row>
    <row r="625" spans="1:44" ht="18.649999999999999" customHeight="1">
      <c r="D625" s="48" t="s">
        <v>48</v>
      </c>
      <c r="E625" s="22" t="s">
        <v>360</v>
      </c>
      <c r="F625" s="49" t="s">
        <v>361</v>
      </c>
      <c r="G625" s="22" t="s">
        <v>362</v>
      </c>
      <c r="H625" s="48">
        <v>2030</v>
      </c>
      <c r="I625" s="61" t="s">
        <v>110</v>
      </c>
      <c r="J625" s="366" t="s">
        <v>1442</v>
      </c>
      <c r="K625" s="366" t="s">
        <v>1442</v>
      </c>
      <c r="L625" s="177" t="s">
        <v>53</v>
      </c>
      <c r="M625" s="20" t="s">
        <v>53</v>
      </c>
      <c r="O625" s="5" t="s">
        <v>68</v>
      </c>
      <c r="Q625" s="5"/>
      <c r="T625" s="24">
        <v>46266</v>
      </c>
      <c r="X625" s="20" t="s">
        <v>58</v>
      </c>
      <c r="Y625" s="20">
        <v>1</v>
      </c>
      <c r="AD625" s="90" t="s">
        <v>599</v>
      </c>
      <c r="AE625" s="21"/>
      <c r="AF625" s="21"/>
      <c r="AH625" s="21"/>
      <c r="AM625" s="58"/>
      <c r="AN625" s="58"/>
      <c r="AR625" s="21"/>
    </row>
    <row r="626" spans="1:44" ht="18.649999999999999" customHeight="1">
      <c r="D626" s="20" t="s">
        <v>48</v>
      </c>
      <c r="E626" s="22" t="s">
        <v>74</v>
      </c>
      <c r="F626" s="31">
        <v>1000037051</v>
      </c>
      <c r="G626" s="22" t="s">
        <v>75</v>
      </c>
      <c r="H626" s="20">
        <v>4000</v>
      </c>
      <c r="I626" s="20" t="s">
        <v>52</v>
      </c>
      <c r="J626" s="21" t="s">
        <v>1277</v>
      </c>
      <c r="K626" s="366" t="s">
        <v>1442</v>
      </c>
      <c r="O626" s="5" t="s">
        <v>68</v>
      </c>
      <c r="Q626" s="5"/>
      <c r="T626" s="24">
        <v>46266</v>
      </c>
      <c r="X626" s="40" t="s">
        <v>58</v>
      </c>
      <c r="Y626" s="40">
        <v>1</v>
      </c>
      <c r="AD626" s="90" t="s">
        <v>599</v>
      </c>
      <c r="AE626" s="21"/>
      <c r="AF626" s="21"/>
      <c r="AH626" s="21"/>
      <c r="AM626" s="58"/>
      <c r="AN626" s="58"/>
      <c r="AR626" s="21"/>
    </row>
    <row r="627" spans="1:44" ht="18.649999999999999" customHeight="1">
      <c r="D627" s="20" t="s">
        <v>48</v>
      </c>
      <c r="E627" s="22" t="s">
        <v>74</v>
      </c>
      <c r="F627" s="31">
        <v>1000037051</v>
      </c>
      <c r="G627" s="22" t="s">
        <v>75</v>
      </c>
      <c r="H627" s="20">
        <v>2000</v>
      </c>
      <c r="I627" s="20" t="s">
        <v>52</v>
      </c>
      <c r="J627" s="21" t="s">
        <v>1277</v>
      </c>
      <c r="K627" s="366" t="s">
        <v>1442</v>
      </c>
      <c r="O627" s="5" t="s">
        <v>68</v>
      </c>
      <c r="Q627" s="5"/>
      <c r="T627" s="24">
        <v>46280</v>
      </c>
      <c r="X627" s="40" t="s">
        <v>58</v>
      </c>
      <c r="Y627" s="40">
        <v>1</v>
      </c>
      <c r="AD627" s="90" t="s">
        <v>599</v>
      </c>
      <c r="AE627" s="21"/>
      <c r="AF627" s="21"/>
      <c r="AH627" s="21"/>
      <c r="AM627" s="58"/>
      <c r="AN627" s="58"/>
      <c r="AR627" s="21"/>
    </row>
    <row r="628" spans="1:44" ht="18.649999999999999" customHeight="1">
      <c r="A628" s="20" t="s">
        <v>53</v>
      </c>
      <c r="B628" s="355" t="s">
        <v>741</v>
      </c>
      <c r="D628" s="20" t="s">
        <v>48</v>
      </c>
      <c r="E628" s="22" t="s">
        <v>262</v>
      </c>
      <c r="F628" s="31">
        <v>1000013590</v>
      </c>
      <c r="G628" s="22" t="s">
        <v>263</v>
      </c>
      <c r="H628" s="30">
        <v>4028</v>
      </c>
      <c r="I628" s="61" t="s">
        <v>52</v>
      </c>
      <c r="K628" s="21" t="s">
        <v>53</v>
      </c>
      <c r="L628" s="177">
        <v>46132</v>
      </c>
      <c r="M628" s="20" t="s">
        <v>1443</v>
      </c>
      <c r="O628" s="5" t="s">
        <v>68</v>
      </c>
      <c r="Q628" s="5"/>
      <c r="T628" s="24">
        <v>46235</v>
      </c>
      <c r="X628" s="5" t="s">
        <v>170</v>
      </c>
      <c r="Y628" s="5">
        <v>4</v>
      </c>
      <c r="AD628" s="90" t="s">
        <v>599</v>
      </c>
      <c r="AE628" s="21"/>
      <c r="AF628" s="21"/>
      <c r="AH628" s="21"/>
      <c r="AM628" s="58"/>
      <c r="AN628" s="58"/>
      <c r="AR628" s="21"/>
    </row>
    <row r="629" spans="1:44" ht="18.649999999999999" customHeight="1">
      <c r="A629" s="20" t="s">
        <v>53</v>
      </c>
      <c r="B629" s="355" t="s">
        <v>741</v>
      </c>
      <c r="D629" s="20" t="s">
        <v>48</v>
      </c>
      <c r="E629" s="22" t="s">
        <v>262</v>
      </c>
      <c r="F629" s="31">
        <v>1000013590</v>
      </c>
      <c r="G629" s="22" t="s">
        <v>263</v>
      </c>
      <c r="H629" s="30" t="s">
        <v>1444</v>
      </c>
      <c r="I629" s="61" t="s">
        <v>52</v>
      </c>
      <c r="K629" s="21" t="s">
        <v>53</v>
      </c>
      <c r="L629" s="177">
        <v>46132</v>
      </c>
      <c r="M629" s="20" t="s">
        <v>1445</v>
      </c>
      <c r="O629" s="5" t="s">
        <v>68</v>
      </c>
      <c r="Q629" s="5"/>
      <c r="T629" s="24">
        <v>46249</v>
      </c>
      <c r="X629" s="5" t="s">
        <v>170</v>
      </c>
      <c r="Y629" s="5">
        <v>4</v>
      </c>
      <c r="AD629" s="90" t="s">
        <v>599</v>
      </c>
      <c r="AE629" s="21"/>
      <c r="AF629" s="21"/>
      <c r="AH629" s="21"/>
      <c r="AM629" s="58"/>
      <c r="AN629" s="58"/>
      <c r="AR629" s="21"/>
    </row>
    <row r="630" spans="1:44" ht="18.649999999999999" customHeight="1">
      <c r="A630" s="20" t="s">
        <v>53</v>
      </c>
      <c r="D630" s="20" t="s">
        <v>48</v>
      </c>
      <c r="E630" s="22" t="s">
        <v>262</v>
      </c>
      <c r="F630" s="31">
        <v>1000013590</v>
      </c>
      <c r="G630" s="22" t="s">
        <v>263</v>
      </c>
      <c r="H630" s="30">
        <v>3021</v>
      </c>
      <c r="I630" s="61" t="s">
        <v>52</v>
      </c>
      <c r="J630" s="366" t="s">
        <v>1442</v>
      </c>
      <c r="K630" s="366" t="s">
        <v>1442</v>
      </c>
      <c r="L630" s="177" t="s">
        <v>53</v>
      </c>
      <c r="M630" s="20" t="s">
        <v>53</v>
      </c>
      <c r="O630" s="5" t="s">
        <v>68</v>
      </c>
      <c r="Q630" s="5"/>
      <c r="T630" s="24">
        <v>46266</v>
      </c>
      <c r="X630" s="5" t="s">
        <v>170</v>
      </c>
      <c r="Y630" s="5">
        <v>4</v>
      </c>
      <c r="AD630" s="90" t="s">
        <v>599</v>
      </c>
      <c r="AE630" s="21"/>
      <c r="AF630" s="21"/>
      <c r="AH630" s="21"/>
      <c r="AM630" s="58"/>
      <c r="AN630" s="58"/>
      <c r="AR630" s="21"/>
    </row>
    <row r="631" spans="1:44" ht="18.649999999999999" customHeight="1">
      <c r="A631" s="20" t="s">
        <v>53</v>
      </c>
      <c r="D631" s="20" t="s">
        <v>48</v>
      </c>
      <c r="E631" s="22" t="s">
        <v>262</v>
      </c>
      <c r="F631" s="31">
        <v>1000013590</v>
      </c>
      <c r="G631" s="22" t="s">
        <v>263</v>
      </c>
      <c r="H631" s="30">
        <v>2014</v>
      </c>
      <c r="I631" s="61" t="s">
        <v>52</v>
      </c>
      <c r="J631" s="366" t="s">
        <v>1442</v>
      </c>
      <c r="K631" s="366" t="s">
        <v>1442</v>
      </c>
      <c r="L631" s="177" t="s">
        <v>53</v>
      </c>
      <c r="M631" s="20" t="s">
        <v>53</v>
      </c>
      <c r="O631" s="5" t="s">
        <v>68</v>
      </c>
      <c r="Q631" s="5"/>
      <c r="T631" s="24">
        <v>46280</v>
      </c>
      <c r="X631" s="5" t="s">
        <v>170</v>
      </c>
      <c r="Y631" s="5">
        <v>4</v>
      </c>
      <c r="AD631" s="90" t="s">
        <v>599</v>
      </c>
      <c r="AE631" s="21"/>
      <c r="AF631" s="21"/>
      <c r="AH631" s="21"/>
      <c r="AM631" s="58"/>
      <c r="AN631" s="58"/>
      <c r="AR631" s="21"/>
    </row>
    <row r="632" spans="1:44" ht="18.649999999999999" customHeight="1">
      <c r="B632" s="355" t="s">
        <v>741</v>
      </c>
      <c r="C632" s="65" t="s">
        <v>53</v>
      </c>
      <c r="D632" s="48" t="s">
        <v>48</v>
      </c>
      <c r="E632" s="52" t="s">
        <v>418</v>
      </c>
      <c r="F632" s="49">
        <v>1000035381</v>
      </c>
      <c r="G632" s="107" t="s">
        <v>500</v>
      </c>
      <c r="H632" s="108">
        <v>540</v>
      </c>
      <c r="I632" s="108" t="s">
        <v>85</v>
      </c>
      <c r="J632" s="21" t="s">
        <v>53</v>
      </c>
      <c r="K632" s="33" t="s">
        <v>53</v>
      </c>
      <c r="L632" s="177">
        <v>46133</v>
      </c>
      <c r="M632" s="20" t="s">
        <v>1446</v>
      </c>
      <c r="N632" s="21" t="s">
        <v>53</v>
      </c>
      <c r="O632" s="30" t="s">
        <v>68</v>
      </c>
      <c r="Q632" s="21"/>
      <c r="T632" s="24">
        <v>46235</v>
      </c>
      <c r="X632" s="30" t="s">
        <v>309</v>
      </c>
      <c r="Y632" s="30">
        <v>1</v>
      </c>
      <c r="AD632" s="125" t="s">
        <v>59</v>
      </c>
      <c r="AE632" s="21"/>
      <c r="AF632" s="21"/>
      <c r="AG632" s="21"/>
      <c r="AH632" s="21"/>
      <c r="AM632" s="58"/>
      <c r="AN632" s="58"/>
      <c r="AR632" s="21"/>
    </row>
    <row r="633" spans="1:44" ht="18.649999999999999" customHeight="1">
      <c r="B633" s="355" t="s">
        <v>741</v>
      </c>
      <c r="D633" s="48" t="s">
        <v>99</v>
      </c>
      <c r="E633" s="49" t="s">
        <v>210</v>
      </c>
      <c r="F633" s="23">
        <v>2000010987</v>
      </c>
      <c r="G633" s="21" t="s">
        <v>222</v>
      </c>
      <c r="H633" s="5">
        <v>100</v>
      </c>
      <c r="I633" s="33" t="s">
        <v>212</v>
      </c>
      <c r="K633" s="5" t="s">
        <v>53</v>
      </c>
      <c r="L633" s="177">
        <v>46133</v>
      </c>
      <c r="M633" s="214" t="s">
        <v>1447</v>
      </c>
      <c r="N633" s="5">
        <v>80024148</v>
      </c>
      <c r="O633" s="5" t="s">
        <v>55</v>
      </c>
      <c r="Q633" s="20">
        <v>2443539910</v>
      </c>
      <c r="R633" s="20" t="s">
        <v>1417</v>
      </c>
      <c r="S633" s="5" t="s">
        <v>1417</v>
      </c>
      <c r="T633" s="24">
        <v>46143</v>
      </c>
      <c r="U633" s="137">
        <v>46135</v>
      </c>
      <c r="V633" s="137">
        <v>46136</v>
      </c>
      <c r="X633" s="5" t="s">
        <v>217</v>
      </c>
      <c r="Y633" s="5">
        <v>1</v>
      </c>
      <c r="AA633" s="137">
        <v>46135</v>
      </c>
      <c r="AB633" s="137">
        <v>46136</v>
      </c>
      <c r="AD633" s="5" t="s">
        <v>72</v>
      </c>
      <c r="AE633" s="21"/>
      <c r="AF633" s="137">
        <v>46136</v>
      </c>
      <c r="AG633" s="137">
        <v>46136</v>
      </c>
      <c r="AH633" s="65">
        <v>46136</v>
      </c>
      <c r="AI633" s="177">
        <v>46139</v>
      </c>
      <c r="AJ633" s="177"/>
      <c r="AK633" s="275">
        <v>46157</v>
      </c>
      <c r="AL633" s="327">
        <v>461.32</v>
      </c>
      <c r="AM633" s="58"/>
      <c r="AN633" s="58"/>
      <c r="AO633" s="21" t="s">
        <v>1419</v>
      </c>
    </row>
    <row r="634" spans="1:44" ht="18.649999999999999" customHeight="1">
      <c r="D634" s="20" t="s">
        <v>99</v>
      </c>
      <c r="E634" s="23" t="s">
        <v>1112</v>
      </c>
      <c r="F634" s="23">
        <v>2000021891</v>
      </c>
      <c r="G634" s="21" t="s">
        <v>1126</v>
      </c>
      <c r="H634" s="5">
        <f>135+10</f>
        <v>145</v>
      </c>
      <c r="I634" s="5" t="s">
        <v>1114</v>
      </c>
      <c r="L634" s="177">
        <v>46136</v>
      </c>
      <c r="M634" s="228" t="s">
        <v>1428</v>
      </c>
      <c r="N634" s="5" t="s">
        <v>1429</v>
      </c>
      <c r="O634" s="5" t="s">
        <v>189</v>
      </c>
      <c r="Q634" s="20" t="s">
        <v>1430</v>
      </c>
      <c r="R634" s="21" t="s">
        <v>1119</v>
      </c>
      <c r="S634" s="21" t="s">
        <v>1119</v>
      </c>
      <c r="T634" s="24">
        <v>46174</v>
      </c>
      <c r="U634" s="137">
        <v>46140</v>
      </c>
      <c r="V634" s="137">
        <v>46142</v>
      </c>
      <c r="X634" s="5" t="s">
        <v>217</v>
      </c>
      <c r="Y634" s="5">
        <v>1</v>
      </c>
      <c r="AA634" s="137">
        <v>46140</v>
      </c>
      <c r="AB634" s="137">
        <v>46142</v>
      </c>
      <c r="AD634" s="56" t="s">
        <v>72</v>
      </c>
      <c r="AE634" s="21"/>
      <c r="AF634" s="137">
        <v>46141</v>
      </c>
      <c r="AG634" s="137">
        <v>46141</v>
      </c>
      <c r="AK634" s="275">
        <v>46157</v>
      </c>
      <c r="AL634" s="338">
        <v>580</v>
      </c>
      <c r="AM634" s="58"/>
      <c r="AN634" s="58"/>
    </row>
    <row r="635" spans="1:44" ht="18.649999999999999" customHeight="1">
      <c r="D635" s="20" t="s">
        <v>275</v>
      </c>
      <c r="E635" s="22" t="s">
        <v>63</v>
      </c>
      <c r="F635" s="31">
        <v>1000031684</v>
      </c>
      <c r="G635" s="107" t="s">
        <v>100</v>
      </c>
      <c r="H635" s="108">
        <v>1760</v>
      </c>
      <c r="I635" s="108" t="s">
        <v>52</v>
      </c>
      <c r="J635" s="21" t="s">
        <v>1448</v>
      </c>
      <c r="K635" s="21" t="s">
        <v>53</v>
      </c>
      <c r="L635" s="177">
        <v>46141</v>
      </c>
      <c r="M635" s="20" t="s">
        <v>1449</v>
      </c>
      <c r="O635" s="20" t="s">
        <v>68</v>
      </c>
      <c r="T635" s="24">
        <v>46204</v>
      </c>
      <c r="X635" s="20" t="s">
        <v>58</v>
      </c>
      <c r="Y635" s="20">
        <v>1</v>
      </c>
      <c r="AD635" s="56" t="s">
        <v>72</v>
      </c>
      <c r="AE635" s="21"/>
      <c r="AM635" s="58"/>
      <c r="AN635" s="58"/>
    </row>
    <row r="636" spans="1:44" ht="18.5" customHeight="1">
      <c r="B636" s="355" t="s">
        <v>741</v>
      </c>
      <c r="D636" s="139" t="s">
        <v>81</v>
      </c>
      <c r="E636" s="149" t="s">
        <v>262</v>
      </c>
      <c r="F636" s="142" t="s">
        <v>299</v>
      </c>
      <c r="G636" s="22" t="s">
        <v>300</v>
      </c>
      <c r="H636" s="108">
        <v>6714</v>
      </c>
      <c r="I636" s="108" t="s">
        <v>85</v>
      </c>
      <c r="K636" s="5" t="s">
        <v>53</v>
      </c>
      <c r="L636" s="177">
        <v>46133</v>
      </c>
      <c r="M636" s="20" t="s">
        <v>1450</v>
      </c>
      <c r="O636" s="140" t="s">
        <v>68</v>
      </c>
      <c r="T636" s="24">
        <v>46174</v>
      </c>
      <c r="U636" s="405"/>
      <c r="V636" s="405"/>
      <c r="X636" s="5" t="s">
        <v>309</v>
      </c>
      <c r="Y636" s="5">
        <v>5</v>
      </c>
      <c r="AD636" s="414" t="s">
        <v>59</v>
      </c>
      <c r="AE636" s="21"/>
      <c r="AM636" s="58"/>
      <c r="AN636" s="58"/>
    </row>
    <row r="637" spans="1:44" s="244" customFormat="1" ht="18.649999999999999" customHeight="1">
      <c r="A637" s="239"/>
      <c r="B637" s="239"/>
      <c r="C637" s="245">
        <v>46156</v>
      </c>
      <c r="D637" s="239" t="s">
        <v>275</v>
      </c>
      <c r="E637" s="241" t="s">
        <v>319</v>
      </c>
      <c r="F637" s="241">
        <v>1000030433</v>
      </c>
      <c r="G637" s="240" t="s">
        <v>320</v>
      </c>
      <c r="H637" s="243">
        <v>693</v>
      </c>
      <c r="I637" s="243" t="s">
        <v>85</v>
      </c>
      <c r="K637" s="189"/>
      <c r="L637" s="177">
        <v>46132</v>
      </c>
      <c r="M637" s="239" t="s">
        <v>1451</v>
      </c>
      <c r="N637" s="189"/>
      <c r="O637" s="189" t="s">
        <v>189</v>
      </c>
      <c r="Q637" s="239"/>
      <c r="R637" s="239"/>
      <c r="S637" s="189"/>
      <c r="T637" s="309">
        <v>46174</v>
      </c>
      <c r="U637" s="310">
        <v>46161</v>
      </c>
      <c r="V637" s="310">
        <v>46169</v>
      </c>
      <c r="X637" s="189" t="s">
        <v>123</v>
      </c>
      <c r="Y637" s="189">
        <v>0.5</v>
      </c>
      <c r="AA637" s="239"/>
      <c r="AB637" s="239"/>
      <c r="AD637" s="311" t="s">
        <v>72</v>
      </c>
      <c r="AF637" s="189"/>
      <c r="AG637" s="189"/>
      <c r="AH637" s="239"/>
      <c r="AK637" s="313">
        <v>46157</v>
      </c>
      <c r="AL637" s="363">
        <v>138600</v>
      </c>
      <c r="AM637" s="315"/>
      <c r="AN637" s="316"/>
      <c r="AR637" s="189"/>
    </row>
    <row r="638" spans="1:44" s="244" customFormat="1" ht="18.649999999999999" customHeight="1">
      <c r="A638" s="239"/>
      <c r="B638" s="239"/>
      <c r="D638" s="239" t="s">
        <v>275</v>
      </c>
      <c r="E638" s="241" t="s">
        <v>319</v>
      </c>
      <c r="F638" s="241">
        <v>1000024287</v>
      </c>
      <c r="G638" s="240" t="s">
        <v>326</v>
      </c>
      <c r="H638" s="243">
        <v>567</v>
      </c>
      <c r="I638" s="243" t="s">
        <v>85</v>
      </c>
      <c r="K638" s="189"/>
      <c r="L638" s="177">
        <v>46132</v>
      </c>
      <c r="M638" s="239" t="s">
        <v>1451</v>
      </c>
      <c r="N638" s="189"/>
      <c r="O638" s="189" t="s">
        <v>189</v>
      </c>
      <c r="Q638" s="239"/>
      <c r="R638" s="239"/>
      <c r="S638" s="189"/>
      <c r="T638" s="309">
        <v>46174</v>
      </c>
      <c r="U638" s="310">
        <v>46161</v>
      </c>
      <c r="V638" s="310">
        <v>46169</v>
      </c>
      <c r="X638" s="189" t="s">
        <v>123</v>
      </c>
      <c r="Y638" s="189">
        <v>0.5</v>
      </c>
      <c r="AA638" s="239"/>
      <c r="AB638" s="239"/>
      <c r="AD638" s="311" t="s">
        <v>72</v>
      </c>
      <c r="AF638" s="189"/>
      <c r="AG638" s="189"/>
      <c r="AH638" s="239"/>
      <c r="AK638" s="313">
        <v>46157</v>
      </c>
      <c r="AL638" s="363">
        <v>113400</v>
      </c>
      <c r="AM638" s="315"/>
      <c r="AN638" s="316"/>
      <c r="AR638" s="189"/>
    </row>
    <row r="639" spans="1:44" s="244" customFormat="1" ht="18.649999999999999" customHeight="1">
      <c r="A639" s="239"/>
      <c r="B639" s="239"/>
      <c r="D639" s="239" t="s">
        <v>275</v>
      </c>
      <c r="E639" s="241" t="s">
        <v>319</v>
      </c>
      <c r="F639" s="241">
        <v>2000024605</v>
      </c>
      <c r="G639" s="240" t="s">
        <v>1452</v>
      </c>
      <c r="H639" s="243">
        <v>20</v>
      </c>
      <c r="I639" s="243" t="s">
        <v>239</v>
      </c>
      <c r="K639" s="189"/>
      <c r="L639" s="177">
        <v>46132</v>
      </c>
      <c r="M639" s="239" t="s">
        <v>1451</v>
      </c>
      <c r="N639" s="189"/>
      <c r="O639" s="189" t="s">
        <v>189</v>
      </c>
      <c r="Q639" s="239"/>
      <c r="R639" s="239"/>
      <c r="S639" s="189"/>
      <c r="T639" s="309">
        <v>46174</v>
      </c>
      <c r="U639" s="310">
        <v>46161</v>
      </c>
      <c r="V639" s="310">
        <v>46169</v>
      </c>
      <c r="X639" s="189" t="s">
        <v>123</v>
      </c>
      <c r="Y639" s="189">
        <v>0.5</v>
      </c>
      <c r="AA639" s="239"/>
      <c r="AB639" s="239"/>
      <c r="AD639" s="311" t="s">
        <v>72</v>
      </c>
      <c r="AF639" s="189"/>
      <c r="AG639" s="189"/>
      <c r="AH639" s="239"/>
      <c r="AK639" s="313">
        <v>46157</v>
      </c>
      <c r="AL639" s="314">
        <v>180</v>
      </c>
      <c r="AM639" s="315"/>
      <c r="AN639" s="316"/>
      <c r="AR639" s="189"/>
    </row>
    <row r="640" spans="1:44" s="244" customFormat="1" ht="18.649999999999999" customHeight="1">
      <c r="A640" s="239"/>
      <c r="B640" s="239"/>
      <c r="D640" s="239" t="s">
        <v>275</v>
      </c>
      <c r="E640" s="241" t="s">
        <v>319</v>
      </c>
      <c r="F640" s="241">
        <v>2000023239</v>
      </c>
      <c r="G640" s="242" t="s">
        <v>332</v>
      </c>
      <c r="H640" s="243">
        <v>5</v>
      </c>
      <c r="I640" s="243" t="s">
        <v>239</v>
      </c>
      <c r="K640" s="189"/>
      <c r="L640" s="177">
        <v>46132</v>
      </c>
      <c r="M640" s="239" t="s">
        <v>1451</v>
      </c>
      <c r="N640" s="189"/>
      <c r="O640" s="189" t="s">
        <v>189</v>
      </c>
      <c r="Q640" s="239"/>
      <c r="R640" s="239"/>
      <c r="S640" s="189"/>
      <c r="T640" s="309">
        <v>46174</v>
      </c>
      <c r="U640" s="310">
        <v>46161</v>
      </c>
      <c r="V640" s="310">
        <v>46169</v>
      </c>
      <c r="X640" s="189" t="s">
        <v>123</v>
      </c>
      <c r="Y640" s="189">
        <v>0.5</v>
      </c>
      <c r="AA640" s="239"/>
      <c r="AB640" s="239"/>
      <c r="AD640" s="311" t="s">
        <v>72</v>
      </c>
      <c r="AF640" s="189"/>
      <c r="AG640" s="189"/>
      <c r="AH640" s="239"/>
      <c r="AK640" s="313">
        <v>46157</v>
      </c>
      <c r="AL640" s="314">
        <v>52.5</v>
      </c>
      <c r="AM640" s="315"/>
      <c r="AN640" s="316"/>
      <c r="AR640" s="189"/>
    </row>
    <row r="641" spans="1:44" s="244" customFormat="1" ht="18.649999999999999" customHeight="1">
      <c r="A641" s="239"/>
      <c r="B641" s="239"/>
      <c r="D641" s="239" t="s">
        <v>275</v>
      </c>
      <c r="E641" s="241" t="s">
        <v>319</v>
      </c>
      <c r="F641" s="241">
        <v>2000023499</v>
      </c>
      <c r="G641" s="242" t="s">
        <v>333</v>
      </c>
      <c r="H641" s="243">
        <v>100</v>
      </c>
      <c r="I641" s="243" t="s">
        <v>239</v>
      </c>
      <c r="K641" s="189"/>
      <c r="L641" s="177">
        <v>46132</v>
      </c>
      <c r="M641" s="239" t="s">
        <v>1451</v>
      </c>
      <c r="N641" s="189"/>
      <c r="O641" s="189" t="s">
        <v>189</v>
      </c>
      <c r="Q641" s="239"/>
      <c r="R641" s="239"/>
      <c r="S641" s="189"/>
      <c r="T641" s="309">
        <v>46174</v>
      </c>
      <c r="U641" s="310">
        <v>46161</v>
      </c>
      <c r="V641" s="310">
        <v>46169</v>
      </c>
      <c r="X641" s="189" t="s">
        <v>123</v>
      </c>
      <c r="Y641" s="189">
        <v>0.5</v>
      </c>
      <c r="AA641" s="239"/>
      <c r="AB641" s="239"/>
      <c r="AD641" s="311" t="s">
        <v>72</v>
      </c>
      <c r="AF641" s="189"/>
      <c r="AG641" s="189"/>
      <c r="AH641" s="239"/>
      <c r="AK641" s="313">
        <v>46157</v>
      </c>
      <c r="AL641" s="314">
        <v>200</v>
      </c>
      <c r="AM641" s="315"/>
      <c r="AN641" s="316"/>
      <c r="AR641" s="189"/>
    </row>
    <row r="642" spans="1:44" ht="18.649999999999999" customHeight="1">
      <c r="D642" s="20" t="s">
        <v>99</v>
      </c>
      <c r="E642" s="22" t="s">
        <v>1043</v>
      </c>
      <c r="F642" s="23">
        <v>1000038007</v>
      </c>
      <c r="G642" s="21" t="s">
        <v>1044</v>
      </c>
      <c r="H642" s="5" t="s">
        <v>1453</v>
      </c>
      <c r="I642" s="48" t="s">
        <v>85</v>
      </c>
      <c r="J642" s="21" t="s">
        <v>927</v>
      </c>
      <c r="K642" s="5" t="s">
        <v>1454</v>
      </c>
      <c r="O642" s="5" t="s">
        <v>55</v>
      </c>
      <c r="T642" s="24">
        <v>46204</v>
      </c>
      <c r="X642" s="5" t="s">
        <v>309</v>
      </c>
      <c r="Y642" s="5">
        <v>0.5</v>
      </c>
      <c r="AD642" s="56" t="s">
        <v>72</v>
      </c>
      <c r="AE642" s="21"/>
      <c r="AJ642" s="319"/>
      <c r="AK642" s="365"/>
      <c r="AL642" s="319"/>
    </row>
    <row r="643" spans="1:44" ht="18.5" customHeight="1">
      <c r="D643" s="20" t="s">
        <v>99</v>
      </c>
      <c r="E643" s="22" t="s">
        <v>1043</v>
      </c>
      <c r="F643" s="23">
        <v>1000038017</v>
      </c>
      <c r="G643" s="21" t="s">
        <v>1047</v>
      </c>
      <c r="H643" s="5" t="s">
        <v>1455</v>
      </c>
      <c r="I643" s="48" t="s">
        <v>85</v>
      </c>
      <c r="J643" s="21" t="s">
        <v>927</v>
      </c>
      <c r="K643" s="5" t="s">
        <v>1454</v>
      </c>
      <c r="O643" s="5" t="s">
        <v>55</v>
      </c>
      <c r="T643" s="24">
        <v>46204</v>
      </c>
      <c r="X643" s="5" t="s">
        <v>309</v>
      </c>
      <c r="Y643" s="5">
        <v>0.5</v>
      </c>
      <c r="AD643" s="56" t="s">
        <v>72</v>
      </c>
      <c r="AE643" s="21"/>
    </row>
    <row r="644" spans="1:44" ht="18.649999999999999" customHeight="1">
      <c r="D644" s="20" t="s">
        <v>48</v>
      </c>
      <c r="E644" s="22" t="s">
        <v>1456</v>
      </c>
      <c r="F644" s="23">
        <v>2000003026</v>
      </c>
      <c r="G644" s="21" t="s">
        <v>1457</v>
      </c>
      <c r="H644" s="5">
        <v>44</v>
      </c>
      <c r="I644" s="5" t="s">
        <v>239</v>
      </c>
      <c r="L644" s="177">
        <v>46139</v>
      </c>
      <c r="M644" s="20" t="s">
        <v>1458</v>
      </c>
      <c r="O644" s="5" t="s">
        <v>150</v>
      </c>
      <c r="T644" s="24">
        <v>46235</v>
      </c>
      <c r="X644" s="5" t="s">
        <v>209</v>
      </c>
      <c r="Y644" s="5">
        <v>0.5</v>
      </c>
      <c r="AD644" s="5" t="s">
        <v>430</v>
      </c>
      <c r="AE644" s="21"/>
      <c r="AK644" s="275">
        <v>46157</v>
      </c>
      <c r="AL644" s="338">
        <v>137.72</v>
      </c>
    </row>
    <row r="645" spans="1:44" ht="18.649999999999999" customHeight="1">
      <c r="D645" s="20" t="s">
        <v>48</v>
      </c>
      <c r="E645" s="22" t="s">
        <v>1456</v>
      </c>
      <c r="F645" s="23">
        <v>2000006566</v>
      </c>
      <c r="G645" s="21" t="s">
        <v>1459</v>
      </c>
      <c r="H645" s="5">
        <v>44</v>
      </c>
      <c r="I645" s="5" t="s">
        <v>239</v>
      </c>
      <c r="L645" s="177">
        <v>46139</v>
      </c>
      <c r="M645" s="20" t="s">
        <v>1458</v>
      </c>
      <c r="O645" s="5" t="s">
        <v>150</v>
      </c>
      <c r="T645" s="24">
        <v>46235</v>
      </c>
      <c r="X645" s="5" t="s">
        <v>209</v>
      </c>
      <c r="Y645" s="5">
        <v>0.5</v>
      </c>
      <c r="AD645" s="5" t="s">
        <v>430</v>
      </c>
      <c r="AE645" s="21"/>
      <c r="AK645" s="275">
        <v>46157</v>
      </c>
      <c r="AL645" s="338">
        <v>137.72</v>
      </c>
    </row>
    <row r="646" spans="1:44" ht="18.649999999999999" customHeight="1">
      <c r="D646" s="20" t="s">
        <v>48</v>
      </c>
      <c r="E646" s="22" t="s">
        <v>1456</v>
      </c>
      <c r="F646" s="23">
        <v>2000010031</v>
      </c>
      <c r="G646" s="21" t="s">
        <v>1460</v>
      </c>
      <c r="H646" s="5">
        <v>100</v>
      </c>
      <c r="I646" s="5" t="s">
        <v>239</v>
      </c>
      <c r="L646" s="177">
        <v>46139</v>
      </c>
      <c r="M646" s="20" t="s">
        <v>1458</v>
      </c>
      <c r="O646" s="5" t="s">
        <v>150</v>
      </c>
      <c r="T646" s="24">
        <v>46235</v>
      </c>
      <c r="X646" s="5" t="s">
        <v>209</v>
      </c>
      <c r="Y646" s="5">
        <v>0.5</v>
      </c>
      <c r="AD646" s="5" t="s">
        <v>430</v>
      </c>
      <c r="AE646" s="21"/>
      <c r="AK646" s="275">
        <v>46157</v>
      </c>
      <c r="AL646" s="338">
        <v>275.5</v>
      </c>
    </row>
    <row r="647" spans="1:44" ht="18.649999999999999" customHeight="1">
      <c r="D647" s="20" t="s">
        <v>48</v>
      </c>
      <c r="E647" s="22" t="s">
        <v>1456</v>
      </c>
      <c r="F647" s="23">
        <v>2000012789</v>
      </c>
      <c r="G647" s="21" t="s">
        <v>1461</v>
      </c>
      <c r="H647" s="5">
        <v>100</v>
      </c>
      <c r="I647" s="5" t="s">
        <v>239</v>
      </c>
      <c r="L647" s="177">
        <v>46139</v>
      </c>
      <c r="M647" s="20" t="s">
        <v>1458</v>
      </c>
      <c r="O647" s="5" t="s">
        <v>150</v>
      </c>
      <c r="T647" s="24">
        <v>46235</v>
      </c>
      <c r="X647" s="5" t="s">
        <v>209</v>
      </c>
      <c r="Y647" s="5">
        <v>0.5</v>
      </c>
      <c r="AD647" s="5" t="s">
        <v>430</v>
      </c>
      <c r="AE647" s="21"/>
      <c r="AK647" s="275">
        <v>46157</v>
      </c>
      <c r="AL647" s="338">
        <v>275.5</v>
      </c>
    </row>
    <row r="648" spans="1:44" ht="18.649999999999999" customHeight="1">
      <c r="D648" s="20" t="s">
        <v>48</v>
      </c>
      <c r="E648" s="22" t="s">
        <v>1456</v>
      </c>
      <c r="F648" s="23">
        <v>2000009807</v>
      </c>
      <c r="G648" s="21" t="s">
        <v>1462</v>
      </c>
      <c r="H648" s="5">
        <v>50</v>
      </c>
      <c r="I648" s="5" t="s">
        <v>239</v>
      </c>
      <c r="L648" s="177">
        <v>46139</v>
      </c>
      <c r="M648" s="20" t="s">
        <v>1458</v>
      </c>
      <c r="O648" s="5" t="s">
        <v>150</v>
      </c>
      <c r="T648" s="24">
        <v>46235</v>
      </c>
      <c r="X648" s="5" t="s">
        <v>209</v>
      </c>
      <c r="Y648" s="5">
        <v>0.5</v>
      </c>
      <c r="AD648" s="5" t="s">
        <v>430</v>
      </c>
      <c r="AE648" s="21"/>
      <c r="AK648" s="275">
        <v>46157</v>
      </c>
      <c r="AL648" s="338">
        <v>137.75</v>
      </c>
    </row>
    <row r="649" spans="1:44" ht="18.649999999999999" customHeight="1">
      <c r="D649" s="20" t="s">
        <v>48</v>
      </c>
      <c r="E649" s="22" t="s">
        <v>1456</v>
      </c>
      <c r="F649" s="23">
        <v>2000005450</v>
      </c>
      <c r="G649" s="21" t="s">
        <v>1463</v>
      </c>
      <c r="H649" s="5">
        <v>80</v>
      </c>
      <c r="I649" s="5" t="s">
        <v>239</v>
      </c>
      <c r="L649" s="177">
        <v>46139</v>
      </c>
      <c r="M649" s="20" t="s">
        <v>1458</v>
      </c>
      <c r="O649" s="5" t="s">
        <v>150</v>
      </c>
      <c r="T649" s="24">
        <v>46235</v>
      </c>
      <c r="X649" s="5" t="s">
        <v>209</v>
      </c>
      <c r="Y649" s="5">
        <v>0.5</v>
      </c>
      <c r="AD649" s="5" t="s">
        <v>430</v>
      </c>
      <c r="AE649" s="21"/>
      <c r="AK649" s="275">
        <v>46157</v>
      </c>
      <c r="AL649" s="338">
        <v>202</v>
      </c>
    </row>
    <row r="650" spans="1:44" ht="18.649999999999999" customHeight="1">
      <c r="D650" s="20" t="s">
        <v>48</v>
      </c>
      <c r="E650" s="22" t="s">
        <v>1456</v>
      </c>
      <c r="F650" s="23">
        <v>2000007174</v>
      </c>
      <c r="G650" s="21" t="s">
        <v>1464</v>
      </c>
      <c r="H650" s="5">
        <v>200</v>
      </c>
      <c r="I650" s="5" t="s">
        <v>239</v>
      </c>
      <c r="L650" s="177">
        <v>46139</v>
      </c>
      <c r="M650" s="20" t="s">
        <v>1458</v>
      </c>
      <c r="O650" s="5" t="s">
        <v>150</v>
      </c>
      <c r="T650" s="24">
        <v>46235</v>
      </c>
      <c r="X650" s="5" t="s">
        <v>209</v>
      </c>
      <c r="Y650" s="5">
        <v>0.5</v>
      </c>
      <c r="AD650" s="5" t="s">
        <v>430</v>
      </c>
      <c r="AE650" s="21"/>
      <c r="AK650" s="275">
        <v>46157</v>
      </c>
      <c r="AL650" s="338">
        <v>505</v>
      </c>
    </row>
    <row r="651" spans="1:44" ht="18.649999999999999" customHeight="1">
      <c r="D651" s="20" t="s">
        <v>48</v>
      </c>
      <c r="E651" s="22" t="s">
        <v>1456</v>
      </c>
      <c r="F651" s="23">
        <v>2000015099</v>
      </c>
      <c r="G651" s="21" t="s">
        <v>1465</v>
      </c>
      <c r="H651" s="5">
        <v>180</v>
      </c>
      <c r="I651" s="5" t="s">
        <v>239</v>
      </c>
      <c r="L651" s="177">
        <v>46139</v>
      </c>
      <c r="M651" s="20" t="s">
        <v>1458</v>
      </c>
      <c r="O651" s="5" t="s">
        <v>150</v>
      </c>
      <c r="T651" s="24">
        <v>46235</v>
      </c>
      <c r="X651" s="5" t="s">
        <v>209</v>
      </c>
      <c r="Y651" s="5">
        <v>0.5</v>
      </c>
      <c r="AD651" s="5" t="s">
        <v>430</v>
      </c>
      <c r="AE651" s="21"/>
      <c r="AK651" s="275">
        <v>46157</v>
      </c>
      <c r="AL651" s="338">
        <v>454.5</v>
      </c>
    </row>
    <row r="652" spans="1:44" ht="18.649999999999999" customHeight="1">
      <c r="D652" s="20" t="s">
        <v>48</v>
      </c>
      <c r="E652" s="22" t="s">
        <v>1456</v>
      </c>
      <c r="F652" s="23">
        <v>2000013692</v>
      </c>
      <c r="G652" s="21" t="s">
        <v>1466</v>
      </c>
      <c r="H652" s="5">
        <v>360</v>
      </c>
      <c r="I652" s="5" t="s">
        <v>239</v>
      </c>
      <c r="L652" s="177">
        <v>46139</v>
      </c>
      <c r="M652" s="20" t="s">
        <v>1458</v>
      </c>
      <c r="O652" s="5" t="s">
        <v>150</v>
      </c>
      <c r="T652" s="24">
        <v>46235</v>
      </c>
      <c r="X652" s="5" t="s">
        <v>209</v>
      </c>
      <c r="Y652" s="5">
        <v>0.5</v>
      </c>
      <c r="AD652" s="5" t="s">
        <v>430</v>
      </c>
      <c r="AE652" s="21"/>
      <c r="AK652" s="275">
        <v>46157</v>
      </c>
      <c r="AL652" s="338">
        <v>909</v>
      </c>
    </row>
    <row r="653" spans="1:44" ht="18.649999999999999" customHeight="1">
      <c r="D653" s="20" t="s">
        <v>48</v>
      </c>
      <c r="E653" s="22" t="s">
        <v>1456</v>
      </c>
      <c r="F653" s="23">
        <v>2000005388</v>
      </c>
      <c r="G653" s="21" t="s">
        <v>1467</v>
      </c>
      <c r="H653" s="5">
        <v>180</v>
      </c>
      <c r="I653" s="5" t="s">
        <v>239</v>
      </c>
      <c r="L653" s="177">
        <v>46139</v>
      </c>
      <c r="M653" s="20" t="s">
        <v>1458</v>
      </c>
      <c r="O653" s="5" t="s">
        <v>150</v>
      </c>
      <c r="T653" s="24">
        <v>46235</v>
      </c>
      <c r="X653" s="5" t="s">
        <v>209</v>
      </c>
      <c r="Y653" s="5">
        <v>0.5</v>
      </c>
      <c r="AD653" s="5" t="s">
        <v>430</v>
      </c>
      <c r="AE653" s="21"/>
      <c r="AK653" s="275">
        <v>46157</v>
      </c>
      <c r="AL653" s="338">
        <v>454.5</v>
      </c>
    </row>
    <row r="654" spans="1:44" ht="18.649999999999999" customHeight="1">
      <c r="D654" s="20" t="s">
        <v>48</v>
      </c>
      <c r="E654" s="22" t="s">
        <v>1456</v>
      </c>
      <c r="F654" s="439">
        <v>2000014016</v>
      </c>
      <c r="G654" s="21" t="s">
        <v>441</v>
      </c>
      <c r="H654" s="5">
        <v>525</v>
      </c>
      <c r="I654" s="5" t="s">
        <v>239</v>
      </c>
      <c r="L654" s="177">
        <v>46139</v>
      </c>
      <c r="M654" s="20" t="s">
        <v>1458</v>
      </c>
      <c r="O654" s="5" t="s">
        <v>150</v>
      </c>
      <c r="T654" s="24">
        <v>46235</v>
      </c>
      <c r="X654" s="5" t="s">
        <v>209</v>
      </c>
      <c r="Y654" s="5">
        <v>0.5</v>
      </c>
      <c r="AD654" s="5" t="s">
        <v>430</v>
      </c>
      <c r="AE654" s="21"/>
      <c r="AK654" s="275">
        <v>46157</v>
      </c>
      <c r="AL654" s="338">
        <v>430.5</v>
      </c>
    </row>
    <row r="655" spans="1:44" ht="18.649999999999999" customHeight="1">
      <c r="D655" s="20" t="s">
        <v>48</v>
      </c>
      <c r="E655" s="22" t="s">
        <v>1456</v>
      </c>
      <c r="F655" s="23">
        <v>2000015987</v>
      </c>
      <c r="G655" s="21" t="s">
        <v>458</v>
      </c>
      <c r="H655" s="5">
        <v>160</v>
      </c>
      <c r="I655" s="5" t="s">
        <v>239</v>
      </c>
      <c r="L655" s="177">
        <v>46139</v>
      </c>
      <c r="M655" s="20" t="s">
        <v>1458</v>
      </c>
      <c r="O655" s="5" t="s">
        <v>150</v>
      </c>
      <c r="T655" s="24">
        <v>46235</v>
      </c>
      <c r="X655" s="5" t="s">
        <v>209</v>
      </c>
      <c r="Y655" s="5">
        <v>0.5</v>
      </c>
      <c r="AD655" s="5" t="s">
        <v>430</v>
      </c>
      <c r="AE655" s="21"/>
      <c r="AK655" s="275">
        <v>46157</v>
      </c>
      <c r="AL655" s="338">
        <v>122.4</v>
      </c>
    </row>
    <row r="656" spans="1:44" ht="18.649999999999999" customHeight="1">
      <c r="D656" s="20" t="s">
        <v>48</v>
      </c>
      <c r="E656" s="22" t="s">
        <v>1456</v>
      </c>
      <c r="F656" s="23">
        <v>2000011668</v>
      </c>
      <c r="G656" s="21" t="s">
        <v>459</v>
      </c>
      <c r="H656" s="5">
        <v>270</v>
      </c>
      <c r="I656" s="5" t="s">
        <v>239</v>
      </c>
      <c r="L656" s="177">
        <v>46139</v>
      </c>
      <c r="M656" s="20" t="s">
        <v>1458</v>
      </c>
      <c r="O656" s="5" t="s">
        <v>150</v>
      </c>
      <c r="T656" s="24">
        <v>46235</v>
      </c>
      <c r="X656" s="5" t="s">
        <v>209</v>
      </c>
      <c r="Y656" s="5">
        <v>0.5</v>
      </c>
      <c r="AD656" s="5" t="s">
        <v>430</v>
      </c>
      <c r="AE656" s="21"/>
      <c r="AK656" s="275">
        <v>46157</v>
      </c>
      <c r="AL656" s="338">
        <v>206.55</v>
      </c>
    </row>
    <row r="657" spans="4:40" ht="18.649999999999999" customHeight="1">
      <c r="D657" s="20" t="s">
        <v>48</v>
      </c>
      <c r="E657" s="22" t="s">
        <v>1456</v>
      </c>
      <c r="F657" s="23">
        <v>2000006551</v>
      </c>
      <c r="G657" s="21" t="s">
        <v>453</v>
      </c>
      <c r="H657" s="5">
        <v>1500</v>
      </c>
      <c r="I657" s="5" t="s">
        <v>239</v>
      </c>
      <c r="L657" s="177">
        <v>46139</v>
      </c>
      <c r="M657" s="20" t="s">
        <v>1458</v>
      </c>
      <c r="O657" s="5" t="s">
        <v>150</v>
      </c>
      <c r="T657" s="24">
        <v>46235</v>
      </c>
      <c r="X657" s="5" t="s">
        <v>209</v>
      </c>
      <c r="Y657" s="5">
        <v>0.5</v>
      </c>
      <c r="AD657" s="5" t="s">
        <v>430</v>
      </c>
      <c r="AE657" s="21"/>
      <c r="AK657" s="275">
        <v>46157</v>
      </c>
      <c r="AL657" s="338">
        <v>645</v>
      </c>
    </row>
    <row r="658" spans="4:40" ht="18.649999999999999" customHeight="1">
      <c r="D658" s="48" t="s">
        <v>48</v>
      </c>
      <c r="E658" s="52" t="s">
        <v>171</v>
      </c>
      <c r="F658" s="49">
        <v>1000036622</v>
      </c>
      <c r="G658" s="22" t="s">
        <v>182</v>
      </c>
      <c r="H658" s="5">
        <v>1000</v>
      </c>
      <c r="I658" s="108" t="s">
        <v>52</v>
      </c>
      <c r="J658" s="21" t="s">
        <v>1468</v>
      </c>
      <c r="N658" s="5" t="s">
        <v>1469</v>
      </c>
      <c r="O658" s="5" t="s">
        <v>176</v>
      </c>
      <c r="Q658" s="20" t="s">
        <v>1470</v>
      </c>
      <c r="R658" s="20" t="s">
        <v>178</v>
      </c>
      <c r="S658" s="5" t="s">
        <v>471</v>
      </c>
      <c r="T658" s="24">
        <v>46202</v>
      </c>
      <c r="U658" s="137">
        <v>46187</v>
      </c>
      <c r="V658" s="137">
        <v>46202</v>
      </c>
      <c r="X658" s="30" t="s">
        <v>58</v>
      </c>
      <c r="Y658" s="5">
        <v>1</v>
      </c>
      <c r="AA658" s="137">
        <v>46188</v>
      </c>
      <c r="AB658" s="137">
        <v>46202</v>
      </c>
      <c r="AD658" s="56" t="s">
        <v>72</v>
      </c>
      <c r="AE658" s="21"/>
      <c r="AM658" s="58"/>
      <c r="AN658" s="58"/>
    </row>
    <row r="659" spans="4:40" ht="18.649999999999999" customHeight="1">
      <c r="D659" s="48" t="s">
        <v>48</v>
      </c>
      <c r="E659" s="52" t="s">
        <v>171</v>
      </c>
      <c r="F659" s="49">
        <v>1000022205</v>
      </c>
      <c r="G659" s="22" t="s">
        <v>181</v>
      </c>
      <c r="H659" s="5">
        <v>730</v>
      </c>
      <c r="I659" s="108" t="s">
        <v>52</v>
      </c>
      <c r="J659" s="21" t="s">
        <v>1471</v>
      </c>
      <c r="O659" s="5" t="s">
        <v>176</v>
      </c>
      <c r="T659" s="24">
        <v>46223</v>
      </c>
      <c r="X659" s="30" t="s">
        <v>58</v>
      </c>
      <c r="Y659" s="5">
        <v>0.5</v>
      </c>
      <c r="AD659" s="56" t="s">
        <v>72</v>
      </c>
      <c r="AE659" s="21"/>
      <c r="AM659" s="58"/>
      <c r="AN659" s="58"/>
    </row>
    <row r="660" spans="4:40" ht="18.649999999999999" customHeight="1">
      <c r="D660" s="48" t="s">
        <v>48</v>
      </c>
      <c r="E660" s="52" t="s">
        <v>171</v>
      </c>
      <c r="F660" s="49">
        <v>1000036622</v>
      </c>
      <c r="G660" s="22" t="s">
        <v>182</v>
      </c>
      <c r="H660" s="5">
        <v>700</v>
      </c>
      <c r="I660" s="108" t="s">
        <v>52</v>
      </c>
      <c r="J660" s="21" t="s">
        <v>1471</v>
      </c>
      <c r="O660" s="5" t="s">
        <v>176</v>
      </c>
      <c r="T660" s="24">
        <v>46223</v>
      </c>
      <c r="X660" s="30" t="s">
        <v>58</v>
      </c>
      <c r="Y660" s="5">
        <v>0.5</v>
      </c>
      <c r="AD660" s="56" t="s">
        <v>72</v>
      </c>
      <c r="AE660" s="21"/>
      <c r="AM660" s="58"/>
      <c r="AN660" s="58"/>
    </row>
    <row r="661" spans="4:40" ht="18.649999999999999" customHeight="1">
      <c r="D661" s="48" t="s">
        <v>48</v>
      </c>
      <c r="E661" s="52" t="s">
        <v>171</v>
      </c>
      <c r="F661" s="49">
        <v>1000011836</v>
      </c>
      <c r="G661" s="22" t="s">
        <v>172</v>
      </c>
      <c r="H661" s="5">
        <v>200</v>
      </c>
      <c r="I661" s="108" t="s">
        <v>52</v>
      </c>
      <c r="J661" s="21" t="s">
        <v>1472</v>
      </c>
      <c r="O661" s="5" t="s">
        <v>176</v>
      </c>
      <c r="T661" s="24">
        <v>46230</v>
      </c>
      <c r="X661" s="30" t="s">
        <v>58</v>
      </c>
      <c r="Y661" s="5">
        <v>0.5</v>
      </c>
      <c r="AD661" s="56" t="s">
        <v>72</v>
      </c>
      <c r="AE661" s="21"/>
      <c r="AM661" s="58"/>
      <c r="AN661" s="58"/>
    </row>
    <row r="662" spans="4:40" ht="18.649999999999999" customHeight="1">
      <c r="D662" s="48" t="s">
        <v>48</v>
      </c>
      <c r="E662" s="52" t="s">
        <v>171</v>
      </c>
      <c r="F662" s="49">
        <v>1000022205</v>
      </c>
      <c r="G662" s="22" t="s">
        <v>181</v>
      </c>
      <c r="H662" s="5">
        <v>550</v>
      </c>
      <c r="I662" s="108" t="s">
        <v>52</v>
      </c>
      <c r="J662" s="21" t="s">
        <v>1472</v>
      </c>
      <c r="O662" s="5" t="s">
        <v>176</v>
      </c>
      <c r="T662" s="24">
        <v>46230</v>
      </c>
      <c r="X662" s="30" t="s">
        <v>58</v>
      </c>
      <c r="Y662" s="5">
        <v>0.5</v>
      </c>
      <c r="AD662" s="56" t="s">
        <v>72</v>
      </c>
      <c r="AE662" s="21"/>
      <c r="AM662" s="58"/>
      <c r="AN662" s="58"/>
    </row>
    <row r="663" spans="4:40" ht="18.649999999999999" customHeight="1">
      <c r="D663" s="48" t="s">
        <v>48</v>
      </c>
      <c r="E663" s="52" t="s">
        <v>171</v>
      </c>
      <c r="F663" s="49">
        <v>1000036622</v>
      </c>
      <c r="G663" s="22" t="s">
        <v>182</v>
      </c>
      <c r="H663" s="5">
        <v>680</v>
      </c>
      <c r="I663" s="108" t="s">
        <v>52</v>
      </c>
      <c r="J663" s="21" t="s">
        <v>1472</v>
      </c>
      <c r="O663" s="5" t="s">
        <v>176</v>
      </c>
      <c r="T663" s="24">
        <v>46230</v>
      </c>
      <c r="X663" s="30" t="s">
        <v>58</v>
      </c>
      <c r="Y663" s="5">
        <v>0.5</v>
      </c>
      <c r="AD663" s="56" t="s">
        <v>72</v>
      </c>
      <c r="AE663" s="21"/>
      <c r="AM663" s="58"/>
      <c r="AN663" s="58"/>
    </row>
    <row r="664" spans="4:40" ht="18.649999999999999" customHeight="1">
      <c r="D664" s="48" t="s">
        <v>48</v>
      </c>
      <c r="E664" s="52" t="s">
        <v>171</v>
      </c>
      <c r="F664" s="49">
        <v>1000011836</v>
      </c>
      <c r="G664" s="22" t="s">
        <v>172</v>
      </c>
      <c r="H664" s="5">
        <v>150</v>
      </c>
      <c r="I664" s="108" t="s">
        <v>52</v>
      </c>
      <c r="J664" s="21" t="s">
        <v>1473</v>
      </c>
      <c r="O664" s="5" t="s">
        <v>176</v>
      </c>
      <c r="T664" s="24">
        <v>46244</v>
      </c>
      <c r="X664" s="30" t="s">
        <v>58</v>
      </c>
      <c r="Y664" s="5">
        <v>0.5</v>
      </c>
      <c r="AD664" s="56" t="s">
        <v>72</v>
      </c>
      <c r="AE664" s="21"/>
      <c r="AM664" s="58"/>
      <c r="AN664" s="58"/>
    </row>
    <row r="665" spans="4:40" ht="18.649999999999999" customHeight="1">
      <c r="D665" s="48" t="s">
        <v>48</v>
      </c>
      <c r="E665" s="52" t="s">
        <v>171</v>
      </c>
      <c r="F665" s="49">
        <v>1000022205</v>
      </c>
      <c r="G665" s="22" t="s">
        <v>181</v>
      </c>
      <c r="H665" s="5">
        <v>600</v>
      </c>
      <c r="I665" s="108" t="s">
        <v>52</v>
      </c>
      <c r="J665" s="21" t="s">
        <v>1473</v>
      </c>
      <c r="O665" s="5" t="s">
        <v>176</v>
      </c>
      <c r="T665" s="24">
        <v>46244</v>
      </c>
      <c r="X665" s="30" t="s">
        <v>58</v>
      </c>
      <c r="Y665" s="5">
        <v>0.5</v>
      </c>
      <c r="AD665" s="56" t="s">
        <v>72</v>
      </c>
      <c r="AE665" s="21"/>
      <c r="AM665" s="58"/>
      <c r="AN665" s="58"/>
    </row>
    <row r="666" spans="4:40" ht="18.649999999999999" customHeight="1">
      <c r="D666" s="48" t="s">
        <v>48</v>
      </c>
      <c r="E666" s="52" t="s">
        <v>171</v>
      </c>
      <c r="F666" s="49">
        <v>1000036622</v>
      </c>
      <c r="G666" s="22" t="s">
        <v>182</v>
      </c>
      <c r="H666" s="5">
        <v>680</v>
      </c>
      <c r="I666" s="108" t="s">
        <v>52</v>
      </c>
      <c r="J666" s="21" t="s">
        <v>1473</v>
      </c>
      <c r="O666" s="5" t="s">
        <v>176</v>
      </c>
      <c r="T666" s="24">
        <v>46244</v>
      </c>
      <c r="X666" s="30" t="s">
        <v>58</v>
      </c>
      <c r="Y666" s="5">
        <v>0.5</v>
      </c>
      <c r="AD666" s="56" t="s">
        <v>72</v>
      </c>
      <c r="AE666" s="21"/>
      <c r="AM666" s="58"/>
      <c r="AN666" s="58"/>
    </row>
    <row r="667" spans="4:40" ht="18.649999999999999" customHeight="1">
      <c r="D667" s="48" t="s">
        <v>48</v>
      </c>
      <c r="E667" s="52" t="s">
        <v>171</v>
      </c>
      <c r="F667" s="49">
        <v>1000011836</v>
      </c>
      <c r="G667" s="22" t="s">
        <v>172</v>
      </c>
      <c r="H667" s="5">
        <v>100</v>
      </c>
      <c r="I667" s="108" t="s">
        <v>52</v>
      </c>
      <c r="J667" s="21" t="s">
        <v>1474</v>
      </c>
      <c r="O667" s="5" t="s">
        <v>176</v>
      </c>
      <c r="T667" s="24">
        <v>46258</v>
      </c>
      <c r="X667" s="5" t="s">
        <v>309</v>
      </c>
      <c r="Y667" s="5">
        <v>0.5</v>
      </c>
      <c r="AD667" s="56" t="s">
        <v>72</v>
      </c>
      <c r="AE667" s="21"/>
      <c r="AM667" s="58"/>
      <c r="AN667" s="58"/>
    </row>
    <row r="668" spans="4:40" ht="18.649999999999999" customHeight="1">
      <c r="D668" s="48" t="s">
        <v>48</v>
      </c>
      <c r="E668" s="52" t="s">
        <v>171</v>
      </c>
      <c r="F668" s="49">
        <v>1000022205</v>
      </c>
      <c r="G668" s="22" t="s">
        <v>181</v>
      </c>
      <c r="H668" s="5">
        <v>300</v>
      </c>
      <c r="I668" s="108" t="s">
        <v>52</v>
      </c>
      <c r="J668" s="21" t="s">
        <v>1474</v>
      </c>
      <c r="O668" s="5" t="s">
        <v>176</v>
      </c>
      <c r="T668" s="24">
        <v>46258</v>
      </c>
      <c r="X668" s="5" t="s">
        <v>309</v>
      </c>
      <c r="Y668" s="5">
        <v>0.5</v>
      </c>
      <c r="AD668" s="56" t="s">
        <v>72</v>
      </c>
      <c r="AE668" s="21"/>
      <c r="AM668" s="58"/>
      <c r="AN668" s="58"/>
    </row>
    <row r="669" spans="4:40" ht="18.649999999999999" customHeight="1">
      <c r="D669" s="48" t="s">
        <v>48</v>
      </c>
      <c r="E669" s="52" t="s">
        <v>171</v>
      </c>
      <c r="F669" s="49">
        <v>1000036622</v>
      </c>
      <c r="G669" s="22" t="s">
        <v>182</v>
      </c>
      <c r="H669" s="5">
        <v>250</v>
      </c>
      <c r="I669" s="108" t="s">
        <v>52</v>
      </c>
      <c r="J669" s="21" t="s">
        <v>1474</v>
      </c>
      <c r="O669" s="5" t="s">
        <v>176</v>
      </c>
      <c r="T669" s="24">
        <v>46258</v>
      </c>
      <c r="X669" s="5" t="s">
        <v>309</v>
      </c>
      <c r="Y669" s="5">
        <v>0.5</v>
      </c>
      <c r="AD669" s="56" t="s">
        <v>72</v>
      </c>
      <c r="AE669" s="21"/>
      <c r="AM669" s="58"/>
      <c r="AN669" s="58"/>
    </row>
    <row r="670" spans="4:40" ht="18.649999999999999" customHeight="1">
      <c r="D670" s="48" t="s">
        <v>81</v>
      </c>
      <c r="E670" s="49" t="s">
        <v>82</v>
      </c>
      <c r="F670" s="49" t="s">
        <v>154</v>
      </c>
      <c r="G670" s="22" t="s">
        <v>155</v>
      </c>
      <c r="H670" s="5">
        <v>10080</v>
      </c>
      <c r="I670" s="108" t="s">
        <v>85</v>
      </c>
      <c r="K670" s="5" t="s">
        <v>53</v>
      </c>
      <c r="L670" s="21" t="s">
        <v>1322</v>
      </c>
      <c r="M670" s="214" t="s">
        <v>1475</v>
      </c>
      <c r="N670" s="5">
        <v>2245581263</v>
      </c>
      <c r="O670" s="48" t="s">
        <v>55</v>
      </c>
      <c r="Q670" s="20">
        <v>721397408</v>
      </c>
      <c r="R670" s="48" t="s">
        <v>88</v>
      </c>
      <c r="S670" s="5" t="s">
        <v>1476</v>
      </c>
      <c r="T670" s="24">
        <v>46164</v>
      </c>
      <c r="U670" s="137">
        <v>46133</v>
      </c>
      <c r="V670" s="137">
        <v>46164</v>
      </c>
      <c r="X670" s="30" t="s">
        <v>58</v>
      </c>
      <c r="Y670" s="5">
        <v>5</v>
      </c>
      <c r="AA670" s="137">
        <v>46133</v>
      </c>
      <c r="AB670" s="137">
        <v>46164</v>
      </c>
      <c r="AD670" s="56" t="s">
        <v>72</v>
      </c>
      <c r="AF670" s="137">
        <v>46146</v>
      </c>
      <c r="AG670" s="137">
        <v>46136</v>
      </c>
      <c r="AK670" s="138"/>
      <c r="AL670" s="58"/>
      <c r="AM670" s="58"/>
      <c r="AN670" s="58"/>
    </row>
    <row r="671" spans="4:40" ht="18.649999999999999" customHeight="1">
      <c r="D671" s="20" t="s">
        <v>160</v>
      </c>
      <c r="E671" s="22" t="s">
        <v>281</v>
      </c>
      <c r="F671" s="31">
        <v>1000013182</v>
      </c>
      <c r="G671" s="32" t="s">
        <v>282</v>
      </c>
      <c r="H671" s="20">
        <v>3978</v>
      </c>
      <c r="I671" s="20" t="s">
        <v>52</v>
      </c>
      <c r="K671" s="5" t="s">
        <v>53</v>
      </c>
      <c r="L671" s="177">
        <v>46139</v>
      </c>
      <c r="M671" s="20" t="s">
        <v>1477</v>
      </c>
      <c r="O671" s="20" t="s">
        <v>55</v>
      </c>
      <c r="T671" s="24">
        <v>46204</v>
      </c>
      <c r="X671" s="120" t="s">
        <v>58</v>
      </c>
      <c r="Y671" s="120">
        <v>2</v>
      </c>
      <c r="AD671" s="56" t="s">
        <v>72</v>
      </c>
      <c r="AE671" s="21"/>
      <c r="AM671" s="58"/>
      <c r="AN671" s="58"/>
    </row>
    <row r="672" spans="4:40" ht="18.649999999999999" customHeight="1">
      <c r="D672" s="48" t="s">
        <v>81</v>
      </c>
      <c r="E672" s="49" t="s">
        <v>82</v>
      </c>
      <c r="F672" s="49" t="s">
        <v>154</v>
      </c>
      <c r="G672" s="22" t="s">
        <v>155</v>
      </c>
      <c r="H672" s="5">
        <v>12096</v>
      </c>
      <c r="I672" s="108" t="s">
        <v>85</v>
      </c>
      <c r="O672" s="48" t="s">
        <v>55</v>
      </c>
      <c r="T672" s="24">
        <v>46193</v>
      </c>
      <c r="X672" s="30" t="s">
        <v>58</v>
      </c>
      <c r="Y672" s="5">
        <v>6</v>
      </c>
      <c r="AD672" s="56" t="s">
        <v>72</v>
      </c>
      <c r="AE672" s="21"/>
      <c r="AK672" s="138"/>
      <c r="AL672" s="58"/>
      <c r="AM672" s="58"/>
      <c r="AN672" s="58"/>
    </row>
    <row r="673" spans="1:44" ht="18.649999999999999" customHeight="1">
      <c r="D673" s="48" t="s">
        <v>81</v>
      </c>
      <c r="E673" s="49" t="s">
        <v>82</v>
      </c>
      <c r="F673" s="49" t="s">
        <v>154</v>
      </c>
      <c r="G673" s="22" t="s">
        <v>155</v>
      </c>
      <c r="H673" s="5">
        <v>10080</v>
      </c>
      <c r="I673" s="108" t="s">
        <v>85</v>
      </c>
      <c r="O673" s="48" t="s">
        <v>55</v>
      </c>
      <c r="T673" s="24">
        <v>46223</v>
      </c>
      <c r="X673" s="30" t="s">
        <v>58</v>
      </c>
      <c r="Y673" s="5">
        <v>5</v>
      </c>
      <c r="AD673" s="56" t="s">
        <v>72</v>
      </c>
      <c r="AE673" s="21"/>
      <c r="AK673" s="138"/>
      <c r="AL673" s="58"/>
      <c r="AM673" s="58"/>
      <c r="AN673" s="58"/>
    </row>
    <row r="674" spans="1:44" ht="18.649999999999999" customHeight="1">
      <c r="D674" s="48" t="s">
        <v>81</v>
      </c>
      <c r="E674" s="49" t="s">
        <v>82</v>
      </c>
      <c r="F674" s="49" t="s">
        <v>154</v>
      </c>
      <c r="G674" s="22" t="s">
        <v>155</v>
      </c>
      <c r="H674" s="5">
        <v>12096</v>
      </c>
      <c r="I674" s="108" t="s">
        <v>85</v>
      </c>
      <c r="O674" s="48" t="s">
        <v>55</v>
      </c>
      <c r="T674" s="24">
        <v>46254</v>
      </c>
      <c r="X674" s="30" t="s">
        <v>58</v>
      </c>
      <c r="Y674" s="5">
        <v>6</v>
      </c>
      <c r="AD674" s="56" t="s">
        <v>72</v>
      </c>
      <c r="AE674" s="21"/>
      <c r="AK674" s="138"/>
      <c r="AL674" s="58"/>
      <c r="AM674" s="58"/>
      <c r="AN674" s="58"/>
    </row>
    <row r="675" spans="1:44" ht="18.649999999999999" customHeight="1">
      <c r="D675" s="48" t="s">
        <v>81</v>
      </c>
      <c r="E675" s="49" t="s">
        <v>82</v>
      </c>
      <c r="F675" s="49" t="s">
        <v>154</v>
      </c>
      <c r="G675" s="22" t="s">
        <v>155</v>
      </c>
      <c r="H675" s="5">
        <v>10080</v>
      </c>
      <c r="I675" s="108" t="s">
        <v>85</v>
      </c>
      <c r="O675" s="48" t="s">
        <v>55</v>
      </c>
      <c r="T675" s="24">
        <v>46285</v>
      </c>
      <c r="X675" s="30" t="s">
        <v>58</v>
      </c>
      <c r="Y675" s="5">
        <v>5</v>
      </c>
      <c r="AD675" s="56" t="s">
        <v>72</v>
      </c>
      <c r="AE675" s="21"/>
      <c r="AK675" s="138"/>
      <c r="AL675" s="58"/>
      <c r="AM675" s="58"/>
      <c r="AN675" s="58"/>
    </row>
    <row r="676" spans="1:44" ht="18.649999999999999" customHeight="1">
      <c r="D676" s="48" t="s">
        <v>81</v>
      </c>
      <c r="E676" s="49" t="s">
        <v>82</v>
      </c>
      <c r="F676" s="49" t="s">
        <v>154</v>
      </c>
      <c r="G676" s="22" t="s">
        <v>155</v>
      </c>
      <c r="H676" s="5">
        <v>18144</v>
      </c>
      <c r="I676" s="108" t="s">
        <v>85</v>
      </c>
      <c r="O676" s="48" t="s">
        <v>55</v>
      </c>
      <c r="T676" s="24">
        <v>46315</v>
      </c>
      <c r="X676" s="30" t="s">
        <v>58</v>
      </c>
      <c r="Y676" s="5">
        <v>9</v>
      </c>
      <c r="AD676" s="56" t="s">
        <v>72</v>
      </c>
      <c r="AE676" s="21"/>
      <c r="AK676" s="138"/>
      <c r="AL676" s="58"/>
      <c r="AM676" s="58"/>
      <c r="AN676" s="58"/>
    </row>
    <row r="677" spans="1:44" ht="18.649999999999999" customHeight="1">
      <c r="D677" s="48" t="s">
        <v>81</v>
      </c>
      <c r="E677" s="49" t="s">
        <v>82</v>
      </c>
      <c r="F677" s="49" t="s">
        <v>154</v>
      </c>
      <c r="G677" s="22" t="s">
        <v>155</v>
      </c>
      <c r="H677" s="5">
        <v>12096</v>
      </c>
      <c r="I677" s="108" t="s">
        <v>85</v>
      </c>
      <c r="O677" s="48" t="s">
        <v>55</v>
      </c>
      <c r="T677" s="24">
        <v>46346</v>
      </c>
      <c r="X677" s="30" t="s">
        <v>58</v>
      </c>
      <c r="Y677" s="5">
        <v>6</v>
      </c>
      <c r="AD677" s="56" t="s">
        <v>72</v>
      </c>
      <c r="AE677" s="21"/>
      <c r="AK677" s="138"/>
      <c r="AL677" s="58"/>
      <c r="AM677" s="58"/>
      <c r="AN677" s="58"/>
    </row>
    <row r="678" spans="1:44" ht="18.649999999999999" customHeight="1">
      <c r="D678" s="48" t="s">
        <v>81</v>
      </c>
      <c r="E678" s="49" t="s">
        <v>82</v>
      </c>
      <c r="F678" s="49" t="s">
        <v>154</v>
      </c>
      <c r="G678" s="22" t="s">
        <v>155</v>
      </c>
      <c r="H678" s="5">
        <v>14112</v>
      </c>
      <c r="I678" s="108" t="s">
        <v>85</v>
      </c>
      <c r="O678" s="48" t="s">
        <v>55</v>
      </c>
      <c r="T678" s="24">
        <v>46376</v>
      </c>
      <c r="X678" s="30" t="s">
        <v>58</v>
      </c>
      <c r="Y678" s="5">
        <v>7</v>
      </c>
      <c r="AD678" s="56" t="s">
        <v>72</v>
      </c>
      <c r="AE678" s="21"/>
      <c r="AK678" s="138"/>
      <c r="AL678" s="58"/>
      <c r="AM678" s="58"/>
      <c r="AN678" s="58"/>
    </row>
    <row r="679" spans="1:44" ht="18.649999999999999" customHeight="1">
      <c r="D679" s="48" t="s">
        <v>48</v>
      </c>
      <c r="E679" s="49" t="s">
        <v>82</v>
      </c>
      <c r="F679" s="49" t="s">
        <v>392</v>
      </c>
      <c r="G679" s="61" t="s">
        <v>109</v>
      </c>
      <c r="H679" s="5">
        <v>1215</v>
      </c>
      <c r="I679" s="61" t="s">
        <v>110</v>
      </c>
      <c r="J679" s="33" t="s">
        <v>393</v>
      </c>
      <c r="L679" s="177">
        <v>46136</v>
      </c>
      <c r="M679" s="20" t="s">
        <v>1478</v>
      </c>
      <c r="O679" s="20" t="s">
        <v>68</v>
      </c>
      <c r="Q679" s="20">
        <v>721450983</v>
      </c>
      <c r="R679" s="36" t="s">
        <v>88</v>
      </c>
      <c r="S679" s="5" t="s">
        <v>1479</v>
      </c>
      <c r="T679" s="24">
        <v>46209</v>
      </c>
      <c r="U679" s="137">
        <v>46192</v>
      </c>
      <c r="V679" s="137">
        <v>46203</v>
      </c>
      <c r="X679" s="30" t="s">
        <v>58</v>
      </c>
      <c r="Y679" s="30">
        <v>0.5</v>
      </c>
      <c r="AA679" s="137">
        <v>46192</v>
      </c>
      <c r="AB679" s="137">
        <v>46203</v>
      </c>
      <c r="AD679" s="56" t="s">
        <v>72</v>
      </c>
      <c r="AE679" s="21"/>
      <c r="AM679" s="58"/>
      <c r="AN679" s="58"/>
    </row>
    <row r="680" spans="1:44" ht="18.649999999999999" customHeight="1">
      <c r="D680" s="48" t="s">
        <v>48</v>
      </c>
      <c r="E680" s="49" t="s">
        <v>82</v>
      </c>
      <c r="F680" s="49" t="s">
        <v>396</v>
      </c>
      <c r="G680" s="61" t="s">
        <v>114</v>
      </c>
      <c r="H680" s="5">
        <v>180</v>
      </c>
      <c r="I680" s="61" t="s">
        <v>110</v>
      </c>
      <c r="J680" s="33" t="s">
        <v>393</v>
      </c>
      <c r="L680" s="177">
        <v>46136</v>
      </c>
      <c r="M680" s="20" t="s">
        <v>1478</v>
      </c>
      <c r="O680" s="20" t="s">
        <v>68</v>
      </c>
      <c r="Q680" s="20">
        <v>721450983</v>
      </c>
      <c r="R680" s="36" t="s">
        <v>88</v>
      </c>
      <c r="S680" s="5" t="s">
        <v>1479</v>
      </c>
      <c r="T680" s="24">
        <v>46209</v>
      </c>
      <c r="U680" s="137">
        <v>46192</v>
      </c>
      <c r="V680" s="137">
        <v>46203</v>
      </c>
      <c r="X680" s="30" t="s">
        <v>58</v>
      </c>
      <c r="Y680" s="30">
        <v>0.5</v>
      </c>
      <c r="AA680" s="137">
        <v>46192</v>
      </c>
      <c r="AB680" s="137">
        <v>46203</v>
      </c>
      <c r="AD680" s="56" t="s">
        <v>72</v>
      </c>
      <c r="AE680" s="21"/>
      <c r="AM680" s="58"/>
      <c r="AN680" s="58"/>
    </row>
    <row r="681" spans="1:44" ht="18.649999999999999" customHeight="1">
      <c r="D681" s="20" t="s">
        <v>160</v>
      </c>
      <c r="E681" s="22" t="s">
        <v>281</v>
      </c>
      <c r="F681" s="31">
        <v>1000013182</v>
      </c>
      <c r="G681" s="32" t="s">
        <v>282</v>
      </c>
      <c r="H681" s="20">
        <v>3978</v>
      </c>
      <c r="I681" s="20" t="s">
        <v>52</v>
      </c>
      <c r="K681" s="5" t="s">
        <v>53</v>
      </c>
      <c r="L681" s="177">
        <v>46139</v>
      </c>
      <c r="M681" s="20" t="s">
        <v>1480</v>
      </c>
      <c r="O681" s="20" t="s">
        <v>55</v>
      </c>
      <c r="T681" s="24">
        <v>46174</v>
      </c>
      <c r="X681" s="120" t="s">
        <v>58</v>
      </c>
      <c r="Y681" s="120">
        <v>2</v>
      </c>
      <c r="AD681" s="56" t="s">
        <v>72</v>
      </c>
      <c r="AE681" s="21"/>
      <c r="AM681" s="58"/>
      <c r="AN681" s="58"/>
    </row>
    <row r="682" spans="1:44" ht="18.649999999999999" customHeight="1">
      <c r="D682" s="20" t="s">
        <v>99</v>
      </c>
      <c r="E682" s="22" t="s">
        <v>1043</v>
      </c>
      <c r="F682" s="23">
        <v>1000038007</v>
      </c>
      <c r="G682" s="21" t="s">
        <v>1044</v>
      </c>
      <c r="H682" s="5">
        <v>265</v>
      </c>
      <c r="I682" s="48" t="s">
        <v>85</v>
      </c>
      <c r="J682" s="21" t="s">
        <v>927</v>
      </c>
      <c r="O682" s="5" t="s">
        <v>55</v>
      </c>
      <c r="T682" s="24">
        <v>46266</v>
      </c>
      <c r="X682" s="5" t="s">
        <v>309</v>
      </c>
      <c r="Y682" s="5">
        <v>0.5</v>
      </c>
      <c r="AD682" s="56" t="s">
        <v>72</v>
      </c>
      <c r="AE682" s="21"/>
      <c r="AH682" s="22"/>
    </row>
    <row r="683" spans="1:44" ht="18.649999999999999" customHeight="1">
      <c r="D683" s="20" t="s">
        <v>99</v>
      </c>
      <c r="E683" s="22" t="s">
        <v>1043</v>
      </c>
      <c r="F683" s="23">
        <v>1000038017</v>
      </c>
      <c r="G683" s="21" t="s">
        <v>1047</v>
      </c>
      <c r="H683" s="5">
        <v>2385</v>
      </c>
      <c r="I683" s="48" t="s">
        <v>85</v>
      </c>
      <c r="J683" s="21" t="s">
        <v>927</v>
      </c>
      <c r="O683" s="5" t="s">
        <v>55</v>
      </c>
      <c r="T683" s="24">
        <v>46266</v>
      </c>
      <c r="X683" s="5" t="s">
        <v>309</v>
      </c>
      <c r="Y683" s="5">
        <v>0.5</v>
      </c>
      <c r="AD683" s="56" t="s">
        <v>72</v>
      </c>
      <c r="AE683" s="21"/>
      <c r="AH683" s="22"/>
    </row>
    <row r="684" spans="1:44" s="58" customFormat="1" ht="18.649999999999999" customHeight="1">
      <c r="A684" s="69" t="s">
        <v>1481</v>
      </c>
      <c r="B684" s="69"/>
      <c r="D684" s="69" t="s">
        <v>99</v>
      </c>
      <c r="E684" s="329" t="s">
        <v>1482</v>
      </c>
      <c r="F684" s="68">
        <v>1000057987</v>
      </c>
      <c r="G684" s="58" t="s">
        <v>1483</v>
      </c>
      <c r="H684" s="330">
        <v>20</v>
      </c>
      <c r="I684" s="259" t="s">
        <v>85</v>
      </c>
      <c r="J684" s="58" t="s">
        <v>927</v>
      </c>
      <c r="K684" s="330" t="s">
        <v>53</v>
      </c>
      <c r="L684" s="333">
        <v>46141</v>
      </c>
      <c r="M684" s="69" t="s">
        <v>1484</v>
      </c>
      <c r="N684" s="330"/>
      <c r="O684" s="330" t="s">
        <v>189</v>
      </c>
      <c r="P684" s="330"/>
      <c r="Q684" s="69"/>
      <c r="R684" s="69"/>
      <c r="S684" s="330"/>
      <c r="T684" s="332">
        <v>46152</v>
      </c>
      <c r="U684" s="330"/>
      <c r="V684" s="330"/>
      <c r="X684" s="330" t="s">
        <v>217</v>
      </c>
      <c r="Y684" s="330">
        <v>1</v>
      </c>
      <c r="AA684" s="69"/>
      <c r="AB684" s="69" t="s">
        <v>1485</v>
      </c>
      <c r="AD684" s="263" t="s">
        <v>72</v>
      </c>
      <c r="AE684" s="330"/>
      <c r="AF684" s="330"/>
      <c r="AG684" s="330"/>
      <c r="AH684" s="69"/>
      <c r="AK684" s="138"/>
      <c r="AR684" s="330"/>
    </row>
    <row r="685" spans="1:44" ht="18.649999999999999" customHeight="1" thickBot="1">
      <c r="D685" s="20" t="s">
        <v>160</v>
      </c>
      <c r="E685" s="22" t="s">
        <v>1486</v>
      </c>
      <c r="F685" s="23">
        <v>1000033517</v>
      </c>
      <c r="G685" s="21" t="s">
        <v>1487</v>
      </c>
      <c r="H685" s="5">
        <v>1080</v>
      </c>
      <c r="I685" s="5" t="s">
        <v>52</v>
      </c>
      <c r="K685" s="5" t="s">
        <v>53</v>
      </c>
      <c r="L685" s="177">
        <v>46141</v>
      </c>
      <c r="M685" s="20" t="s">
        <v>1488</v>
      </c>
      <c r="O685" s="5" t="s">
        <v>150</v>
      </c>
      <c r="P685" s="5"/>
      <c r="T685" s="24">
        <v>46204</v>
      </c>
      <c r="X685" s="5" t="s">
        <v>309</v>
      </c>
      <c r="Y685" s="5">
        <v>1</v>
      </c>
      <c r="AD685" s="56" t="s">
        <v>72</v>
      </c>
      <c r="AE685" s="21"/>
      <c r="AH685" s="22"/>
      <c r="AK685" s="275">
        <v>46157</v>
      </c>
      <c r="AL685" s="237">
        <v>8100</v>
      </c>
      <c r="AM685" s="21" t="s">
        <v>1489</v>
      </c>
    </row>
    <row r="686" spans="1:44" ht="18.649999999999999" customHeight="1" thickBot="1">
      <c r="D686" s="20" t="s">
        <v>160</v>
      </c>
      <c r="E686" s="22" t="s">
        <v>1486</v>
      </c>
      <c r="F686" s="23">
        <v>1000033517</v>
      </c>
      <c r="G686" s="21" t="s">
        <v>1487</v>
      </c>
      <c r="H686" s="5">
        <v>1080</v>
      </c>
      <c r="I686" s="5" t="s">
        <v>52</v>
      </c>
      <c r="K686" s="5" t="s">
        <v>53</v>
      </c>
      <c r="L686" s="177">
        <v>46141</v>
      </c>
      <c r="M686" s="20" t="s">
        <v>1490</v>
      </c>
      <c r="O686" s="5" t="s">
        <v>150</v>
      </c>
      <c r="T686" s="24">
        <v>46235</v>
      </c>
      <c r="X686" s="5" t="s">
        <v>309</v>
      </c>
      <c r="Y686" s="5">
        <v>1</v>
      </c>
      <c r="AD686" s="56" t="s">
        <v>72</v>
      </c>
      <c r="AE686" s="21"/>
      <c r="AH686" s="22"/>
      <c r="AK686" s="275">
        <v>46157</v>
      </c>
      <c r="AL686" s="237">
        <v>8100</v>
      </c>
      <c r="AM686" s="21" t="s">
        <v>1489</v>
      </c>
    </row>
    <row r="687" spans="1:44" ht="18.649999999999999" customHeight="1" thickBot="1">
      <c r="D687" s="20" t="s">
        <v>160</v>
      </c>
      <c r="E687" s="22" t="s">
        <v>1486</v>
      </c>
      <c r="F687" s="23">
        <v>1000033517</v>
      </c>
      <c r="G687" s="21" t="s">
        <v>1487</v>
      </c>
      <c r="H687" s="5">
        <v>1080</v>
      </c>
      <c r="I687" s="5" t="s">
        <v>52</v>
      </c>
      <c r="K687" s="5" t="s">
        <v>53</v>
      </c>
      <c r="L687" s="177">
        <v>46141</v>
      </c>
      <c r="M687" s="20" t="s">
        <v>1491</v>
      </c>
      <c r="O687" s="5" t="s">
        <v>150</v>
      </c>
      <c r="T687" s="24">
        <v>46266</v>
      </c>
      <c r="X687" s="5" t="s">
        <v>309</v>
      </c>
      <c r="Y687" s="5">
        <v>1</v>
      </c>
      <c r="AD687" s="56" t="s">
        <v>72</v>
      </c>
      <c r="AE687" s="21"/>
      <c r="AH687" s="22"/>
      <c r="AK687" s="275">
        <v>46157</v>
      </c>
      <c r="AL687" s="237">
        <v>8100</v>
      </c>
      <c r="AM687" s="21" t="s">
        <v>1489</v>
      </c>
    </row>
    <row r="688" spans="1:44" ht="18.649999999999999" customHeight="1">
      <c r="D688" s="20" t="s">
        <v>99</v>
      </c>
      <c r="E688" s="22" t="s">
        <v>1482</v>
      </c>
      <c r="F688" s="23">
        <v>1000057987</v>
      </c>
      <c r="G688" s="21" t="s">
        <v>1483</v>
      </c>
      <c r="H688" s="5">
        <v>1000</v>
      </c>
      <c r="I688" s="48" t="s">
        <v>85</v>
      </c>
      <c r="K688" s="5" t="s">
        <v>53</v>
      </c>
      <c r="L688" s="177">
        <v>46141</v>
      </c>
      <c r="M688" s="20" t="s">
        <v>1492</v>
      </c>
      <c r="O688" s="5" t="s">
        <v>68</v>
      </c>
      <c r="T688" s="24">
        <v>46172</v>
      </c>
      <c r="X688" s="5" t="s">
        <v>309</v>
      </c>
      <c r="Y688" s="5">
        <v>1</v>
      </c>
      <c r="AB688" s="20" t="s">
        <v>1485</v>
      </c>
      <c r="AD688" s="56" t="s">
        <v>72</v>
      </c>
    </row>
    <row r="689" spans="4:40" ht="18.649999999999999" customHeight="1">
      <c r="D689" s="20" t="s">
        <v>48</v>
      </c>
      <c r="E689" s="23" t="s">
        <v>1143</v>
      </c>
      <c r="F689" s="23">
        <v>2000063839</v>
      </c>
      <c r="G689" s="21" t="s">
        <v>1493</v>
      </c>
      <c r="H689" s="5">
        <v>30</v>
      </c>
      <c r="I689" s="5" t="s">
        <v>52</v>
      </c>
      <c r="J689" s="21" t="s">
        <v>1494</v>
      </c>
      <c r="L689" s="177">
        <v>46141</v>
      </c>
      <c r="M689" s="20" t="s">
        <v>1495</v>
      </c>
      <c r="O689" s="5" t="s">
        <v>150</v>
      </c>
      <c r="Q689" s="20" t="s">
        <v>1496</v>
      </c>
      <c r="R689" s="20" t="s">
        <v>430</v>
      </c>
      <c r="T689" s="24">
        <v>46174</v>
      </c>
      <c r="U689" s="137">
        <v>46169</v>
      </c>
      <c r="V689" s="137">
        <v>46175</v>
      </c>
      <c r="X689" s="5" t="s">
        <v>209</v>
      </c>
      <c r="Y689" s="5">
        <v>1</v>
      </c>
      <c r="AD689" s="56" t="s">
        <v>430</v>
      </c>
      <c r="AE689" s="21"/>
      <c r="AH689" s="22"/>
    </row>
    <row r="690" spans="4:40" ht="18.649999999999999" customHeight="1">
      <c r="D690" s="20" t="s">
        <v>48</v>
      </c>
      <c r="E690" s="23" t="s">
        <v>1143</v>
      </c>
      <c r="F690" s="23">
        <v>2000063840</v>
      </c>
      <c r="G690" s="21" t="s">
        <v>1497</v>
      </c>
      <c r="H690" s="5">
        <v>30</v>
      </c>
      <c r="I690" s="5" t="s">
        <v>52</v>
      </c>
      <c r="L690" s="177">
        <v>46141</v>
      </c>
      <c r="M690" s="20" t="s">
        <v>1495</v>
      </c>
      <c r="O690" s="5" t="s">
        <v>150</v>
      </c>
      <c r="Q690" s="20" t="s">
        <v>1496</v>
      </c>
      <c r="R690" s="20" t="s">
        <v>430</v>
      </c>
      <c r="T690" s="24">
        <v>46174</v>
      </c>
      <c r="U690" s="137">
        <v>46169</v>
      </c>
      <c r="V690" s="137">
        <v>46175</v>
      </c>
      <c r="X690" s="5" t="s">
        <v>209</v>
      </c>
      <c r="Y690" s="5">
        <v>1</v>
      </c>
      <c r="AD690" s="56" t="s">
        <v>430</v>
      </c>
      <c r="AE690" s="21"/>
      <c r="AH690" s="22"/>
    </row>
    <row r="691" spans="4:40" ht="18.649999999999999" customHeight="1">
      <c r="D691" s="20" t="s">
        <v>48</v>
      </c>
      <c r="E691" s="23" t="s">
        <v>1143</v>
      </c>
      <c r="F691" s="23">
        <v>2000063841</v>
      </c>
      <c r="G691" s="21" t="s">
        <v>1498</v>
      </c>
      <c r="H691" s="5">
        <v>30</v>
      </c>
      <c r="I691" s="5" t="s">
        <v>52</v>
      </c>
      <c r="L691" s="177">
        <v>46141</v>
      </c>
      <c r="M691" s="20" t="s">
        <v>1495</v>
      </c>
      <c r="O691" s="5" t="s">
        <v>150</v>
      </c>
      <c r="Q691" s="20" t="s">
        <v>1496</v>
      </c>
      <c r="R691" s="20" t="s">
        <v>430</v>
      </c>
      <c r="T691" s="24">
        <v>46174</v>
      </c>
      <c r="U691" s="137">
        <v>46169</v>
      </c>
      <c r="V691" s="137">
        <v>46175</v>
      </c>
      <c r="X691" s="5" t="s">
        <v>209</v>
      </c>
      <c r="Y691" s="5">
        <v>1</v>
      </c>
      <c r="AD691" s="56" t="s">
        <v>430</v>
      </c>
      <c r="AE691" s="21"/>
      <c r="AH691" s="22"/>
    </row>
    <row r="692" spans="4:40" ht="18.649999999999999" customHeight="1">
      <c r="D692" s="48" t="s">
        <v>81</v>
      </c>
      <c r="E692" s="49" t="s">
        <v>909</v>
      </c>
      <c r="F692" s="49">
        <v>1000021282</v>
      </c>
      <c r="G692" s="107" t="s">
        <v>910</v>
      </c>
      <c r="H692" s="5">
        <v>1620</v>
      </c>
      <c r="I692" s="108" t="s">
        <v>911</v>
      </c>
      <c r="J692" s="21" t="s">
        <v>370</v>
      </c>
      <c r="K692" s="5" t="s">
        <v>1499</v>
      </c>
      <c r="L692" s="177">
        <v>46148</v>
      </c>
      <c r="O692" s="30" t="s">
        <v>68</v>
      </c>
      <c r="T692" s="24">
        <v>46235</v>
      </c>
      <c r="X692" s="30" t="s">
        <v>170</v>
      </c>
      <c r="Y692" s="30">
        <v>0.5</v>
      </c>
      <c r="AD692" s="56" t="s">
        <v>72</v>
      </c>
      <c r="AE692" s="21"/>
      <c r="AH692" s="22"/>
    </row>
    <row r="693" spans="4:40" ht="18.649999999999999" customHeight="1">
      <c r="D693" s="48" t="s">
        <v>81</v>
      </c>
      <c r="E693" s="49" t="s">
        <v>909</v>
      </c>
      <c r="F693" s="49">
        <v>1000039790</v>
      </c>
      <c r="G693" s="107" t="s">
        <v>916</v>
      </c>
      <c r="H693" s="5">
        <v>900</v>
      </c>
      <c r="I693" s="108" t="s">
        <v>911</v>
      </c>
      <c r="J693" s="21" t="s">
        <v>370</v>
      </c>
      <c r="K693" s="5" t="s">
        <v>1499</v>
      </c>
      <c r="L693" s="177">
        <v>46148</v>
      </c>
      <c r="O693" s="30" t="s">
        <v>68</v>
      </c>
      <c r="T693" s="24">
        <v>46235</v>
      </c>
      <c r="X693" s="30" t="s">
        <v>170</v>
      </c>
      <c r="Y693" s="30">
        <v>0.5</v>
      </c>
      <c r="AD693" s="56" t="s">
        <v>72</v>
      </c>
      <c r="AE693" s="21"/>
      <c r="AH693" s="22"/>
    </row>
    <row r="694" spans="4:40" ht="18.649999999999999" customHeight="1">
      <c r="D694" s="48" t="s">
        <v>81</v>
      </c>
      <c r="E694" s="49" t="s">
        <v>909</v>
      </c>
      <c r="F694" s="23">
        <v>1000055345</v>
      </c>
      <c r="G694" s="21" t="s">
        <v>1500</v>
      </c>
      <c r="H694" s="5">
        <v>55</v>
      </c>
      <c r="I694" s="5" t="s">
        <v>52</v>
      </c>
      <c r="J694" s="21" t="s">
        <v>370</v>
      </c>
      <c r="K694" s="5" t="s">
        <v>1499</v>
      </c>
      <c r="L694" s="177">
        <v>46148</v>
      </c>
      <c r="O694" s="30" t="s">
        <v>68</v>
      </c>
      <c r="T694" s="24">
        <v>46235</v>
      </c>
      <c r="X694" s="30" t="s">
        <v>170</v>
      </c>
      <c r="Y694" s="30">
        <v>0.5</v>
      </c>
      <c r="AD694" s="56" t="s">
        <v>72</v>
      </c>
      <c r="AE694" s="21"/>
      <c r="AH694" s="22"/>
    </row>
    <row r="695" spans="4:40" ht="18.649999999999999" customHeight="1">
      <c r="D695" s="48" t="s">
        <v>81</v>
      </c>
      <c r="E695" s="49" t="s">
        <v>909</v>
      </c>
      <c r="F695" s="23">
        <v>1000055347</v>
      </c>
      <c r="G695" s="21" t="s">
        <v>1501</v>
      </c>
      <c r="H695" s="5">
        <v>495</v>
      </c>
      <c r="I695" s="5" t="s">
        <v>52</v>
      </c>
      <c r="J695" s="21" t="s">
        <v>370</v>
      </c>
      <c r="K695" s="5" t="s">
        <v>1499</v>
      </c>
      <c r="L695" s="177">
        <v>46148</v>
      </c>
      <c r="O695" s="30" t="s">
        <v>68</v>
      </c>
      <c r="T695" s="24">
        <v>46235</v>
      </c>
      <c r="X695" s="30" t="s">
        <v>170</v>
      </c>
      <c r="Y695" s="30">
        <v>0.5</v>
      </c>
      <c r="AD695" s="56" t="s">
        <v>72</v>
      </c>
      <c r="AE695" s="21"/>
      <c r="AH695" s="22"/>
    </row>
    <row r="696" spans="4:40" ht="18.649999999999999" customHeight="1">
      <c r="D696" s="48" t="s">
        <v>99</v>
      </c>
      <c r="E696" s="49" t="s">
        <v>360</v>
      </c>
      <c r="F696" s="49">
        <v>1000021842</v>
      </c>
      <c r="G696" s="49" t="s">
        <v>1031</v>
      </c>
      <c r="H696" s="48">
        <v>2030</v>
      </c>
      <c r="I696" s="48" t="s">
        <v>85</v>
      </c>
      <c r="K696" s="5" t="s">
        <v>1502</v>
      </c>
      <c r="O696" s="5" t="s">
        <v>68</v>
      </c>
      <c r="T696" s="24">
        <v>46266</v>
      </c>
      <c r="X696" s="20" t="s">
        <v>58</v>
      </c>
      <c r="Y696" s="20">
        <v>1</v>
      </c>
      <c r="AD696" s="90" t="s">
        <v>599</v>
      </c>
    </row>
    <row r="697" spans="4:40" ht="18.649999999999999" customHeight="1">
      <c r="D697" s="20" t="s">
        <v>99</v>
      </c>
      <c r="E697" s="31" t="s">
        <v>63</v>
      </c>
      <c r="F697" s="31">
        <v>1000031684</v>
      </c>
      <c r="G697" s="22" t="s">
        <v>100</v>
      </c>
      <c r="H697" s="108" t="s">
        <v>101</v>
      </c>
      <c r="I697" s="108" t="s">
        <v>52</v>
      </c>
      <c r="K697" s="5" t="s">
        <v>1503</v>
      </c>
      <c r="O697" s="5" t="s">
        <v>68</v>
      </c>
      <c r="T697" s="24">
        <v>46204</v>
      </c>
      <c r="X697" s="120" t="s">
        <v>58</v>
      </c>
      <c r="Y697" s="30">
        <v>2</v>
      </c>
      <c r="AD697" s="56" t="s">
        <v>72</v>
      </c>
      <c r="AM697" s="58"/>
      <c r="AN697" s="58"/>
    </row>
    <row r="698" spans="4:40" ht="18.649999999999999" customHeight="1">
      <c r="D698" s="20" t="s">
        <v>160</v>
      </c>
      <c r="E698" s="22" t="s">
        <v>548</v>
      </c>
      <c r="F698" s="49">
        <v>1000033875</v>
      </c>
      <c r="G698" s="107" t="s">
        <v>549</v>
      </c>
      <c r="H698" s="108">
        <v>1500</v>
      </c>
      <c r="I698" s="108" t="s">
        <v>85</v>
      </c>
      <c r="K698" s="5" t="s">
        <v>1504</v>
      </c>
      <c r="O698" s="30" t="s">
        <v>55</v>
      </c>
      <c r="T698" s="24">
        <v>46235</v>
      </c>
      <c r="X698" s="20" t="s">
        <v>58</v>
      </c>
      <c r="Y698" s="20">
        <v>1</v>
      </c>
      <c r="AD698" s="42" t="s">
        <v>72</v>
      </c>
      <c r="AM698" s="58"/>
      <c r="AN698" s="58"/>
    </row>
    <row r="699" spans="4:40" ht="18.649999999999999" customHeight="1">
      <c r="D699" s="20" t="s">
        <v>160</v>
      </c>
      <c r="E699" s="22" t="s">
        <v>548</v>
      </c>
      <c r="F699" s="49">
        <v>1000033875</v>
      </c>
      <c r="G699" s="107" t="s">
        <v>549</v>
      </c>
      <c r="H699" s="108">
        <v>1500</v>
      </c>
      <c r="I699" s="108" t="s">
        <v>85</v>
      </c>
      <c r="K699" s="5" t="s">
        <v>1505</v>
      </c>
      <c r="O699" s="30" t="s">
        <v>55</v>
      </c>
      <c r="T699" s="24">
        <v>46266</v>
      </c>
      <c r="X699" s="20" t="s">
        <v>58</v>
      </c>
      <c r="Y699" s="20">
        <v>1</v>
      </c>
      <c r="AD699" s="42" t="s">
        <v>72</v>
      </c>
      <c r="AM699" s="58"/>
      <c r="AN699" s="58"/>
    </row>
    <row r="700" spans="4:40" ht="18.649999999999999" customHeight="1">
      <c r="D700" s="48" t="s">
        <v>183</v>
      </c>
      <c r="E700" s="52" t="s">
        <v>184</v>
      </c>
      <c r="F700" s="49">
        <v>1000010127</v>
      </c>
      <c r="G700" s="22" t="s">
        <v>185</v>
      </c>
      <c r="H700" s="5">
        <v>868</v>
      </c>
      <c r="I700" s="108" t="s">
        <v>52</v>
      </c>
      <c r="J700" s="21" t="s">
        <v>1506</v>
      </c>
      <c r="O700" s="30" t="s">
        <v>189</v>
      </c>
      <c r="R700" s="20" t="s">
        <v>178</v>
      </c>
      <c r="T700" s="24">
        <v>46183</v>
      </c>
      <c r="X700" s="30" t="s">
        <v>58</v>
      </c>
      <c r="Y700" s="5">
        <v>0.5</v>
      </c>
      <c r="AD700" s="429" t="s">
        <v>72</v>
      </c>
      <c r="AK700" s="138"/>
      <c r="AL700" s="58"/>
      <c r="AM700" s="58"/>
      <c r="AN700" s="58"/>
    </row>
    <row r="701" spans="4:40" ht="18.649999999999999" customHeight="1">
      <c r="D701" s="48" t="s">
        <v>183</v>
      </c>
      <c r="E701" s="52" t="s">
        <v>184</v>
      </c>
      <c r="F701" s="49">
        <v>1000013084</v>
      </c>
      <c r="G701" s="22" t="s">
        <v>192</v>
      </c>
      <c r="H701" s="5">
        <v>40</v>
      </c>
      <c r="I701" s="108" t="s">
        <v>52</v>
      </c>
      <c r="O701" s="30" t="s">
        <v>189</v>
      </c>
      <c r="R701" s="20" t="s">
        <v>178</v>
      </c>
      <c r="T701" s="24">
        <v>46183</v>
      </c>
      <c r="X701" s="30" t="s">
        <v>58</v>
      </c>
      <c r="Y701" s="5">
        <v>0.5</v>
      </c>
      <c r="AD701" s="429" t="s">
        <v>72</v>
      </c>
      <c r="AK701" s="138"/>
      <c r="AL701" s="58"/>
      <c r="AM701" s="58"/>
      <c r="AN701" s="58"/>
    </row>
    <row r="702" spans="4:40" ht="18.649999999999999" customHeight="1">
      <c r="D702" s="48" t="s">
        <v>183</v>
      </c>
      <c r="E702" s="52" t="s">
        <v>184</v>
      </c>
      <c r="F702" s="23">
        <v>1000037932</v>
      </c>
      <c r="G702" s="22" t="s">
        <v>1413</v>
      </c>
      <c r="H702" s="5">
        <v>100</v>
      </c>
      <c r="I702" s="108" t="s">
        <v>52</v>
      </c>
      <c r="O702" s="30" t="s">
        <v>189</v>
      </c>
      <c r="R702" s="20" t="s">
        <v>178</v>
      </c>
      <c r="T702" s="24">
        <v>46183</v>
      </c>
      <c r="X702" s="30" t="s">
        <v>58</v>
      </c>
      <c r="Y702" s="5">
        <v>0.5</v>
      </c>
      <c r="AD702" s="429" t="s">
        <v>72</v>
      </c>
      <c r="AK702" s="138"/>
      <c r="AL702" s="58"/>
      <c r="AM702" s="58"/>
      <c r="AN702" s="58"/>
    </row>
    <row r="703" spans="4:40" ht="18.649999999999999" customHeight="1">
      <c r="D703" s="48" t="s">
        <v>183</v>
      </c>
      <c r="E703" s="52" t="s">
        <v>184</v>
      </c>
      <c r="F703" s="49">
        <v>1000010127</v>
      </c>
      <c r="G703" s="22" t="s">
        <v>185</v>
      </c>
      <c r="H703" s="108">
        <v>848</v>
      </c>
      <c r="I703" s="108" t="s">
        <v>52</v>
      </c>
      <c r="J703" s="21" t="s">
        <v>1507</v>
      </c>
      <c r="O703" s="30" t="s">
        <v>189</v>
      </c>
      <c r="R703" s="20" t="s">
        <v>178</v>
      </c>
      <c r="T703" s="24">
        <v>46208</v>
      </c>
      <c r="X703" s="30" t="s">
        <v>58</v>
      </c>
      <c r="Y703" s="5">
        <v>0.5</v>
      </c>
      <c r="AD703" s="429" t="s">
        <v>72</v>
      </c>
      <c r="AK703" s="138"/>
      <c r="AL703" s="58"/>
      <c r="AM703" s="58"/>
      <c r="AN703" s="58"/>
    </row>
    <row r="704" spans="4:40" ht="18.649999999999999" customHeight="1">
      <c r="D704" s="48" t="s">
        <v>183</v>
      </c>
      <c r="E704" s="52" t="s">
        <v>184</v>
      </c>
      <c r="F704" s="49">
        <v>1000013084</v>
      </c>
      <c r="G704" s="22" t="s">
        <v>192</v>
      </c>
      <c r="H704" s="108">
        <v>20</v>
      </c>
      <c r="I704" s="108" t="s">
        <v>52</v>
      </c>
      <c r="O704" s="30" t="s">
        <v>189</v>
      </c>
      <c r="R704" s="20" t="s">
        <v>178</v>
      </c>
      <c r="T704" s="24">
        <v>46208</v>
      </c>
      <c r="X704" s="30" t="s">
        <v>58</v>
      </c>
      <c r="Y704" s="5">
        <v>0.5</v>
      </c>
      <c r="AD704" s="429" t="s">
        <v>72</v>
      </c>
      <c r="AK704" s="138"/>
      <c r="AL704" s="58"/>
      <c r="AM704" s="58"/>
      <c r="AN704" s="58"/>
    </row>
    <row r="705" spans="4:40" ht="18.5" customHeight="1">
      <c r="D705" s="48" t="s">
        <v>183</v>
      </c>
      <c r="E705" s="52" t="s">
        <v>184</v>
      </c>
      <c r="F705" s="49">
        <v>1000017944</v>
      </c>
      <c r="G705" s="22" t="s">
        <v>193</v>
      </c>
      <c r="H705" s="108">
        <v>80</v>
      </c>
      <c r="I705" s="108" t="s">
        <v>52</v>
      </c>
      <c r="O705" s="30" t="s">
        <v>189</v>
      </c>
      <c r="R705" s="20" t="s">
        <v>178</v>
      </c>
      <c r="T705" s="24">
        <v>46208</v>
      </c>
      <c r="X705" s="30" t="s">
        <v>58</v>
      </c>
      <c r="Y705" s="5">
        <v>0.5</v>
      </c>
      <c r="AD705" s="429" t="s">
        <v>72</v>
      </c>
      <c r="AK705" s="138"/>
      <c r="AL705" s="58"/>
      <c r="AM705" s="58"/>
      <c r="AN705" s="58"/>
    </row>
    <row r="706" spans="4:40" ht="18.649999999999999" customHeight="1">
      <c r="D706" s="48" t="s">
        <v>183</v>
      </c>
      <c r="E706" s="52" t="s">
        <v>184</v>
      </c>
      <c r="F706" s="23">
        <v>1000037932</v>
      </c>
      <c r="G706" s="22" t="s">
        <v>1413</v>
      </c>
      <c r="H706" s="5">
        <v>60</v>
      </c>
      <c r="I706" s="108" t="s">
        <v>52</v>
      </c>
      <c r="O706" s="30" t="s">
        <v>189</v>
      </c>
      <c r="R706" s="20" t="s">
        <v>178</v>
      </c>
      <c r="T706" s="24">
        <v>46208</v>
      </c>
      <c r="X706" s="30" t="s">
        <v>58</v>
      </c>
      <c r="Y706" s="5">
        <v>0.5</v>
      </c>
      <c r="AD706" s="429" t="s">
        <v>72</v>
      </c>
      <c r="AK706" s="138"/>
      <c r="AL706" s="58"/>
      <c r="AM706" s="58"/>
      <c r="AN706" s="58"/>
    </row>
    <row r="707" spans="4:40" ht="18.649999999999999" customHeight="1">
      <c r="D707" s="20" t="s">
        <v>99</v>
      </c>
      <c r="E707" s="22" t="s">
        <v>1482</v>
      </c>
      <c r="F707" s="23">
        <v>1000058198</v>
      </c>
      <c r="G707" s="21" t="s">
        <v>1508</v>
      </c>
      <c r="H707" s="5">
        <v>34</v>
      </c>
      <c r="I707" s="48" t="s">
        <v>85</v>
      </c>
      <c r="K707" s="5" t="s">
        <v>1509</v>
      </c>
      <c r="O707" s="5" t="s">
        <v>189</v>
      </c>
      <c r="T707" s="137">
        <v>46157</v>
      </c>
      <c r="X707" s="5" t="s">
        <v>217</v>
      </c>
      <c r="Y707" s="5">
        <v>1</v>
      </c>
      <c r="AD707" s="56" t="s">
        <v>72</v>
      </c>
    </row>
  </sheetData>
  <autoFilter ref="A2:AS707" xr:uid="{9F00F79E-3976-491C-9379-89779AE28896}"/>
  <mergeCells count="2">
    <mergeCell ref="A409:A410"/>
    <mergeCell ref="A618:A623"/>
  </mergeCells>
  <conditionalFormatting sqref="W9:W27 W3:W7">
    <cfRule type="cellIs" dxfId="0" priority="1" operator="greaterThan">
      <formula>7</formula>
    </cfRule>
  </conditionalFormatting>
  <hyperlinks>
    <hyperlink ref="A369" r:id="rId1" xr:uid="{2756D37E-25D6-45C0-AFFB-C546260A8625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Phannaporn Lukpipat</dc:creator>
  <cp:lastModifiedBy>Phannaporn Lukpipat</cp:lastModifiedBy>
  <dcterms:created xsi:type="dcterms:W3CDTF">2026-05-06T23:57:31Z</dcterms:created>
  <dcterms:modified xsi:type="dcterms:W3CDTF">2026-05-06T23:57:52Z</dcterms:modified>
</cp:coreProperties>
</file>