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" sheetId="1" state="visible" r:id="rId1"/>
    <sheet name="สรุปรายเดือน" sheetId="2" state="visible" r:id="rId2"/>
    <sheet name="สินค้า" sheetId="3" state="visible" r:id="rId3"/>
    <sheet name="บันทึก" sheetId="4" state="visible" r:id="rId4"/>
    <sheet name="วิธีใช้" sheetId="5" state="visible" r:id="rId5"/>
  </sheets>
  <definedNames>
    <definedName name="_xlnm._FilterDatabase" localSheetId="3" hidden="1">'บันทึก'!$A$4:$M$1004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Sarabun"/>
      <b val="1"/>
      <color rgb="001D6F42"/>
      <sz val="15"/>
    </font>
    <font>
      <name val="Sarabun"/>
      <color rgb="006B6860"/>
      <sz val="10"/>
    </font>
    <font>
      <name val="Sarabun"/>
      <b val="1"/>
      <color rgb="00FFFFFF"/>
    </font>
    <font>
      <name val="Sarabun"/>
    </font>
    <font>
      <name val="Sarabun"/>
      <color rgb="006B6860"/>
      <sz val="9"/>
    </font>
    <font>
      <name val="Sarabun"/>
      <b val="1"/>
      <color rgb="001D6F42"/>
      <sz val="16"/>
    </font>
    <font>
      <name val="Sarabun"/>
      <b val="1"/>
    </font>
    <font>
      <name val="Sarabun"/>
      <b val="1"/>
      <sz val="13"/>
    </font>
    <font>
      <name val="Sarabun"/>
      <sz val="11"/>
    </font>
  </fonts>
  <fills count="7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FFF8E1"/>
      </patternFill>
    </fill>
    <fill>
      <patternFill patternType="solid">
        <fgColor rgb="00E8F0FA"/>
      </patternFill>
    </fill>
    <fill>
      <patternFill patternType="solid">
        <fgColor rgb="00F4F3EF"/>
      </patternFill>
    </fill>
    <fill>
      <patternFill patternType="solid">
        <fgColor rgb="00E8F3ED"/>
      </patternFill>
    </fill>
  </fills>
  <borders count="2">
    <border>
      <left/>
      <right/>
      <top/>
      <bottom/>
      <diagonal/>
    </border>
    <border>
      <left style="thin">
        <color rgb="00D0CEC4"/>
      </left>
      <right style="thin">
        <color rgb="00D0CEC4"/>
      </right>
      <top style="thin">
        <color rgb="00D0CEC4"/>
      </top>
      <bottom style="thin">
        <color rgb="00D0CEC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9" fontId="6" fillId="5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9" fontId="4" fillId="0" borderId="1" pivotButton="0" quotePrefix="0" xfId="0"/>
    <xf numFmtId="164" fontId="4" fillId="0" borderId="1" pivotButton="0" quotePrefix="0" xfId="0"/>
    <xf numFmtId="0" fontId="7" fillId="6" borderId="1" pivotButton="0" quotePrefix="0" xfId="0"/>
    <xf numFmtId="3" fontId="7" fillId="6" borderId="1" pivotButton="0" quotePrefix="0" xfId="0"/>
    <xf numFmtId="0" fontId="0" fillId="3" borderId="0" pivotButton="0" quotePrefix="0" xfId="0"/>
    <xf numFmtId="0" fontId="7" fillId="6" borderId="0" pivotButton="0" quotePrefix="0" xfId="0"/>
    <xf numFmtId="0" fontId="4" fillId="3" borderId="1" pivotButton="0" quotePrefix="0" xfId="0"/>
    <xf numFmtId="164" fontId="4" fillId="3" borderId="1" pivotButton="0" quotePrefix="0" xfId="0"/>
    <xf numFmtId="0" fontId="4" fillId="4" borderId="1" pivotButton="0" quotePrefix="0" xfId="0"/>
    <xf numFmtId="10" fontId="4" fillId="4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ont>
        <b val="1"/>
        <color rgb="009A6200"/>
      </font>
    </dxf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0" customWidth="1" min="10" max="10"/>
    <col width="9" customWidth="1" min="11" max="11"/>
    <col width="12" customWidth="1" min="12" max="12"/>
  </cols>
  <sheetData>
    <row r="1">
      <c r="A1" s="1" t="inlineStr">
        <is>
          <t>สรุปผลรวมตามสินค้า (อัตโนมัติ)</t>
        </is>
      </c>
    </row>
    <row r="2">
      <c r="A2" s="2" t="inlineStr">
        <is>
          <t>ไม่ต้องกรอก — ดึงจากชีต 'สินค้า' และ 'บันทึก' ทุกครั้งที่มีการแก้ไข</t>
        </is>
      </c>
    </row>
    <row r="3">
      <c r="A3" s="3" t="inlineStr">
        <is>
          <t>จำนวนครั้งที่ส่งตรวจ</t>
        </is>
      </c>
      <c r="B3" s="3" t="inlineStr">
        <is>
          <t>Done</t>
        </is>
      </c>
      <c r="C3" s="3" t="inlineStr">
        <is>
          <t>Pending</t>
        </is>
      </c>
      <c r="D3" s="3" t="inlineStr">
        <is>
          <t>% Done</t>
        </is>
      </c>
      <c r="E3" s="3" t="inlineStr">
        <is>
          <t>COA ครบ (Yes)</t>
        </is>
      </c>
    </row>
    <row r="4">
      <c r="A4" s="4">
        <f>COUNTA(บันทึก!$C$5:$C$1004)</f>
        <v/>
      </c>
      <c r="B4" s="4">
        <f>COUNTIF(บันทึก!$J$5:$J$1004,"Done")</f>
        <v/>
      </c>
      <c r="C4" s="4">
        <f>COUNTIF(บันทึก!$J$5:$J$1004,"Pending")</f>
        <v/>
      </c>
      <c r="D4" s="5">
        <f>IF(A4=0,0,B4/A4)</f>
        <v/>
      </c>
      <c r="E4" s="4">
        <f>COUNTIF(บันทึก!$K$5:$K$1004,"Yes")</f>
        <v/>
      </c>
      <c r="F4">
        <f>COUNTIF(บันทึก!$K$5:$K$1004,"Yes")</f>
        <v/>
      </c>
    </row>
    <row r="6" ht="32" customHeight="1">
      <c r="A6" s="6" t="inlineStr">
        <is>
          <t>ชื่อสินค้า</t>
        </is>
      </c>
      <c r="B6" s="6" t="inlineStr">
        <is>
          <t>SKU</t>
        </is>
      </c>
      <c r="C6" s="6" t="inlineStr">
        <is>
          <t>หมวด</t>
        </is>
      </c>
      <c r="D6" s="6" t="inlineStr">
        <is>
          <t>จำนวนครั้ง
ที่ส่งตรวจ</t>
        </is>
      </c>
      <c r="E6" s="6" t="inlineStr">
        <is>
          <t>รวมที่มา</t>
        </is>
      </c>
      <c r="F6" s="6" t="inlineStr">
        <is>
          <t>รวมที่ส่งตรวจ</t>
        </is>
      </c>
      <c r="G6" s="6" t="inlineStr">
        <is>
          <t>หน่วย</t>
        </is>
      </c>
      <c r="H6" s="6" t="inlineStr">
        <is>
          <t>Done</t>
        </is>
      </c>
      <c r="I6" s="6" t="inlineStr">
        <is>
          <t>Pending</t>
        </is>
      </c>
      <c r="J6" s="6" t="inlineStr">
        <is>
          <t>COA (Yes)</t>
        </is>
      </c>
      <c r="K6" s="6" t="inlineStr">
        <is>
          <t>% Done</t>
        </is>
      </c>
      <c r="L6" s="6" t="inlineStr">
        <is>
          <t>ส่งล่าสุด</t>
        </is>
      </c>
    </row>
    <row r="7">
      <c r="A7" s="7">
        <f>IF(สินค้า!B5="","",สินค้า!B5)</f>
        <v/>
      </c>
      <c r="B7" s="7">
        <f>IF($A7="","",สินค้า!A5)</f>
        <v/>
      </c>
      <c r="C7" s="7">
        <f>IF($A7="","",สินค้า!C5)</f>
        <v/>
      </c>
      <c r="D7" s="7">
        <f>IF($A7="","",COUNTIF(บันทึก!$C$5:$C$1004,$A7))</f>
        <v/>
      </c>
      <c r="E7" s="8">
        <f>IF($A7="","",SUMIFS(บันทึก!$G$5:$G$1004,บันทึก!$C$5:$C$1004,$A7))</f>
        <v/>
      </c>
      <c r="F7" s="8">
        <f>IF($A7="","",SUMIFS(บันทึก!$H$5:$H$1004,บันทึก!$C$5:$C$1004,$A7))</f>
        <v/>
      </c>
      <c r="G7" s="7">
        <f>IF($A7="","",สินค้า!D5)</f>
        <v/>
      </c>
      <c r="H7" s="7">
        <f>IF($A7="","",COUNTIFS(บันทึก!$C$5:$C$1004,$A7,บันทึก!$J$5:$J$1004,"Done"))</f>
        <v/>
      </c>
      <c r="I7" s="7">
        <f>IF($A7="","",COUNTIFS(บันทึก!$C$5:$C$1004,$A7,บันทึก!$J$5:$J$1004,"Pending"))</f>
        <v/>
      </c>
      <c r="J7" s="7">
        <f>IF($A7="","",COUNTIFS(บันทึก!$C$5:$C$1004,$A7,บันทึก!$K$5:$K$1004,"Yes"))</f>
        <v/>
      </c>
      <c r="K7" s="9">
        <f>IF(OR($A7="",D7=0),"",H7/D7)</f>
        <v/>
      </c>
      <c r="L7" s="10">
        <f>IF(OR($A7="",D7=0),"",MAXIFS(บันทึก!$A$5:$A$1004,บันทึก!$C$5:$C$1004,$A7))</f>
        <v/>
      </c>
    </row>
    <row r="8">
      <c r="A8" s="7">
        <f>IF(สินค้า!B6="","",สินค้า!B6)</f>
        <v/>
      </c>
      <c r="B8" s="7">
        <f>IF($A8="","",สินค้า!A6)</f>
        <v/>
      </c>
      <c r="C8" s="7">
        <f>IF($A8="","",สินค้า!C6)</f>
        <v/>
      </c>
      <c r="D8" s="7">
        <f>IF($A8="","",COUNTIF(บันทึก!$C$5:$C$1004,$A8))</f>
        <v/>
      </c>
      <c r="E8" s="8">
        <f>IF($A8="","",SUMIFS(บันทึก!$G$5:$G$1004,บันทึก!$C$5:$C$1004,$A8))</f>
        <v/>
      </c>
      <c r="F8" s="8">
        <f>IF($A8="","",SUMIFS(บันทึก!$H$5:$H$1004,บันทึก!$C$5:$C$1004,$A8))</f>
        <v/>
      </c>
      <c r="G8" s="7">
        <f>IF($A8="","",สินค้า!D6)</f>
        <v/>
      </c>
      <c r="H8" s="7">
        <f>IF($A8="","",COUNTIFS(บันทึก!$C$5:$C$1004,$A8,บันทึก!$J$5:$J$1004,"Done"))</f>
        <v/>
      </c>
      <c r="I8" s="7">
        <f>IF($A8="","",COUNTIFS(บันทึก!$C$5:$C$1004,$A8,บันทึก!$J$5:$J$1004,"Pending"))</f>
        <v/>
      </c>
      <c r="J8" s="7">
        <f>IF($A8="","",COUNTIFS(บันทึก!$C$5:$C$1004,$A8,บันทึก!$K$5:$K$1004,"Yes"))</f>
        <v/>
      </c>
      <c r="K8" s="9">
        <f>IF(OR($A8="",D8=0),"",H8/D8)</f>
        <v/>
      </c>
      <c r="L8" s="10">
        <f>IF(OR($A8="",D8=0),"",MAXIFS(บันทึก!$A$5:$A$1004,บันทึก!$C$5:$C$1004,$A8))</f>
        <v/>
      </c>
    </row>
    <row r="9">
      <c r="A9" s="7">
        <f>IF(สินค้า!B7="","",สินค้า!B7)</f>
        <v/>
      </c>
      <c r="B9" s="7">
        <f>IF($A9="","",สินค้า!A7)</f>
        <v/>
      </c>
      <c r="C9" s="7">
        <f>IF($A9="","",สินค้า!C7)</f>
        <v/>
      </c>
      <c r="D9" s="7">
        <f>IF($A9="","",COUNTIF(บันทึก!$C$5:$C$1004,$A9))</f>
        <v/>
      </c>
      <c r="E9" s="8">
        <f>IF($A9="","",SUMIFS(บันทึก!$G$5:$G$1004,บันทึก!$C$5:$C$1004,$A9))</f>
        <v/>
      </c>
      <c r="F9" s="8">
        <f>IF($A9="","",SUMIFS(บันทึก!$H$5:$H$1004,บันทึก!$C$5:$C$1004,$A9))</f>
        <v/>
      </c>
      <c r="G9" s="7">
        <f>IF($A9="","",สินค้า!D7)</f>
        <v/>
      </c>
      <c r="H9" s="7">
        <f>IF($A9="","",COUNTIFS(บันทึก!$C$5:$C$1004,$A9,บันทึก!$J$5:$J$1004,"Done"))</f>
        <v/>
      </c>
      <c r="I9" s="7">
        <f>IF($A9="","",COUNTIFS(บันทึก!$C$5:$C$1004,$A9,บันทึก!$J$5:$J$1004,"Pending"))</f>
        <v/>
      </c>
      <c r="J9" s="7">
        <f>IF($A9="","",COUNTIFS(บันทึก!$C$5:$C$1004,$A9,บันทึก!$K$5:$K$1004,"Yes"))</f>
        <v/>
      </c>
      <c r="K9" s="9">
        <f>IF(OR($A9="",D9=0),"",H9/D9)</f>
        <v/>
      </c>
      <c r="L9" s="10">
        <f>IF(OR($A9="",D9=0),"",MAXIFS(บันทึก!$A$5:$A$1004,บันทึก!$C$5:$C$1004,$A9))</f>
        <v/>
      </c>
    </row>
    <row r="10">
      <c r="A10" s="7">
        <f>IF(สินค้า!B8="","",สินค้า!B8)</f>
        <v/>
      </c>
      <c r="B10" s="7">
        <f>IF($A10="","",สินค้า!A8)</f>
        <v/>
      </c>
      <c r="C10" s="7">
        <f>IF($A10="","",สินค้า!C8)</f>
        <v/>
      </c>
      <c r="D10" s="7">
        <f>IF($A10="","",COUNTIF(บันทึก!$C$5:$C$1004,$A10))</f>
        <v/>
      </c>
      <c r="E10" s="8">
        <f>IF($A10="","",SUMIFS(บันทึก!$G$5:$G$1004,บันทึก!$C$5:$C$1004,$A10))</f>
        <v/>
      </c>
      <c r="F10" s="8">
        <f>IF($A10="","",SUMIFS(บันทึก!$H$5:$H$1004,บันทึก!$C$5:$C$1004,$A10))</f>
        <v/>
      </c>
      <c r="G10" s="7">
        <f>IF($A10="","",สินค้า!D8)</f>
        <v/>
      </c>
      <c r="H10" s="7">
        <f>IF($A10="","",COUNTIFS(บันทึก!$C$5:$C$1004,$A10,บันทึก!$J$5:$J$1004,"Done"))</f>
        <v/>
      </c>
      <c r="I10" s="7">
        <f>IF($A10="","",COUNTIFS(บันทึก!$C$5:$C$1004,$A10,บันทึก!$J$5:$J$1004,"Pending"))</f>
        <v/>
      </c>
      <c r="J10" s="7">
        <f>IF($A10="","",COUNTIFS(บันทึก!$C$5:$C$1004,$A10,บันทึก!$K$5:$K$1004,"Yes"))</f>
        <v/>
      </c>
      <c r="K10" s="9">
        <f>IF(OR($A10="",D10=0),"",H10/D10)</f>
        <v/>
      </c>
      <c r="L10" s="10">
        <f>IF(OR($A10="",D10=0),"",MAXIFS(บันทึก!$A$5:$A$1004,บันทึก!$C$5:$C$1004,$A10))</f>
        <v/>
      </c>
    </row>
    <row r="11">
      <c r="A11" s="7">
        <f>IF(สินค้า!B9="","",สินค้า!B9)</f>
        <v/>
      </c>
      <c r="B11" s="7">
        <f>IF($A11="","",สินค้า!A9)</f>
        <v/>
      </c>
      <c r="C11" s="7">
        <f>IF($A11="","",สินค้า!C9)</f>
        <v/>
      </c>
      <c r="D11" s="7">
        <f>IF($A11="","",COUNTIF(บันทึก!$C$5:$C$1004,$A11))</f>
        <v/>
      </c>
      <c r="E11" s="8">
        <f>IF($A11="","",SUMIFS(บันทึก!$G$5:$G$1004,บันทึก!$C$5:$C$1004,$A11))</f>
        <v/>
      </c>
      <c r="F11" s="8">
        <f>IF($A11="","",SUMIFS(บันทึก!$H$5:$H$1004,บันทึก!$C$5:$C$1004,$A11))</f>
        <v/>
      </c>
      <c r="G11" s="7">
        <f>IF($A11="","",สินค้า!D9)</f>
        <v/>
      </c>
      <c r="H11" s="7">
        <f>IF($A11="","",COUNTIFS(บันทึก!$C$5:$C$1004,$A11,บันทึก!$J$5:$J$1004,"Done"))</f>
        <v/>
      </c>
      <c r="I11" s="7">
        <f>IF($A11="","",COUNTIFS(บันทึก!$C$5:$C$1004,$A11,บันทึก!$J$5:$J$1004,"Pending"))</f>
        <v/>
      </c>
      <c r="J11" s="7">
        <f>IF($A11="","",COUNTIFS(บันทึก!$C$5:$C$1004,$A11,บันทึก!$K$5:$K$1004,"Yes"))</f>
        <v/>
      </c>
      <c r="K11" s="9">
        <f>IF(OR($A11="",D11=0),"",H11/D11)</f>
        <v/>
      </c>
      <c r="L11" s="10">
        <f>IF(OR($A11="",D11=0),"",MAXIFS(บันทึก!$A$5:$A$1004,บันทึก!$C$5:$C$1004,$A11))</f>
        <v/>
      </c>
    </row>
    <row r="12">
      <c r="A12" s="7">
        <f>IF(สินค้า!B10="","",สินค้า!B10)</f>
        <v/>
      </c>
      <c r="B12" s="7">
        <f>IF($A12="","",สินค้า!A10)</f>
        <v/>
      </c>
      <c r="C12" s="7">
        <f>IF($A12="","",สินค้า!C10)</f>
        <v/>
      </c>
      <c r="D12" s="7">
        <f>IF($A12="","",COUNTIF(บันทึก!$C$5:$C$1004,$A12))</f>
        <v/>
      </c>
      <c r="E12" s="8">
        <f>IF($A12="","",SUMIFS(บันทึก!$G$5:$G$1004,บันทึก!$C$5:$C$1004,$A12))</f>
        <v/>
      </c>
      <c r="F12" s="8">
        <f>IF($A12="","",SUMIFS(บันทึก!$H$5:$H$1004,บันทึก!$C$5:$C$1004,$A12))</f>
        <v/>
      </c>
      <c r="G12" s="7">
        <f>IF($A12="","",สินค้า!D10)</f>
        <v/>
      </c>
      <c r="H12" s="7">
        <f>IF($A12="","",COUNTIFS(บันทึก!$C$5:$C$1004,$A12,บันทึก!$J$5:$J$1004,"Done"))</f>
        <v/>
      </c>
      <c r="I12" s="7">
        <f>IF($A12="","",COUNTIFS(บันทึก!$C$5:$C$1004,$A12,บันทึก!$J$5:$J$1004,"Pending"))</f>
        <v/>
      </c>
      <c r="J12" s="7">
        <f>IF($A12="","",COUNTIFS(บันทึก!$C$5:$C$1004,$A12,บันทึก!$K$5:$K$1004,"Yes"))</f>
        <v/>
      </c>
      <c r="K12" s="9">
        <f>IF(OR($A12="",D12=0),"",H12/D12)</f>
        <v/>
      </c>
      <c r="L12" s="10">
        <f>IF(OR($A12="",D12=0),"",MAXIFS(บันทึก!$A$5:$A$1004,บันทึก!$C$5:$C$1004,$A12))</f>
        <v/>
      </c>
    </row>
    <row r="13">
      <c r="A13" s="7">
        <f>IF(สินค้า!B11="","",สินค้า!B11)</f>
        <v/>
      </c>
      <c r="B13" s="7">
        <f>IF($A13="","",สินค้า!A11)</f>
        <v/>
      </c>
      <c r="C13" s="7">
        <f>IF($A13="","",สินค้า!C11)</f>
        <v/>
      </c>
      <c r="D13" s="7">
        <f>IF($A13="","",COUNTIF(บันทึก!$C$5:$C$1004,$A13))</f>
        <v/>
      </c>
      <c r="E13" s="8">
        <f>IF($A13="","",SUMIFS(บันทึก!$G$5:$G$1004,บันทึก!$C$5:$C$1004,$A13))</f>
        <v/>
      </c>
      <c r="F13" s="8">
        <f>IF($A13="","",SUMIFS(บันทึก!$H$5:$H$1004,บันทึก!$C$5:$C$1004,$A13))</f>
        <v/>
      </c>
      <c r="G13" s="7">
        <f>IF($A13="","",สินค้า!D11)</f>
        <v/>
      </c>
      <c r="H13" s="7">
        <f>IF($A13="","",COUNTIFS(บันทึก!$C$5:$C$1004,$A13,บันทึก!$J$5:$J$1004,"Done"))</f>
        <v/>
      </c>
      <c r="I13" s="7">
        <f>IF($A13="","",COUNTIFS(บันทึก!$C$5:$C$1004,$A13,บันทึก!$J$5:$J$1004,"Pending"))</f>
        <v/>
      </c>
      <c r="J13" s="7">
        <f>IF($A13="","",COUNTIFS(บันทึก!$C$5:$C$1004,$A13,บันทึก!$K$5:$K$1004,"Yes"))</f>
        <v/>
      </c>
      <c r="K13" s="9">
        <f>IF(OR($A13="",D13=0),"",H13/D13)</f>
        <v/>
      </c>
      <c r="L13" s="10">
        <f>IF(OR($A13="",D13=0),"",MAXIFS(บันทึก!$A$5:$A$1004,บันทึก!$C$5:$C$1004,$A13))</f>
        <v/>
      </c>
    </row>
    <row r="14">
      <c r="A14" s="7">
        <f>IF(สินค้า!B12="","",สินค้า!B12)</f>
        <v/>
      </c>
      <c r="B14" s="7">
        <f>IF($A14="","",สินค้า!A12)</f>
        <v/>
      </c>
      <c r="C14" s="7">
        <f>IF($A14="","",สินค้า!C12)</f>
        <v/>
      </c>
      <c r="D14" s="7">
        <f>IF($A14="","",COUNTIF(บันทึก!$C$5:$C$1004,$A14))</f>
        <v/>
      </c>
      <c r="E14" s="8">
        <f>IF($A14="","",SUMIFS(บันทึก!$G$5:$G$1004,บันทึก!$C$5:$C$1004,$A14))</f>
        <v/>
      </c>
      <c r="F14" s="8">
        <f>IF($A14="","",SUMIFS(บันทึก!$H$5:$H$1004,บันทึก!$C$5:$C$1004,$A14))</f>
        <v/>
      </c>
      <c r="G14" s="7">
        <f>IF($A14="","",สินค้า!D12)</f>
        <v/>
      </c>
      <c r="H14" s="7">
        <f>IF($A14="","",COUNTIFS(บันทึก!$C$5:$C$1004,$A14,บันทึก!$J$5:$J$1004,"Done"))</f>
        <v/>
      </c>
      <c r="I14" s="7">
        <f>IF($A14="","",COUNTIFS(บันทึก!$C$5:$C$1004,$A14,บันทึก!$J$5:$J$1004,"Pending"))</f>
        <v/>
      </c>
      <c r="J14" s="7">
        <f>IF($A14="","",COUNTIFS(บันทึก!$C$5:$C$1004,$A14,บันทึก!$K$5:$K$1004,"Yes"))</f>
        <v/>
      </c>
      <c r="K14" s="9">
        <f>IF(OR($A14="",D14=0),"",H14/D14)</f>
        <v/>
      </c>
      <c r="L14" s="10">
        <f>IF(OR($A14="",D14=0),"",MAXIFS(บันทึก!$A$5:$A$1004,บันทึก!$C$5:$C$1004,$A14))</f>
        <v/>
      </c>
    </row>
    <row r="15">
      <c r="A15" s="7">
        <f>IF(สินค้า!B13="","",สินค้า!B13)</f>
        <v/>
      </c>
      <c r="B15" s="7">
        <f>IF($A15="","",สินค้า!A13)</f>
        <v/>
      </c>
      <c r="C15" s="7">
        <f>IF($A15="","",สินค้า!C13)</f>
        <v/>
      </c>
      <c r="D15" s="7">
        <f>IF($A15="","",COUNTIF(บันทึก!$C$5:$C$1004,$A15))</f>
        <v/>
      </c>
      <c r="E15" s="8">
        <f>IF($A15="","",SUMIFS(บันทึก!$G$5:$G$1004,บันทึก!$C$5:$C$1004,$A15))</f>
        <v/>
      </c>
      <c r="F15" s="8">
        <f>IF($A15="","",SUMIFS(บันทึก!$H$5:$H$1004,บันทึก!$C$5:$C$1004,$A15))</f>
        <v/>
      </c>
      <c r="G15" s="7">
        <f>IF($A15="","",สินค้า!D13)</f>
        <v/>
      </c>
      <c r="H15" s="7">
        <f>IF($A15="","",COUNTIFS(บันทึก!$C$5:$C$1004,$A15,บันทึก!$J$5:$J$1004,"Done"))</f>
        <v/>
      </c>
      <c r="I15" s="7">
        <f>IF($A15="","",COUNTIFS(บันทึก!$C$5:$C$1004,$A15,บันทึก!$J$5:$J$1004,"Pending"))</f>
        <v/>
      </c>
      <c r="J15" s="7">
        <f>IF($A15="","",COUNTIFS(บันทึก!$C$5:$C$1004,$A15,บันทึก!$K$5:$K$1004,"Yes"))</f>
        <v/>
      </c>
      <c r="K15" s="9">
        <f>IF(OR($A15="",D15=0),"",H15/D15)</f>
        <v/>
      </c>
      <c r="L15" s="10">
        <f>IF(OR($A15="",D15=0),"",MAXIFS(บันทึก!$A$5:$A$1004,บันทึก!$C$5:$C$1004,$A15))</f>
        <v/>
      </c>
    </row>
    <row r="16">
      <c r="A16" s="7">
        <f>IF(สินค้า!B14="","",สินค้า!B14)</f>
        <v/>
      </c>
      <c r="B16" s="7">
        <f>IF($A16="","",สินค้า!A14)</f>
        <v/>
      </c>
      <c r="C16" s="7">
        <f>IF($A16="","",สินค้า!C14)</f>
        <v/>
      </c>
      <c r="D16" s="7">
        <f>IF($A16="","",COUNTIF(บันทึก!$C$5:$C$1004,$A16))</f>
        <v/>
      </c>
      <c r="E16" s="8">
        <f>IF($A16="","",SUMIFS(บันทึก!$G$5:$G$1004,บันทึก!$C$5:$C$1004,$A16))</f>
        <v/>
      </c>
      <c r="F16" s="8">
        <f>IF($A16="","",SUMIFS(บันทึก!$H$5:$H$1004,บันทึก!$C$5:$C$1004,$A16))</f>
        <v/>
      </c>
      <c r="G16" s="7">
        <f>IF($A16="","",สินค้า!D14)</f>
        <v/>
      </c>
      <c r="H16" s="7">
        <f>IF($A16="","",COUNTIFS(บันทึก!$C$5:$C$1004,$A16,บันทึก!$J$5:$J$1004,"Done"))</f>
        <v/>
      </c>
      <c r="I16" s="7">
        <f>IF($A16="","",COUNTIFS(บันทึก!$C$5:$C$1004,$A16,บันทึก!$J$5:$J$1004,"Pending"))</f>
        <v/>
      </c>
      <c r="J16" s="7">
        <f>IF($A16="","",COUNTIFS(บันทึก!$C$5:$C$1004,$A16,บันทึก!$K$5:$K$1004,"Yes"))</f>
        <v/>
      </c>
      <c r="K16" s="9">
        <f>IF(OR($A16="",D16=0),"",H16/D16)</f>
        <v/>
      </c>
      <c r="L16" s="10">
        <f>IF(OR($A16="",D16=0),"",MAXIFS(บันทึก!$A$5:$A$1004,บันทึก!$C$5:$C$1004,$A16))</f>
        <v/>
      </c>
    </row>
    <row r="17">
      <c r="A17" s="7">
        <f>IF(สินค้า!B15="","",สินค้า!B15)</f>
        <v/>
      </c>
      <c r="B17" s="7">
        <f>IF($A17="","",สินค้า!A15)</f>
        <v/>
      </c>
      <c r="C17" s="7">
        <f>IF($A17="","",สินค้า!C15)</f>
        <v/>
      </c>
      <c r="D17" s="7">
        <f>IF($A17="","",COUNTIF(บันทึก!$C$5:$C$1004,$A17))</f>
        <v/>
      </c>
      <c r="E17" s="8">
        <f>IF($A17="","",SUMIFS(บันทึก!$G$5:$G$1004,บันทึก!$C$5:$C$1004,$A17))</f>
        <v/>
      </c>
      <c r="F17" s="8">
        <f>IF($A17="","",SUMIFS(บันทึก!$H$5:$H$1004,บันทึก!$C$5:$C$1004,$A17))</f>
        <v/>
      </c>
      <c r="G17" s="7">
        <f>IF($A17="","",สินค้า!D15)</f>
        <v/>
      </c>
      <c r="H17" s="7">
        <f>IF($A17="","",COUNTIFS(บันทึก!$C$5:$C$1004,$A17,บันทึก!$J$5:$J$1004,"Done"))</f>
        <v/>
      </c>
      <c r="I17" s="7">
        <f>IF($A17="","",COUNTIFS(บันทึก!$C$5:$C$1004,$A17,บันทึก!$J$5:$J$1004,"Pending"))</f>
        <v/>
      </c>
      <c r="J17" s="7">
        <f>IF($A17="","",COUNTIFS(บันทึก!$C$5:$C$1004,$A17,บันทึก!$K$5:$K$1004,"Yes"))</f>
        <v/>
      </c>
      <c r="K17" s="9">
        <f>IF(OR($A17="",D17=0),"",H17/D17)</f>
        <v/>
      </c>
      <c r="L17" s="10">
        <f>IF(OR($A17="",D17=0),"",MAXIFS(บันทึก!$A$5:$A$1004,บันทึก!$C$5:$C$1004,$A17))</f>
        <v/>
      </c>
    </row>
    <row r="18">
      <c r="A18" s="7">
        <f>IF(สินค้า!B16="","",สินค้า!B16)</f>
        <v/>
      </c>
      <c r="B18" s="7">
        <f>IF($A18="","",สินค้า!A16)</f>
        <v/>
      </c>
      <c r="C18" s="7">
        <f>IF($A18="","",สินค้า!C16)</f>
        <v/>
      </c>
      <c r="D18" s="7">
        <f>IF($A18="","",COUNTIF(บันทึก!$C$5:$C$1004,$A18))</f>
        <v/>
      </c>
      <c r="E18" s="8">
        <f>IF($A18="","",SUMIFS(บันทึก!$G$5:$G$1004,บันทึก!$C$5:$C$1004,$A18))</f>
        <v/>
      </c>
      <c r="F18" s="8">
        <f>IF($A18="","",SUMIFS(บันทึก!$H$5:$H$1004,บันทึก!$C$5:$C$1004,$A18))</f>
        <v/>
      </c>
      <c r="G18" s="7">
        <f>IF($A18="","",สินค้า!D16)</f>
        <v/>
      </c>
      <c r="H18" s="7">
        <f>IF($A18="","",COUNTIFS(บันทึก!$C$5:$C$1004,$A18,บันทึก!$J$5:$J$1004,"Done"))</f>
        <v/>
      </c>
      <c r="I18" s="7">
        <f>IF($A18="","",COUNTIFS(บันทึก!$C$5:$C$1004,$A18,บันทึก!$J$5:$J$1004,"Pending"))</f>
        <v/>
      </c>
      <c r="J18" s="7">
        <f>IF($A18="","",COUNTIFS(บันทึก!$C$5:$C$1004,$A18,บันทึก!$K$5:$K$1004,"Yes"))</f>
        <v/>
      </c>
      <c r="K18" s="9">
        <f>IF(OR($A18="",D18=0),"",H18/D18)</f>
        <v/>
      </c>
      <c r="L18" s="10">
        <f>IF(OR($A18="",D18=0),"",MAXIFS(บันทึก!$A$5:$A$1004,บันทึก!$C$5:$C$1004,$A18))</f>
        <v/>
      </c>
    </row>
    <row r="19">
      <c r="A19" s="7">
        <f>IF(สินค้า!B17="","",สินค้า!B17)</f>
        <v/>
      </c>
      <c r="B19" s="7">
        <f>IF($A19="","",สินค้า!A17)</f>
        <v/>
      </c>
      <c r="C19" s="7">
        <f>IF($A19="","",สินค้า!C17)</f>
        <v/>
      </c>
      <c r="D19" s="7">
        <f>IF($A19="","",COUNTIF(บันทึก!$C$5:$C$1004,$A19))</f>
        <v/>
      </c>
      <c r="E19" s="8">
        <f>IF($A19="","",SUMIFS(บันทึก!$G$5:$G$1004,บันทึก!$C$5:$C$1004,$A19))</f>
        <v/>
      </c>
      <c r="F19" s="8">
        <f>IF($A19="","",SUMIFS(บันทึก!$H$5:$H$1004,บันทึก!$C$5:$C$1004,$A19))</f>
        <v/>
      </c>
      <c r="G19" s="7">
        <f>IF($A19="","",สินค้า!D17)</f>
        <v/>
      </c>
      <c r="H19" s="7">
        <f>IF($A19="","",COUNTIFS(บันทึก!$C$5:$C$1004,$A19,บันทึก!$J$5:$J$1004,"Done"))</f>
        <v/>
      </c>
      <c r="I19" s="7">
        <f>IF($A19="","",COUNTIFS(บันทึก!$C$5:$C$1004,$A19,บันทึก!$J$5:$J$1004,"Pending"))</f>
        <v/>
      </c>
      <c r="J19" s="7">
        <f>IF($A19="","",COUNTIFS(บันทึก!$C$5:$C$1004,$A19,บันทึก!$K$5:$K$1004,"Yes"))</f>
        <v/>
      </c>
      <c r="K19" s="9">
        <f>IF(OR($A19="",D19=0),"",H19/D19)</f>
        <v/>
      </c>
      <c r="L19" s="10">
        <f>IF(OR($A19="",D19=0),"",MAXIFS(บันทึก!$A$5:$A$1004,บันทึก!$C$5:$C$1004,$A19))</f>
        <v/>
      </c>
    </row>
    <row r="20">
      <c r="A20" s="7">
        <f>IF(สินค้า!B18="","",สินค้า!B18)</f>
        <v/>
      </c>
      <c r="B20" s="7">
        <f>IF($A20="","",สินค้า!A18)</f>
        <v/>
      </c>
      <c r="C20" s="7">
        <f>IF($A20="","",สินค้า!C18)</f>
        <v/>
      </c>
      <c r="D20" s="7">
        <f>IF($A20="","",COUNTIF(บันทึก!$C$5:$C$1004,$A20))</f>
        <v/>
      </c>
      <c r="E20" s="8">
        <f>IF($A20="","",SUMIFS(บันทึก!$G$5:$G$1004,บันทึก!$C$5:$C$1004,$A20))</f>
        <v/>
      </c>
      <c r="F20" s="8">
        <f>IF($A20="","",SUMIFS(บันทึก!$H$5:$H$1004,บันทึก!$C$5:$C$1004,$A20))</f>
        <v/>
      </c>
      <c r="G20" s="7">
        <f>IF($A20="","",สินค้า!D18)</f>
        <v/>
      </c>
      <c r="H20" s="7">
        <f>IF($A20="","",COUNTIFS(บันทึก!$C$5:$C$1004,$A20,บันทึก!$J$5:$J$1004,"Done"))</f>
        <v/>
      </c>
      <c r="I20" s="7">
        <f>IF($A20="","",COUNTIFS(บันทึก!$C$5:$C$1004,$A20,บันทึก!$J$5:$J$1004,"Pending"))</f>
        <v/>
      </c>
      <c r="J20" s="7">
        <f>IF($A20="","",COUNTIFS(บันทึก!$C$5:$C$1004,$A20,บันทึก!$K$5:$K$1004,"Yes"))</f>
        <v/>
      </c>
      <c r="K20" s="9">
        <f>IF(OR($A20="",D20=0),"",H20/D20)</f>
        <v/>
      </c>
      <c r="L20" s="10">
        <f>IF(OR($A20="",D20=0),"",MAXIFS(บันทึก!$A$5:$A$1004,บันทึก!$C$5:$C$1004,$A20))</f>
        <v/>
      </c>
    </row>
    <row r="21">
      <c r="A21" s="7">
        <f>IF(สินค้า!B19="","",สินค้า!B19)</f>
        <v/>
      </c>
      <c r="B21" s="7">
        <f>IF($A21="","",สินค้า!A19)</f>
        <v/>
      </c>
      <c r="C21" s="7">
        <f>IF($A21="","",สินค้า!C19)</f>
        <v/>
      </c>
      <c r="D21" s="7">
        <f>IF($A21="","",COUNTIF(บันทึก!$C$5:$C$1004,$A21))</f>
        <v/>
      </c>
      <c r="E21" s="8">
        <f>IF($A21="","",SUMIFS(บันทึก!$G$5:$G$1004,บันทึก!$C$5:$C$1004,$A21))</f>
        <v/>
      </c>
      <c r="F21" s="8">
        <f>IF($A21="","",SUMIFS(บันทึก!$H$5:$H$1004,บันทึก!$C$5:$C$1004,$A21))</f>
        <v/>
      </c>
      <c r="G21" s="7">
        <f>IF($A21="","",สินค้า!D19)</f>
        <v/>
      </c>
      <c r="H21" s="7">
        <f>IF($A21="","",COUNTIFS(บันทึก!$C$5:$C$1004,$A21,บันทึก!$J$5:$J$1004,"Done"))</f>
        <v/>
      </c>
      <c r="I21" s="7">
        <f>IF($A21="","",COUNTIFS(บันทึก!$C$5:$C$1004,$A21,บันทึก!$J$5:$J$1004,"Pending"))</f>
        <v/>
      </c>
      <c r="J21" s="7">
        <f>IF($A21="","",COUNTIFS(บันทึก!$C$5:$C$1004,$A21,บันทึก!$K$5:$K$1004,"Yes"))</f>
        <v/>
      </c>
      <c r="K21" s="9">
        <f>IF(OR($A21="",D21=0),"",H21/D21)</f>
        <v/>
      </c>
      <c r="L21" s="10">
        <f>IF(OR($A21="",D21=0),"",MAXIFS(บันทึก!$A$5:$A$1004,บันทึก!$C$5:$C$1004,$A21))</f>
        <v/>
      </c>
    </row>
    <row r="22">
      <c r="A22" s="7">
        <f>IF(สินค้า!B20="","",สินค้า!B20)</f>
        <v/>
      </c>
      <c r="B22" s="7">
        <f>IF($A22="","",สินค้า!A20)</f>
        <v/>
      </c>
      <c r="C22" s="7">
        <f>IF($A22="","",สินค้า!C20)</f>
        <v/>
      </c>
      <c r="D22" s="7">
        <f>IF($A22="","",COUNTIF(บันทึก!$C$5:$C$1004,$A22))</f>
        <v/>
      </c>
      <c r="E22" s="8">
        <f>IF($A22="","",SUMIFS(บันทึก!$G$5:$G$1004,บันทึก!$C$5:$C$1004,$A22))</f>
        <v/>
      </c>
      <c r="F22" s="8">
        <f>IF($A22="","",SUMIFS(บันทึก!$H$5:$H$1004,บันทึก!$C$5:$C$1004,$A22))</f>
        <v/>
      </c>
      <c r="G22" s="7">
        <f>IF($A22="","",สินค้า!D20)</f>
        <v/>
      </c>
      <c r="H22" s="7">
        <f>IF($A22="","",COUNTIFS(บันทึก!$C$5:$C$1004,$A22,บันทึก!$J$5:$J$1004,"Done"))</f>
        <v/>
      </c>
      <c r="I22" s="7">
        <f>IF($A22="","",COUNTIFS(บันทึก!$C$5:$C$1004,$A22,บันทึก!$J$5:$J$1004,"Pending"))</f>
        <v/>
      </c>
      <c r="J22" s="7">
        <f>IF($A22="","",COUNTIFS(บันทึก!$C$5:$C$1004,$A22,บันทึก!$K$5:$K$1004,"Yes"))</f>
        <v/>
      </c>
      <c r="K22" s="9">
        <f>IF(OR($A22="",D22=0),"",H22/D22)</f>
        <v/>
      </c>
      <c r="L22" s="10">
        <f>IF(OR($A22="",D22=0),"",MAXIFS(บันทึก!$A$5:$A$1004,บันทึก!$C$5:$C$1004,$A22))</f>
        <v/>
      </c>
    </row>
    <row r="23">
      <c r="A23" s="7">
        <f>IF(สินค้า!B21="","",สินค้า!B21)</f>
        <v/>
      </c>
      <c r="B23" s="7">
        <f>IF($A23="","",สินค้า!A21)</f>
        <v/>
      </c>
      <c r="C23" s="7">
        <f>IF($A23="","",สินค้า!C21)</f>
        <v/>
      </c>
      <c r="D23" s="7">
        <f>IF($A23="","",COUNTIF(บันทึก!$C$5:$C$1004,$A23))</f>
        <v/>
      </c>
      <c r="E23" s="8">
        <f>IF($A23="","",SUMIFS(บันทึก!$G$5:$G$1004,บันทึก!$C$5:$C$1004,$A23))</f>
        <v/>
      </c>
      <c r="F23" s="8">
        <f>IF($A23="","",SUMIFS(บันทึก!$H$5:$H$1004,บันทึก!$C$5:$C$1004,$A23))</f>
        <v/>
      </c>
      <c r="G23" s="7">
        <f>IF($A23="","",สินค้า!D21)</f>
        <v/>
      </c>
      <c r="H23" s="7">
        <f>IF($A23="","",COUNTIFS(บันทึก!$C$5:$C$1004,$A23,บันทึก!$J$5:$J$1004,"Done"))</f>
        <v/>
      </c>
      <c r="I23" s="7">
        <f>IF($A23="","",COUNTIFS(บันทึก!$C$5:$C$1004,$A23,บันทึก!$J$5:$J$1004,"Pending"))</f>
        <v/>
      </c>
      <c r="J23" s="7">
        <f>IF($A23="","",COUNTIFS(บันทึก!$C$5:$C$1004,$A23,บันทึก!$K$5:$K$1004,"Yes"))</f>
        <v/>
      </c>
      <c r="K23" s="9">
        <f>IF(OR($A23="",D23=0),"",H23/D23)</f>
        <v/>
      </c>
      <c r="L23" s="10">
        <f>IF(OR($A23="",D23=0),"",MAXIFS(บันทึก!$A$5:$A$1004,บันทึก!$C$5:$C$1004,$A23))</f>
        <v/>
      </c>
    </row>
    <row r="24">
      <c r="A24" s="7">
        <f>IF(สินค้า!B22="","",สินค้า!B22)</f>
        <v/>
      </c>
      <c r="B24" s="7">
        <f>IF($A24="","",สินค้า!A22)</f>
        <v/>
      </c>
      <c r="C24" s="7">
        <f>IF($A24="","",สินค้า!C22)</f>
        <v/>
      </c>
      <c r="D24" s="7">
        <f>IF($A24="","",COUNTIF(บันทึก!$C$5:$C$1004,$A24))</f>
        <v/>
      </c>
      <c r="E24" s="8">
        <f>IF($A24="","",SUMIFS(บันทึก!$G$5:$G$1004,บันทึก!$C$5:$C$1004,$A24))</f>
        <v/>
      </c>
      <c r="F24" s="8">
        <f>IF($A24="","",SUMIFS(บันทึก!$H$5:$H$1004,บันทึก!$C$5:$C$1004,$A24))</f>
        <v/>
      </c>
      <c r="G24" s="7">
        <f>IF($A24="","",สินค้า!D22)</f>
        <v/>
      </c>
      <c r="H24" s="7">
        <f>IF($A24="","",COUNTIFS(บันทึก!$C$5:$C$1004,$A24,บันทึก!$J$5:$J$1004,"Done"))</f>
        <v/>
      </c>
      <c r="I24" s="7">
        <f>IF($A24="","",COUNTIFS(บันทึก!$C$5:$C$1004,$A24,บันทึก!$J$5:$J$1004,"Pending"))</f>
        <v/>
      </c>
      <c r="J24" s="7">
        <f>IF($A24="","",COUNTIFS(บันทึก!$C$5:$C$1004,$A24,บันทึก!$K$5:$K$1004,"Yes"))</f>
        <v/>
      </c>
      <c r="K24" s="9">
        <f>IF(OR($A24="",D24=0),"",H24/D24)</f>
        <v/>
      </c>
      <c r="L24" s="10">
        <f>IF(OR($A24="",D24=0),"",MAXIFS(บันทึก!$A$5:$A$1004,บันทึก!$C$5:$C$1004,$A24))</f>
        <v/>
      </c>
    </row>
    <row r="25">
      <c r="A25" s="7">
        <f>IF(สินค้า!B23="","",สินค้า!B23)</f>
        <v/>
      </c>
      <c r="B25" s="7">
        <f>IF($A25="","",สินค้า!A23)</f>
        <v/>
      </c>
      <c r="C25" s="7">
        <f>IF($A25="","",สินค้า!C23)</f>
        <v/>
      </c>
      <c r="D25" s="7">
        <f>IF($A25="","",COUNTIF(บันทึก!$C$5:$C$1004,$A25))</f>
        <v/>
      </c>
      <c r="E25" s="8">
        <f>IF($A25="","",SUMIFS(บันทึก!$G$5:$G$1004,บันทึก!$C$5:$C$1004,$A25))</f>
        <v/>
      </c>
      <c r="F25" s="8">
        <f>IF($A25="","",SUMIFS(บันทึก!$H$5:$H$1004,บันทึก!$C$5:$C$1004,$A25))</f>
        <v/>
      </c>
      <c r="G25" s="7">
        <f>IF($A25="","",สินค้า!D23)</f>
        <v/>
      </c>
      <c r="H25" s="7">
        <f>IF($A25="","",COUNTIFS(บันทึก!$C$5:$C$1004,$A25,บันทึก!$J$5:$J$1004,"Done"))</f>
        <v/>
      </c>
      <c r="I25" s="7">
        <f>IF($A25="","",COUNTIFS(บันทึก!$C$5:$C$1004,$A25,บันทึก!$J$5:$J$1004,"Pending"))</f>
        <v/>
      </c>
      <c r="J25" s="7">
        <f>IF($A25="","",COUNTIFS(บันทึก!$C$5:$C$1004,$A25,บันทึก!$K$5:$K$1004,"Yes"))</f>
        <v/>
      </c>
      <c r="K25" s="9">
        <f>IF(OR($A25="",D25=0),"",H25/D25)</f>
        <v/>
      </c>
      <c r="L25" s="10">
        <f>IF(OR($A25="",D25=0),"",MAXIFS(บันทึก!$A$5:$A$1004,บันทึก!$C$5:$C$1004,$A25))</f>
        <v/>
      </c>
    </row>
    <row r="26">
      <c r="A26" s="7">
        <f>IF(สินค้า!B24="","",สินค้า!B24)</f>
        <v/>
      </c>
      <c r="B26" s="7">
        <f>IF($A26="","",สินค้า!A24)</f>
        <v/>
      </c>
      <c r="C26" s="7">
        <f>IF($A26="","",สินค้า!C24)</f>
        <v/>
      </c>
      <c r="D26" s="7">
        <f>IF($A26="","",COUNTIF(บันทึก!$C$5:$C$1004,$A26))</f>
        <v/>
      </c>
      <c r="E26" s="8">
        <f>IF($A26="","",SUMIFS(บันทึก!$G$5:$G$1004,บันทึก!$C$5:$C$1004,$A26))</f>
        <v/>
      </c>
      <c r="F26" s="8">
        <f>IF($A26="","",SUMIFS(บันทึก!$H$5:$H$1004,บันทึก!$C$5:$C$1004,$A26))</f>
        <v/>
      </c>
      <c r="G26" s="7">
        <f>IF($A26="","",สินค้า!D24)</f>
        <v/>
      </c>
      <c r="H26" s="7">
        <f>IF($A26="","",COUNTIFS(บันทึก!$C$5:$C$1004,$A26,บันทึก!$J$5:$J$1004,"Done"))</f>
        <v/>
      </c>
      <c r="I26" s="7">
        <f>IF($A26="","",COUNTIFS(บันทึก!$C$5:$C$1004,$A26,บันทึก!$J$5:$J$1004,"Pending"))</f>
        <v/>
      </c>
      <c r="J26" s="7">
        <f>IF($A26="","",COUNTIFS(บันทึก!$C$5:$C$1004,$A26,บันทึก!$K$5:$K$1004,"Yes"))</f>
        <v/>
      </c>
      <c r="K26" s="9">
        <f>IF(OR($A26="",D26=0),"",H26/D26)</f>
        <v/>
      </c>
      <c r="L26" s="10">
        <f>IF(OR($A26="",D26=0),"",MAXIFS(บันทึก!$A$5:$A$1004,บันทึก!$C$5:$C$1004,$A26))</f>
        <v/>
      </c>
    </row>
    <row r="27">
      <c r="A27" s="7">
        <f>IF(สินค้า!B25="","",สินค้า!B25)</f>
        <v/>
      </c>
      <c r="B27" s="7">
        <f>IF($A27="","",สินค้า!A25)</f>
        <v/>
      </c>
      <c r="C27" s="7">
        <f>IF($A27="","",สินค้า!C25)</f>
        <v/>
      </c>
      <c r="D27" s="7">
        <f>IF($A27="","",COUNTIF(บันทึก!$C$5:$C$1004,$A27))</f>
        <v/>
      </c>
      <c r="E27" s="8">
        <f>IF($A27="","",SUMIFS(บันทึก!$G$5:$G$1004,บันทึก!$C$5:$C$1004,$A27))</f>
        <v/>
      </c>
      <c r="F27" s="8">
        <f>IF($A27="","",SUMIFS(บันทึก!$H$5:$H$1004,บันทึก!$C$5:$C$1004,$A27))</f>
        <v/>
      </c>
      <c r="G27" s="7">
        <f>IF($A27="","",สินค้า!D25)</f>
        <v/>
      </c>
      <c r="H27" s="7">
        <f>IF($A27="","",COUNTIFS(บันทึก!$C$5:$C$1004,$A27,บันทึก!$J$5:$J$1004,"Done"))</f>
        <v/>
      </c>
      <c r="I27" s="7">
        <f>IF($A27="","",COUNTIFS(บันทึก!$C$5:$C$1004,$A27,บันทึก!$J$5:$J$1004,"Pending"))</f>
        <v/>
      </c>
      <c r="J27" s="7">
        <f>IF($A27="","",COUNTIFS(บันทึก!$C$5:$C$1004,$A27,บันทึก!$K$5:$K$1004,"Yes"))</f>
        <v/>
      </c>
      <c r="K27" s="9">
        <f>IF(OR($A27="",D27=0),"",H27/D27)</f>
        <v/>
      </c>
      <c r="L27" s="10">
        <f>IF(OR($A27="",D27=0),"",MAXIFS(บันทึก!$A$5:$A$1004,บันทึก!$C$5:$C$1004,$A27))</f>
        <v/>
      </c>
    </row>
    <row r="28">
      <c r="A28" s="7">
        <f>IF(สินค้า!B26="","",สินค้า!B26)</f>
        <v/>
      </c>
      <c r="B28" s="7">
        <f>IF($A28="","",สินค้า!A26)</f>
        <v/>
      </c>
      <c r="C28" s="7">
        <f>IF($A28="","",สินค้า!C26)</f>
        <v/>
      </c>
      <c r="D28" s="7">
        <f>IF($A28="","",COUNTIF(บันทึก!$C$5:$C$1004,$A28))</f>
        <v/>
      </c>
      <c r="E28" s="8">
        <f>IF($A28="","",SUMIFS(บันทึก!$G$5:$G$1004,บันทึก!$C$5:$C$1004,$A28))</f>
        <v/>
      </c>
      <c r="F28" s="8">
        <f>IF($A28="","",SUMIFS(บันทึก!$H$5:$H$1004,บันทึก!$C$5:$C$1004,$A28))</f>
        <v/>
      </c>
      <c r="G28" s="7">
        <f>IF($A28="","",สินค้า!D26)</f>
        <v/>
      </c>
      <c r="H28" s="7">
        <f>IF($A28="","",COUNTIFS(บันทึก!$C$5:$C$1004,$A28,บันทึก!$J$5:$J$1004,"Done"))</f>
        <v/>
      </c>
      <c r="I28" s="7">
        <f>IF($A28="","",COUNTIFS(บันทึก!$C$5:$C$1004,$A28,บันทึก!$J$5:$J$1004,"Pending"))</f>
        <v/>
      </c>
      <c r="J28" s="7">
        <f>IF($A28="","",COUNTIFS(บันทึก!$C$5:$C$1004,$A28,บันทึก!$K$5:$K$1004,"Yes"))</f>
        <v/>
      </c>
      <c r="K28" s="9">
        <f>IF(OR($A28="",D28=0),"",H28/D28)</f>
        <v/>
      </c>
      <c r="L28" s="10">
        <f>IF(OR($A28="",D28=0),"",MAXIFS(บันทึก!$A$5:$A$1004,บันทึก!$C$5:$C$1004,$A28))</f>
        <v/>
      </c>
    </row>
    <row r="29">
      <c r="A29" s="7">
        <f>IF(สินค้า!B27="","",สินค้า!B27)</f>
        <v/>
      </c>
      <c r="B29" s="7">
        <f>IF($A29="","",สินค้า!A27)</f>
        <v/>
      </c>
      <c r="C29" s="7">
        <f>IF($A29="","",สินค้า!C27)</f>
        <v/>
      </c>
      <c r="D29" s="7">
        <f>IF($A29="","",COUNTIF(บันทึก!$C$5:$C$1004,$A29))</f>
        <v/>
      </c>
      <c r="E29" s="8">
        <f>IF($A29="","",SUMIFS(บันทึก!$G$5:$G$1004,บันทึก!$C$5:$C$1004,$A29))</f>
        <v/>
      </c>
      <c r="F29" s="8">
        <f>IF($A29="","",SUMIFS(บันทึก!$H$5:$H$1004,บันทึก!$C$5:$C$1004,$A29))</f>
        <v/>
      </c>
      <c r="G29" s="7">
        <f>IF($A29="","",สินค้า!D27)</f>
        <v/>
      </c>
      <c r="H29" s="7">
        <f>IF($A29="","",COUNTIFS(บันทึก!$C$5:$C$1004,$A29,บันทึก!$J$5:$J$1004,"Done"))</f>
        <v/>
      </c>
      <c r="I29" s="7">
        <f>IF($A29="","",COUNTIFS(บันทึก!$C$5:$C$1004,$A29,บันทึก!$J$5:$J$1004,"Pending"))</f>
        <v/>
      </c>
      <c r="J29" s="7">
        <f>IF($A29="","",COUNTIFS(บันทึก!$C$5:$C$1004,$A29,บันทึก!$K$5:$K$1004,"Yes"))</f>
        <v/>
      </c>
      <c r="K29" s="9">
        <f>IF(OR($A29="",D29=0),"",H29/D29)</f>
        <v/>
      </c>
      <c r="L29" s="10">
        <f>IF(OR($A29="",D29=0),"",MAXIFS(บันทึก!$A$5:$A$1004,บันทึก!$C$5:$C$1004,$A29))</f>
        <v/>
      </c>
    </row>
    <row r="30">
      <c r="A30" s="7">
        <f>IF(สินค้า!B28="","",สินค้า!B28)</f>
        <v/>
      </c>
      <c r="B30" s="7">
        <f>IF($A30="","",สินค้า!A28)</f>
        <v/>
      </c>
      <c r="C30" s="7">
        <f>IF($A30="","",สินค้า!C28)</f>
        <v/>
      </c>
      <c r="D30" s="7">
        <f>IF($A30="","",COUNTIF(บันทึก!$C$5:$C$1004,$A30))</f>
        <v/>
      </c>
      <c r="E30" s="8">
        <f>IF($A30="","",SUMIFS(บันทึก!$G$5:$G$1004,บันทึก!$C$5:$C$1004,$A30))</f>
        <v/>
      </c>
      <c r="F30" s="8">
        <f>IF($A30="","",SUMIFS(บันทึก!$H$5:$H$1004,บันทึก!$C$5:$C$1004,$A30))</f>
        <v/>
      </c>
      <c r="G30" s="7">
        <f>IF($A30="","",สินค้า!D28)</f>
        <v/>
      </c>
      <c r="H30" s="7">
        <f>IF($A30="","",COUNTIFS(บันทึก!$C$5:$C$1004,$A30,บันทึก!$J$5:$J$1004,"Done"))</f>
        <v/>
      </c>
      <c r="I30" s="7">
        <f>IF($A30="","",COUNTIFS(บันทึก!$C$5:$C$1004,$A30,บันทึก!$J$5:$J$1004,"Pending"))</f>
        <v/>
      </c>
      <c r="J30" s="7">
        <f>IF($A30="","",COUNTIFS(บันทึก!$C$5:$C$1004,$A30,บันทึก!$K$5:$K$1004,"Yes"))</f>
        <v/>
      </c>
      <c r="K30" s="9">
        <f>IF(OR($A30="",D30=0),"",H30/D30)</f>
        <v/>
      </c>
      <c r="L30" s="10">
        <f>IF(OR($A30="",D30=0),"",MAXIFS(บันทึก!$A$5:$A$1004,บันทึก!$C$5:$C$1004,$A30))</f>
        <v/>
      </c>
    </row>
    <row r="31">
      <c r="A31" s="7">
        <f>IF(สินค้า!B29="","",สินค้า!B29)</f>
        <v/>
      </c>
      <c r="B31" s="7">
        <f>IF($A31="","",สินค้า!A29)</f>
        <v/>
      </c>
      <c r="C31" s="7">
        <f>IF($A31="","",สินค้า!C29)</f>
        <v/>
      </c>
      <c r="D31" s="7">
        <f>IF($A31="","",COUNTIF(บันทึก!$C$5:$C$1004,$A31))</f>
        <v/>
      </c>
      <c r="E31" s="8">
        <f>IF($A31="","",SUMIFS(บันทึก!$G$5:$G$1004,บันทึก!$C$5:$C$1004,$A31))</f>
        <v/>
      </c>
      <c r="F31" s="8">
        <f>IF($A31="","",SUMIFS(บันทึก!$H$5:$H$1004,บันทึก!$C$5:$C$1004,$A31))</f>
        <v/>
      </c>
      <c r="G31" s="7">
        <f>IF($A31="","",สินค้า!D29)</f>
        <v/>
      </c>
      <c r="H31" s="7">
        <f>IF($A31="","",COUNTIFS(บันทึก!$C$5:$C$1004,$A31,บันทึก!$J$5:$J$1004,"Done"))</f>
        <v/>
      </c>
      <c r="I31" s="7">
        <f>IF($A31="","",COUNTIFS(บันทึก!$C$5:$C$1004,$A31,บันทึก!$J$5:$J$1004,"Pending"))</f>
        <v/>
      </c>
      <c r="J31" s="7">
        <f>IF($A31="","",COUNTIFS(บันทึก!$C$5:$C$1004,$A31,บันทึก!$K$5:$K$1004,"Yes"))</f>
        <v/>
      </c>
      <c r="K31" s="9">
        <f>IF(OR($A31="",D31=0),"",H31/D31)</f>
        <v/>
      </c>
      <c r="L31" s="10">
        <f>IF(OR($A31="",D31=0),"",MAXIFS(บันทึก!$A$5:$A$1004,บันทึก!$C$5:$C$1004,$A31))</f>
        <v/>
      </c>
    </row>
    <row r="32">
      <c r="A32" s="7">
        <f>IF(สินค้า!B30="","",สินค้า!B30)</f>
        <v/>
      </c>
      <c r="B32" s="7">
        <f>IF($A32="","",สินค้า!A30)</f>
        <v/>
      </c>
      <c r="C32" s="7">
        <f>IF($A32="","",สินค้า!C30)</f>
        <v/>
      </c>
      <c r="D32" s="7">
        <f>IF($A32="","",COUNTIF(บันทึก!$C$5:$C$1004,$A32))</f>
        <v/>
      </c>
      <c r="E32" s="8">
        <f>IF($A32="","",SUMIFS(บันทึก!$G$5:$G$1004,บันทึก!$C$5:$C$1004,$A32))</f>
        <v/>
      </c>
      <c r="F32" s="8">
        <f>IF($A32="","",SUMIFS(บันทึก!$H$5:$H$1004,บันทึก!$C$5:$C$1004,$A32))</f>
        <v/>
      </c>
      <c r="G32" s="7">
        <f>IF($A32="","",สินค้า!D30)</f>
        <v/>
      </c>
      <c r="H32" s="7">
        <f>IF($A32="","",COUNTIFS(บันทึก!$C$5:$C$1004,$A32,บันทึก!$J$5:$J$1004,"Done"))</f>
        <v/>
      </c>
      <c r="I32" s="7">
        <f>IF($A32="","",COUNTIFS(บันทึก!$C$5:$C$1004,$A32,บันทึก!$J$5:$J$1004,"Pending"))</f>
        <v/>
      </c>
      <c r="J32" s="7">
        <f>IF($A32="","",COUNTIFS(บันทึก!$C$5:$C$1004,$A32,บันทึก!$K$5:$K$1004,"Yes"))</f>
        <v/>
      </c>
      <c r="K32" s="9">
        <f>IF(OR($A32="",D32=0),"",H32/D32)</f>
        <v/>
      </c>
      <c r="L32" s="10">
        <f>IF(OR($A32="",D32=0),"",MAXIFS(บันทึก!$A$5:$A$1004,บันทึก!$C$5:$C$1004,$A32))</f>
        <v/>
      </c>
    </row>
    <row r="33">
      <c r="A33" s="7">
        <f>IF(สินค้า!B31="","",สินค้า!B31)</f>
        <v/>
      </c>
      <c r="B33" s="7">
        <f>IF($A33="","",สินค้า!A31)</f>
        <v/>
      </c>
      <c r="C33" s="7">
        <f>IF($A33="","",สินค้า!C31)</f>
        <v/>
      </c>
      <c r="D33" s="7">
        <f>IF($A33="","",COUNTIF(บันทึก!$C$5:$C$1004,$A33))</f>
        <v/>
      </c>
      <c r="E33" s="8">
        <f>IF($A33="","",SUMIFS(บันทึก!$G$5:$G$1004,บันทึก!$C$5:$C$1004,$A33))</f>
        <v/>
      </c>
      <c r="F33" s="8">
        <f>IF($A33="","",SUMIFS(บันทึก!$H$5:$H$1004,บันทึก!$C$5:$C$1004,$A33))</f>
        <v/>
      </c>
      <c r="G33" s="7">
        <f>IF($A33="","",สินค้า!D31)</f>
        <v/>
      </c>
      <c r="H33" s="7">
        <f>IF($A33="","",COUNTIFS(บันทึก!$C$5:$C$1004,$A33,บันทึก!$J$5:$J$1004,"Done"))</f>
        <v/>
      </c>
      <c r="I33" s="7">
        <f>IF($A33="","",COUNTIFS(บันทึก!$C$5:$C$1004,$A33,บันทึก!$J$5:$J$1004,"Pending"))</f>
        <v/>
      </c>
      <c r="J33" s="7">
        <f>IF($A33="","",COUNTIFS(บันทึก!$C$5:$C$1004,$A33,บันทึก!$K$5:$K$1004,"Yes"))</f>
        <v/>
      </c>
      <c r="K33" s="9">
        <f>IF(OR($A33="",D33=0),"",H33/D33)</f>
        <v/>
      </c>
      <c r="L33" s="10">
        <f>IF(OR($A33="",D33=0),"",MAXIFS(บันทึก!$A$5:$A$1004,บันทึก!$C$5:$C$1004,$A33))</f>
        <v/>
      </c>
    </row>
    <row r="34">
      <c r="A34" s="7">
        <f>IF(สินค้า!B32="","",สินค้า!B32)</f>
        <v/>
      </c>
      <c r="B34" s="7">
        <f>IF($A34="","",สินค้า!A32)</f>
        <v/>
      </c>
      <c r="C34" s="7">
        <f>IF($A34="","",สินค้า!C32)</f>
        <v/>
      </c>
      <c r="D34" s="7">
        <f>IF($A34="","",COUNTIF(บันทึก!$C$5:$C$1004,$A34))</f>
        <v/>
      </c>
      <c r="E34" s="8">
        <f>IF($A34="","",SUMIFS(บันทึก!$G$5:$G$1004,บันทึก!$C$5:$C$1004,$A34))</f>
        <v/>
      </c>
      <c r="F34" s="8">
        <f>IF($A34="","",SUMIFS(บันทึก!$H$5:$H$1004,บันทึก!$C$5:$C$1004,$A34))</f>
        <v/>
      </c>
      <c r="G34" s="7">
        <f>IF($A34="","",สินค้า!D32)</f>
        <v/>
      </c>
      <c r="H34" s="7">
        <f>IF($A34="","",COUNTIFS(บันทึก!$C$5:$C$1004,$A34,บันทึก!$J$5:$J$1004,"Done"))</f>
        <v/>
      </c>
      <c r="I34" s="7">
        <f>IF($A34="","",COUNTIFS(บันทึก!$C$5:$C$1004,$A34,บันทึก!$J$5:$J$1004,"Pending"))</f>
        <v/>
      </c>
      <c r="J34" s="7">
        <f>IF($A34="","",COUNTIFS(บันทึก!$C$5:$C$1004,$A34,บันทึก!$K$5:$K$1004,"Yes"))</f>
        <v/>
      </c>
      <c r="K34" s="9">
        <f>IF(OR($A34="",D34=0),"",H34/D34)</f>
        <v/>
      </c>
      <c r="L34" s="10">
        <f>IF(OR($A34="",D34=0),"",MAXIFS(บันทึก!$A$5:$A$1004,บันทึก!$C$5:$C$1004,$A34))</f>
        <v/>
      </c>
    </row>
    <row r="35">
      <c r="A35" s="7">
        <f>IF(สินค้า!B33="","",สินค้า!B33)</f>
        <v/>
      </c>
      <c r="B35" s="7">
        <f>IF($A35="","",สินค้า!A33)</f>
        <v/>
      </c>
      <c r="C35" s="7">
        <f>IF($A35="","",สินค้า!C33)</f>
        <v/>
      </c>
      <c r="D35" s="7">
        <f>IF($A35="","",COUNTIF(บันทึก!$C$5:$C$1004,$A35))</f>
        <v/>
      </c>
      <c r="E35" s="8">
        <f>IF($A35="","",SUMIFS(บันทึก!$G$5:$G$1004,บันทึก!$C$5:$C$1004,$A35))</f>
        <v/>
      </c>
      <c r="F35" s="8">
        <f>IF($A35="","",SUMIFS(บันทึก!$H$5:$H$1004,บันทึก!$C$5:$C$1004,$A35))</f>
        <v/>
      </c>
      <c r="G35" s="7">
        <f>IF($A35="","",สินค้า!D33)</f>
        <v/>
      </c>
      <c r="H35" s="7">
        <f>IF($A35="","",COUNTIFS(บันทึก!$C$5:$C$1004,$A35,บันทึก!$J$5:$J$1004,"Done"))</f>
        <v/>
      </c>
      <c r="I35" s="7">
        <f>IF($A35="","",COUNTIFS(บันทึก!$C$5:$C$1004,$A35,บันทึก!$J$5:$J$1004,"Pending"))</f>
        <v/>
      </c>
      <c r="J35" s="7">
        <f>IF($A35="","",COUNTIFS(บันทึก!$C$5:$C$1004,$A35,บันทึก!$K$5:$K$1004,"Yes"))</f>
        <v/>
      </c>
      <c r="K35" s="9">
        <f>IF(OR($A35="",D35=0),"",H35/D35)</f>
        <v/>
      </c>
      <c r="L35" s="10">
        <f>IF(OR($A35="",D35=0),"",MAXIFS(บันทึก!$A$5:$A$1004,บันทึก!$C$5:$C$1004,$A35))</f>
        <v/>
      </c>
    </row>
    <row r="36">
      <c r="A36" s="7">
        <f>IF(สินค้า!B34="","",สินค้า!B34)</f>
        <v/>
      </c>
      <c r="B36" s="7">
        <f>IF($A36="","",สินค้า!A34)</f>
        <v/>
      </c>
      <c r="C36" s="7">
        <f>IF($A36="","",สินค้า!C34)</f>
        <v/>
      </c>
      <c r="D36" s="7">
        <f>IF($A36="","",COUNTIF(บันทึก!$C$5:$C$1004,$A36))</f>
        <v/>
      </c>
      <c r="E36" s="8">
        <f>IF($A36="","",SUMIFS(บันทึก!$G$5:$G$1004,บันทึก!$C$5:$C$1004,$A36))</f>
        <v/>
      </c>
      <c r="F36" s="8">
        <f>IF($A36="","",SUMIFS(บันทึก!$H$5:$H$1004,บันทึก!$C$5:$C$1004,$A36))</f>
        <v/>
      </c>
      <c r="G36" s="7">
        <f>IF($A36="","",สินค้า!D34)</f>
        <v/>
      </c>
      <c r="H36" s="7">
        <f>IF($A36="","",COUNTIFS(บันทึก!$C$5:$C$1004,$A36,บันทึก!$J$5:$J$1004,"Done"))</f>
        <v/>
      </c>
      <c r="I36" s="7">
        <f>IF($A36="","",COUNTIFS(บันทึก!$C$5:$C$1004,$A36,บันทึก!$J$5:$J$1004,"Pending"))</f>
        <v/>
      </c>
      <c r="J36" s="7">
        <f>IF($A36="","",COUNTIFS(บันทึก!$C$5:$C$1004,$A36,บันทึก!$K$5:$K$1004,"Yes"))</f>
        <v/>
      </c>
      <c r="K36" s="9">
        <f>IF(OR($A36="",D36=0),"",H36/D36)</f>
        <v/>
      </c>
      <c r="L36" s="10">
        <f>IF(OR($A36="",D36=0),"",MAXIFS(บันทึก!$A$5:$A$1004,บันทึก!$C$5:$C$1004,$A36))</f>
        <v/>
      </c>
    </row>
    <row r="37">
      <c r="A37" s="7">
        <f>IF(สินค้า!B35="","",สินค้า!B35)</f>
        <v/>
      </c>
      <c r="B37" s="7">
        <f>IF($A37="","",สินค้า!A35)</f>
        <v/>
      </c>
      <c r="C37" s="7">
        <f>IF($A37="","",สินค้า!C35)</f>
        <v/>
      </c>
      <c r="D37" s="7">
        <f>IF($A37="","",COUNTIF(บันทึก!$C$5:$C$1004,$A37))</f>
        <v/>
      </c>
      <c r="E37" s="8">
        <f>IF($A37="","",SUMIFS(บันทึก!$G$5:$G$1004,บันทึก!$C$5:$C$1004,$A37))</f>
        <v/>
      </c>
      <c r="F37" s="8">
        <f>IF($A37="","",SUMIFS(บันทึก!$H$5:$H$1004,บันทึก!$C$5:$C$1004,$A37))</f>
        <v/>
      </c>
      <c r="G37" s="7">
        <f>IF($A37="","",สินค้า!D35)</f>
        <v/>
      </c>
      <c r="H37" s="7">
        <f>IF($A37="","",COUNTIFS(บันทึก!$C$5:$C$1004,$A37,บันทึก!$J$5:$J$1004,"Done"))</f>
        <v/>
      </c>
      <c r="I37" s="7">
        <f>IF($A37="","",COUNTIFS(บันทึก!$C$5:$C$1004,$A37,บันทึก!$J$5:$J$1004,"Pending"))</f>
        <v/>
      </c>
      <c r="J37" s="7">
        <f>IF($A37="","",COUNTIFS(บันทึก!$C$5:$C$1004,$A37,บันทึก!$K$5:$K$1004,"Yes"))</f>
        <v/>
      </c>
      <c r="K37" s="9">
        <f>IF(OR($A37="",D37=0),"",H37/D37)</f>
        <v/>
      </c>
      <c r="L37" s="10">
        <f>IF(OR($A37="",D37=0),"",MAXIFS(บันทึก!$A$5:$A$1004,บันทึก!$C$5:$C$1004,$A37))</f>
        <v/>
      </c>
    </row>
    <row r="38">
      <c r="A38" s="7">
        <f>IF(สินค้า!B36="","",สินค้า!B36)</f>
        <v/>
      </c>
      <c r="B38" s="7">
        <f>IF($A38="","",สินค้า!A36)</f>
        <v/>
      </c>
      <c r="C38" s="7">
        <f>IF($A38="","",สินค้า!C36)</f>
        <v/>
      </c>
      <c r="D38" s="7">
        <f>IF($A38="","",COUNTIF(บันทึก!$C$5:$C$1004,$A38))</f>
        <v/>
      </c>
      <c r="E38" s="8">
        <f>IF($A38="","",SUMIFS(บันทึก!$G$5:$G$1004,บันทึก!$C$5:$C$1004,$A38))</f>
        <v/>
      </c>
      <c r="F38" s="8">
        <f>IF($A38="","",SUMIFS(บันทึก!$H$5:$H$1004,บันทึก!$C$5:$C$1004,$A38))</f>
        <v/>
      </c>
      <c r="G38" s="7">
        <f>IF($A38="","",สินค้า!D36)</f>
        <v/>
      </c>
      <c r="H38" s="7">
        <f>IF($A38="","",COUNTIFS(บันทึก!$C$5:$C$1004,$A38,บันทึก!$J$5:$J$1004,"Done"))</f>
        <v/>
      </c>
      <c r="I38" s="7">
        <f>IF($A38="","",COUNTIFS(บันทึก!$C$5:$C$1004,$A38,บันทึก!$J$5:$J$1004,"Pending"))</f>
        <v/>
      </c>
      <c r="J38" s="7">
        <f>IF($A38="","",COUNTIFS(บันทึก!$C$5:$C$1004,$A38,บันทึก!$K$5:$K$1004,"Yes"))</f>
        <v/>
      </c>
      <c r="K38" s="9">
        <f>IF(OR($A38="",D38=0),"",H38/D38)</f>
        <v/>
      </c>
      <c r="L38" s="10">
        <f>IF(OR($A38="",D38=0),"",MAXIFS(บันทึก!$A$5:$A$1004,บันทึก!$C$5:$C$1004,$A38))</f>
        <v/>
      </c>
    </row>
    <row r="39">
      <c r="A39" s="7">
        <f>IF(สินค้า!B37="","",สินค้า!B37)</f>
        <v/>
      </c>
      <c r="B39" s="7">
        <f>IF($A39="","",สินค้า!A37)</f>
        <v/>
      </c>
      <c r="C39" s="7">
        <f>IF($A39="","",สินค้า!C37)</f>
        <v/>
      </c>
      <c r="D39" s="7">
        <f>IF($A39="","",COUNTIF(บันทึก!$C$5:$C$1004,$A39))</f>
        <v/>
      </c>
      <c r="E39" s="8">
        <f>IF($A39="","",SUMIFS(บันทึก!$G$5:$G$1004,บันทึก!$C$5:$C$1004,$A39))</f>
        <v/>
      </c>
      <c r="F39" s="8">
        <f>IF($A39="","",SUMIFS(บันทึก!$H$5:$H$1004,บันทึก!$C$5:$C$1004,$A39))</f>
        <v/>
      </c>
      <c r="G39" s="7">
        <f>IF($A39="","",สินค้า!D37)</f>
        <v/>
      </c>
      <c r="H39" s="7">
        <f>IF($A39="","",COUNTIFS(บันทึก!$C$5:$C$1004,$A39,บันทึก!$J$5:$J$1004,"Done"))</f>
        <v/>
      </c>
      <c r="I39" s="7">
        <f>IF($A39="","",COUNTIFS(บันทึก!$C$5:$C$1004,$A39,บันทึก!$J$5:$J$1004,"Pending"))</f>
        <v/>
      </c>
      <c r="J39" s="7">
        <f>IF($A39="","",COUNTIFS(บันทึก!$C$5:$C$1004,$A39,บันทึก!$K$5:$K$1004,"Yes"))</f>
        <v/>
      </c>
      <c r="K39" s="9">
        <f>IF(OR($A39="",D39=0),"",H39/D39)</f>
        <v/>
      </c>
      <c r="L39" s="10">
        <f>IF(OR($A39="",D39=0),"",MAXIFS(บันทึก!$A$5:$A$1004,บันทึก!$C$5:$C$1004,$A39))</f>
        <v/>
      </c>
    </row>
    <row r="40">
      <c r="A40" s="7">
        <f>IF(สินค้า!B38="","",สินค้า!B38)</f>
        <v/>
      </c>
      <c r="B40" s="7">
        <f>IF($A40="","",สินค้า!A38)</f>
        <v/>
      </c>
      <c r="C40" s="7">
        <f>IF($A40="","",สินค้า!C38)</f>
        <v/>
      </c>
      <c r="D40" s="7">
        <f>IF($A40="","",COUNTIF(บันทึก!$C$5:$C$1004,$A40))</f>
        <v/>
      </c>
      <c r="E40" s="8">
        <f>IF($A40="","",SUMIFS(บันทึก!$G$5:$G$1004,บันทึก!$C$5:$C$1004,$A40))</f>
        <v/>
      </c>
      <c r="F40" s="8">
        <f>IF($A40="","",SUMIFS(บันทึก!$H$5:$H$1004,บันทึก!$C$5:$C$1004,$A40))</f>
        <v/>
      </c>
      <c r="G40" s="7">
        <f>IF($A40="","",สินค้า!D38)</f>
        <v/>
      </c>
      <c r="H40" s="7">
        <f>IF($A40="","",COUNTIFS(บันทึก!$C$5:$C$1004,$A40,บันทึก!$J$5:$J$1004,"Done"))</f>
        <v/>
      </c>
      <c r="I40" s="7">
        <f>IF($A40="","",COUNTIFS(บันทึก!$C$5:$C$1004,$A40,บันทึก!$J$5:$J$1004,"Pending"))</f>
        <v/>
      </c>
      <c r="J40" s="7">
        <f>IF($A40="","",COUNTIFS(บันทึก!$C$5:$C$1004,$A40,บันทึก!$K$5:$K$1004,"Yes"))</f>
        <v/>
      </c>
      <c r="K40" s="9">
        <f>IF(OR($A40="",D40=0),"",H40/D40)</f>
        <v/>
      </c>
      <c r="L40" s="10">
        <f>IF(OR($A40="",D40=0),"",MAXIFS(บันทึก!$A$5:$A$1004,บันทึก!$C$5:$C$1004,$A40))</f>
        <v/>
      </c>
    </row>
    <row r="41">
      <c r="A41" s="7">
        <f>IF(สินค้า!B39="","",สินค้า!B39)</f>
        <v/>
      </c>
      <c r="B41" s="7">
        <f>IF($A41="","",สินค้า!A39)</f>
        <v/>
      </c>
      <c r="C41" s="7">
        <f>IF($A41="","",สินค้า!C39)</f>
        <v/>
      </c>
      <c r="D41" s="7">
        <f>IF($A41="","",COUNTIF(บันทึก!$C$5:$C$1004,$A41))</f>
        <v/>
      </c>
      <c r="E41" s="8">
        <f>IF($A41="","",SUMIFS(บันทึก!$G$5:$G$1004,บันทึก!$C$5:$C$1004,$A41))</f>
        <v/>
      </c>
      <c r="F41" s="8">
        <f>IF($A41="","",SUMIFS(บันทึก!$H$5:$H$1004,บันทึก!$C$5:$C$1004,$A41))</f>
        <v/>
      </c>
      <c r="G41" s="7">
        <f>IF($A41="","",สินค้า!D39)</f>
        <v/>
      </c>
      <c r="H41" s="7">
        <f>IF($A41="","",COUNTIFS(บันทึก!$C$5:$C$1004,$A41,บันทึก!$J$5:$J$1004,"Done"))</f>
        <v/>
      </c>
      <c r="I41" s="7">
        <f>IF($A41="","",COUNTIFS(บันทึก!$C$5:$C$1004,$A41,บันทึก!$J$5:$J$1004,"Pending"))</f>
        <v/>
      </c>
      <c r="J41" s="7">
        <f>IF($A41="","",COUNTIFS(บันทึก!$C$5:$C$1004,$A41,บันทึก!$K$5:$K$1004,"Yes"))</f>
        <v/>
      </c>
      <c r="K41" s="9">
        <f>IF(OR($A41="",D41=0),"",H41/D41)</f>
        <v/>
      </c>
      <c r="L41" s="10">
        <f>IF(OR($A41="",D41=0),"",MAXIFS(บันทึก!$A$5:$A$1004,บันทึก!$C$5:$C$1004,$A41))</f>
        <v/>
      </c>
    </row>
    <row r="42">
      <c r="A42" s="7">
        <f>IF(สินค้า!B40="","",สินค้า!B40)</f>
        <v/>
      </c>
      <c r="B42" s="7">
        <f>IF($A42="","",สินค้า!A40)</f>
        <v/>
      </c>
      <c r="C42" s="7">
        <f>IF($A42="","",สินค้า!C40)</f>
        <v/>
      </c>
      <c r="D42" s="7">
        <f>IF($A42="","",COUNTIF(บันทึก!$C$5:$C$1004,$A42))</f>
        <v/>
      </c>
      <c r="E42" s="8">
        <f>IF($A42="","",SUMIFS(บันทึก!$G$5:$G$1004,บันทึก!$C$5:$C$1004,$A42))</f>
        <v/>
      </c>
      <c r="F42" s="8">
        <f>IF($A42="","",SUMIFS(บันทึก!$H$5:$H$1004,บันทึก!$C$5:$C$1004,$A42))</f>
        <v/>
      </c>
      <c r="G42" s="7">
        <f>IF($A42="","",สินค้า!D40)</f>
        <v/>
      </c>
      <c r="H42" s="7">
        <f>IF($A42="","",COUNTIFS(บันทึก!$C$5:$C$1004,$A42,บันทึก!$J$5:$J$1004,"Done"))</f>
        <v/>
      </c>
      <c r="I42" s="7">
        <f>IF($A42="","",COUNTIFS(บันทึก!$C$5:$C$1004,$A42,บันทึก!$J$5:$J$1004,"Pending"))</f>
        <v/>
      </c>
      <c r="J42" s="7">
        <f>IF($A42="","",COUNTIFS(บันทึก!$C$5:$C$1004,$A42,บันทึก!$K$5:$K$1004,"Yes"))</f>
        <v/>
      </c>
      <c r="K42" s="9">
        <f>IF(OR($A42="",D42=0),"",H42/D42)</f>
        <v/>
      </c>
      <c r="L42" s="10">
        <f>IF(OR($A42="",D42=0),"",MAXIFS(บันทึก!$A$5:$A$1004,บันทึก!$C$5:$C$1004,$A42))</f>
        <v/>
      </c>
    </row>
    <row r="43">
      <c r="A43" s="7">
        <f>IF(สินค้า!B41="","",สินค้า!B41)</f>
        <v/>
      </c>
      <c r="B43" s="7">
        <f>IF($A43="","",สินค้า!A41)</f>
        <v/>
      </c>
      <c r="C43" s="7">
        <f>IF($A43="","",สินค้า!C41)</f>
        <v/>
      </c>
      <c r="D43" s="7">
        <f>IF($A43="","",COUNTIF(บันทึก!$C$5:$C$1004,$A43))</f>
        <v/>
      </c>
      <c r="E43" s="8">
        <f>IF($A43="","",SUMIFS(บันทึก!$G$5:$G$1004,บันทึก!$C$5:$C$1004,$A43))</f>
        <v/>
      </c>
      <c r="F43" s="8">
        <f>IF($A43="","",SUMIFS(บันทึก!$H$5:$H$1004,บันทึก!$C$5:$C$1004,$A43))</f>
        <v/>
      </c>
      <c r="G43" s="7">
        <f>IF($A43="","",สินค้า!D41)</f>
        <v/>
      </c>
      <c r="H43" s="7">
        <f>IF($A43="","",COUNTIFS(บันทึก!$C$5:$C$1004,$A43,บันทึก!$J$5:$J$1004,"Done"))</f>
        <v/>
      </c>
      <c r="I43" s="7">
        <f>IF($A43="","",COUNTIFS(บันทึก!$C$5:$C$1004,$A43,บันทึก!$J$5:$J$1004,"Pending"))</f>
        <v/>
      </c>
      <c r="J43" s="7">
        <f>IF($A43="","",COUNTIFS(บันทึก!$C$5:$C$1004,$A43,บันทึก!$K$5:$K$1004,"Yes"))</f>
        <v/>
      </c>
      <c r="K43" s="9">
        <f>IF(OR($A43="",D43=0),"",H43/D43)</f>
        <v/>
      </c>
      <c r="L43" s="10">
        <f>IF(OR($A43="",D43=0),"",MAXIFS(บันทึก!$A$5:$A$1004,บันทึก!$C$5:$C$1004,$A43))</f>
        <v/>
      </c>
    </row>
    <row r="44">
      <c r="A44" s="7">
        <f>IF(สินค้า!B42="","",สินค้า!B42)</f>
        <v/>
      </c>
      <c r="B44" s="7">
        <f>IF($A44="","",สินค้า!A42)</f>
        <v/>
      </c>
      <c r="C44" s="7">
        <f>IF($A44="","",สินค้า!C42)</f>
        <v/>
      </c>
      <c r="D44" s="7">
        <f>IF($A44="","",COUNTIF(บันทึก!$C$5:$C$1004,$A44))</f>
        <v/>
      </c>
      <c r="E44" s="8">
        <f>IF($A44="","",SUMIFS(บันทึก!$G$5:$G$1004,บันทึก!$C$5:$C$1004,$A44))</f>
        <v/>
      </c>
      <c r="F44" s="8">
        <f>IF($A44="","",SUMIFS(บันทึก!$H$5:$H$1004,บันทึก!$C$5:$C$1004,$A44))</f>
        <v/>
      </c>
      <c r="G44" s="7">
        <f>IF($A44="","",สินค้า!D42)</f>
        <v/>
      </c>
      <c r="H44" s="7">
        <f>IF($A44="","",COUNTIFS(บันทึก!$C$5:$C$1004,$A44,บันทึก!$J$5:$J$1004,"Done"))</f>
        <v/>
      </c>
      <c r="I44" s="7">
        <f>IF($A44="","",COUNTIFS(บันทึก!$C$5:$C$1004,$A44,บันทึก!$J$5:$J$1004,"Pending"))</f>
        <v/>
      </c>
      <c r="J44" s="7">
        <f>IF($A44="","",COUNTIFS(บันทึก!$C$5:$C$1004,$A44,บันทึก!$K$5:$K$1004,"Yes"))</f>
        <v/>
      </c>
      <c r="K44" s="9">
        <f>IF(OR($A44="",D44=0),"",H44/D44)</f>
        <v/>
      </c>
      <c r="L44" s="10">
        <f>IF(OR($A44="",D44=0),"",MAXIFS(บันทึก!$A$5:$A$1004,บันทึก!$C$5:$C$1004,$A44))</f>
        <v/>
      </c>
    </row>
    <row r="45">
      <c r="A45" s="7">
        <f>IF(สินค้า!B43="","",สินค้า!B43)</f>
        <v/>
      </c>
      <c r="B45" s="7">
        <f>IF($A45="","",สินค้า!A43)</f>
        <v/>
      </c>
      <c r="C45" s="7">
        <f>IF($A45="","",สินค้า!C43)</f>
        <v/>
      </c>
      <c r="D45" s="7">
        <f>IF($A45="","",COUNTIF(บันทึก!$C$5:$C$1004,$A45))</f>
        <v/>
      </c>
      <c r="E45" s="8">
        <f>IF($A45="","",SUMIFS(บันทึก!$G$5:$G$1004,บันทึก!$C$5:$C$1004,$A45))</f>
        <v/>
      </c>
      <c r="F45" s="8">
        <f>IF($A45="","",SUMIFS(บันทึก!$H$5:$H$1004,บันทึก!$C$5:$C$1004,$A45))</f>
        <v/>
      </c>
      <c r="G45" s="7">
        <f>IF($A45="","",สินค้า!D43)</f>
        <v/>
      </c>
      <c r="H45" s="7">
        <f>IF($A45="","",COUNTIFS(บันทึก!$C$5:$C$1004,$A45,บันทึก!$J$5:$J$1004,"Done"))</f>
        <v/>
      </c>
      <c r="I45" s="7">
        <f>IF($A45="","",COUNTIFS(บันทึก!$C$5:$C$1004,$A45,บันทึก!$J$5:$J$1004,"Pending"))</f>
        <v/>
      </c>
      <c r="J45" s="7">
        <f>IF($A45="","",COUNTIFS(บันทึก!$C$5:$C$1004,$A45,บันทึก!$K$5:$K$1004,"Yes"))</f>
        <v/>
      </c>
      <c r="K45" s="9">
        <f>IF(OR($A45="",D45=0),"",H45/D45)</f>
        <v/>
      </c>
      <c r="L45" s="10">
        <f>IF(OR($A45="",D45=0),"",MAXIFS(บันทึก!$A$5:$A$1004,บันทึก!$C$5:$C$1004,$A45))</f>
        <v/>
      </c>
    </row>
    <row r="46">
      <c r="A46" s="7">
        <f>IF(สินค้า!B44="","",สินค้า!B44)</f>
        <v/>
      </c>
      <c r="B46" s="7">
        <f>IF($A46="","",สินค้า!A44)</f>
        <v/>
      </c>
      <c r="C46" s="7">
        <f>IF($A46="","",สินค้า!C44)</f>
        <v/>
      </c>
      <c r="D46" s="7">
        <f>IF($A46="","",COUNTIF(บันทึก!$C$5:$C$1004,$A46))</f>
        <v/>
      </c>
      <c r="E46" s="8">
        <f>IF($A46="","",SUMIFS(บันทึก!$G$5:$G$1004,บันทึก!$C$5:$C$1004,$A46))</f>
        <v/>
      </c>
      <c r="F46" s="8">
        <f>IF($A46="","",SUMIFS(บันทึก!$H$5:$H$1004,บันทึก!$C$5:$C$1004,$A46))</f>
        <v/>
      </c>
      <c r="G46" s="7">
        <f>IF($A46="","",สินค้า!D44)</f>
        <v/>
      </c>
      <c r="H46" s="7">
        <f>IF($A46="","",COUNTIFS(บันทึก!$C$5:$C$1004,$A46,บันทึก!$J$5:$J$1004,"Done"))</f>
        <v/>
      </c>
      <c r="I46" s="7">
        <f>IF($A46="","",COUNTIFS(บันทึก!$C$5:$C$1004,$A46,บันทึก!$J$5:$J$1004,"Pending"))</f>
        <v/>
      </c>
      <c r="J46" s="7">
        <f>IF($A46="","",COUNTIFS(บันทึก!$C$5:$C$1004,$A46,บันทึก!$K$5:$K$1004,"Yes"))</f>
        <v/>
      </c>
      <c r="K46" s="9">
        <f>IF(OR($A46="",D46=0),"",H46/D46)</f>
        <v/>
      </c>
      <c r="L46" s="10">
        <f>IF(OR($A46="",D46=0),"",MAXIFS(บันทึก!$A$5:$A$1004,บันทึก!$C$5:$C$1004,$A46))</f>
        <v/>
      </c>
    </row>
    <row r="47">
      <c r="A47" s="7">
        <f>IF(สินค้า!B45="","",สินค้า!B45)</f>
        <v/>
      </c>
      <c r="B47" s="7">
        <f>IF($A47="","",สินค้า!A45)</f>
        <v/>
      </c>
      <c r="C47" s="7">
        <f>IF($A47="","",สินค้า!C45)</f>
        <v/>
      </c>
      <c r="D47" s="7">
        <f>IF($A47="","",COUNTIF(บันทึก!$C$5:$C$1004,$A47))</f>
        <v/>
      </c>
      <c r="E47" s="8">
        <f>IF($A47="","",SUMIFS(บันทึก!$G$5:$G$1004,บันทึก!$C$5:$C$1004,$A47))</f>
        <v/>
      </c>
      <c r="F47" s="8">
        <f>IF($A47="","",SUMIFS(บันทึก!$H$5:$H$1004,บันทึก!$C$5:$C$1004,$A47))</f>
        <v/>
      </c>
      <c r="G47" s="7">
        <f>IF($A47="","",สินค้า!D45)</f>
        <v/>
      </c>
      <c r="H47" s="7">
        <f>IF($A47="","",COUNTIFS(บันทึก!$C$5:$C$1004,$A47,บันทึก!$J$5:$J$1004,"Done"))</f>
        <v/>
      </c>
      <c r="I47" s="7">
        <f>IF($A47="","",COUNTIFS(บันทึก!$C$5:$C$1004,$A47,บันทึก!$J$5:$J$1004,"Pending"))</f>
        <v/>
      </c>
      <c r="J47" s="7">
        <f>IF($A47="","",COUNTIFS(บันทึก!$C$5:$C$1004,$A47,บันทึก!$K$5:$K$1004,"Yes"))</f>
        <v/>
      </c>
      <c r="K47" s="9">
        <f>IF(OR($A47="",D47=0),"",H47/D47)</f>
        <v/>
      </c>
      <c r="L47" s="10">
        <f>IF(OR($A47="",D47=0),"",MAXIFS(บันทึก!$A$5:$A$1004,บันทึก!$C$5:$C$1004,$A47))</f>
        <v/>
      </c>
    </row>
    <row r="48">
      <c r="A48" s="7">
        <f>IF(สินค้า!B46="","",สินค้า!B46)</f>
        <v/>
      </c>
      <c r="B48" s="7">
        <f>IF($A48="","",สินค้า!A46)</f>
        <v/>
      </c>
      <c r="C48" s="7">
        <f>IF($A48="","",สินค้า!C46)</f>
        <v/>
      </c>
      <c r="D48" s="7">
        <f>IF($A48="","",COUNTIF(บันทึก!$C$5:$C$1004,$A48))</f>
        <v/>
      </c>
      <c r="E48" s="8">
        <f>IF($A48="","",SUMIFS(บันทึก!$G$5:$G$1004,บันทึก!$C$5:$C$1004,$A48))</f>
        <v/>
      </c>
      <c r="F48" s="8">
        <f>IF($A48="","",SUMIFS(บันทึก!$H$5:$H$1004,บันทึก!$C$5:$C$1004,$A48))</f>
        <v/>
      </c>
      <c r="G48" s="7">
        <f>IF($A48="","",สินค้า!D46)</f>
        <v/>
      </c>
      <c r="H48" s="7">
        <f>IF($A48="","",COUNTIFS(บันทึก!$C$5:$C$1004,$A48,บันทึก!$J$5:$J$1004,"Done"))</f>
        <v/>
      </c>
      <c r="I48" s="7">
        <f>IF($A48="","",COUNTIFS(บันทึก!$C$5:$C$1004,$A48,บันทึก!$J$5:$J$1004,"Pending"))</f>
        <v/>
      </c>
      <c r="J48" s="7">
        <f>IF($A48="","",COUNTIFS(บันทึก!$C$5:$C$1004,$A48,บันทึก!$K$5:$K$1004,"Yes"))</f>
        <v/>
      </c>
      <c r="K48" s="9">
        <f>IF(OR($A48="",D48=0),"",H48/D48)</f>
        <v/>
      </c>
      <c r="L48" s="10">
        <f>IF(OR($A48="",D48=0),"",MAXIFS(บันทึก!$A$5:$A$1004,บันทึก!$C$5:$C$1004,$A48))</f>
        <v/>
      </c>
    </row>
    <row r="49">
      <c r="A49" s="7">
        <f>IF(สินค้า!B47="","",สินค้า!B47)</f>
        <v/>
      </c>
      <c r="B49" s="7">
        <f>IF($A49="","",สินค้า!A47)</f>
        <v/>
      </c>
      <c r="C49" s="7">
        <f>IF($A49="","",สินค้า!C47)</f>
        <v/>
      </c>
      <c r="D49" s="7">
        <f>IF($A49="","",COUNTIF(บันทึก!$C$5:$C$1004,$A49))</f>
        <v/>
      </c>
      <c r="E49" s="8">
        <f>IF($A49="","",SUMIFS(บันทึก!$G$5:$G$1004,บันทึก!$C$5:$C$1004,$A49))</f>
        <v/>
      </c>
      <c r="F49" s="8">
        <f>IF($A49="","",SUMIFS(บันทึก!$H$5:$H$1004,บันทึก!$C$5:$C$1004,$A49))</f>
        <v/>
      </c>
      <c r="G49" s="7">
        <f>IF($A49="","",สินค้า!D47)</f>
        <v/>
      </c>
      <c r="H49" s="7">
        <f>IF($A49="","",COUNTIFS(บันทึก!$C$5:$C$1004,$A49,บันทึก!$J$5:$J$1004,"Done"))</f>
        <v/>
      </c>
      <c r="I49" s="7">
        <f>IF($A49="","",COUNTIFS(บันทึก!$C$5:$C$1004,$A49,บันทึก!$J$5:$J$1004,"Pending"))</f>
        <v/>
      </c>
      <c r="J49" s="7">
        <f>IF($A49="","",COUNTIFS(บันทึก!$C$5:$C$1004,$A49,บันทึก!$K$5:$K$1004,"Yes"))</f>
        <v/>
      </c>
      <c r="K49" s="9">
        <f>IF(OR($A49="",D49=0),"",H49/D49)</f>
        <v/>
      </c>
      <c r="L49" s="10">
        <f>IF(OR($A49="",D49=0),"",MAXIFS(บันทึก!$A$5:$A$1004,บันทึก!$C$5:$C$1004,$A49))</f>
        <v/>
      </c>
    </row>
    <row r="50">
      <c r="A50" s="7">
        <f>IF(สินค้า!B48="","",สินค้า!B48)</f>
        <v/>
      </c>
      <c r="B50" s="7">
        <f>IF($A50="","",สินค้า!A48)</f>
        <v/>
      </c>
      <c r="C50" s="7">
        <f>IF($A50="","",สินค้า!C48)</f>
        <v/>
      </c>
      <c r="D50" s="7">
        <f>IF($A50="","",COUNTIF(บันทึก!$C$5:$C$1004,$A50))</f>
        <v/>
      </c>
      <c r="E50" s="8">
        <f>IF($A50="","",SUMIFS(บันทึก!$G$5:$G$1004,บันทึก!$C$5:$C$1004,$A50))</f>
        <v/>
      </c>
      <c r="F50" s="8">
        <f>IF($A50="","",SUMIFS(บันทึก!$H$5:$H$1004,บันทึก!$C$5:$C$1004,$A50))</f>
        <v/>
      </c>
      <c r="G50" s="7">
        <f>IF($A50="","",สินค้า!D48)</f>
        <v/>
      </c>
      <c r="H50" s="7">
        <f>IF($A50="","",COUNTIFS(บันทึก!$C$5:$C$1004,$A50,บันทึก!$J$5:$J$1004,"Done"))</f>
        <v/>
      </c>
      <c r="I50" s="7">
        <f>IF($A50="","",COUNTIFS(บันทึก!$C$5:$C$1004,$A50,บันทึก!$J$5:$J$1004,"Pending"))</f>
        <v/>
      </c>
      <c r="J50" s="7">
        <f>IF($A50="","",COUNTIFS(บันทึก!$C$5:$C$1004,$A50,บันทึก!$K$5:$K$1004,"Yes"))</f>
        <v/>
      </c>
      <c r="K50" s="9">
        <f>IF(OR($A50="",D50=0),"",H50/D50)</f>
        <v/>
      </c>
      <c r="L50" s="10">
        <f>IF(OR($A50="",D50=0),"",MAXIFS(บันทึก!$A$5:$A$1004,บันทึก!$C$5:$C$1004,$A50))</f>
        <v/>
      </c>
    </row>
    <row r="51">
      <c r="A51" s="7">
        <f>IF(สินค้า!B49="","",สินค้า!B49)</f>
        <v/>
      </c>
      <c r="B51" s="7">
        <f>IF($A51="","",สินค้า!A49)</f>
        <v/>
      </c>
      <c r="C51" s="7">
        <f>IF($A51="","",สินค้า!C49)</f>
        <v/>
      </c>
      <c r="D51" s="7">
        <f>IF($A51="","",COUNTIF(บันทึก!$C$5:$C$1004,$A51))</f>
        <v/>
      </c>
      <c r="E51" s="8">
        <f>IF($A51="","",SUMIFS(บันทึก!$G$5:$G$1004,บันทึก!$C$5:$C$1004,$A51))</f>
        <v/>
      </c>
      <c r="F51" s="8">
        <f>IF($A51="","",SUMIFS(บันทึก!$H$5:$H$1004,บันทึก!$C$5:$C$1004,$A51))</f>
        <v/>
      </c>
      <c r="G51" s="7">
        <f>IF($A51="","",สินค้า!D49)</f>
        <v/>
      </c>
      <c r="H51" s="7">
        <f>IF($A51="","",COUNTIFS(บันทึก!$C$5:$C$1004,$A51,บันทึก!$J$5:$J$1004,"Done"))</f>
        <v/>
      </c>
      <c r="I51" s="7">
        <f>IF($A51="","",COUNTIFS(บันทึก!$C$5:$C$1004,$A51,บันทึก!$J$5:$J$1004,"Pending"))</f>
        <v/>
      </c>
      <c r="J51" s="7">
        <f>IF($A51="","",COUNTIFS(บันทึก!$C$5:$C$1004,$A51,บันทึก!$K$5:$K$1004,"Yes"))</f>
        <v/>
      </c>
      <c r="K51" s="9">
        <f>IF(OR($A51="",D51=0),"",H51/D51)</f>
        <v/>
      </c>
      <c r="L51" s="10">
        <f>IF(OR($A51="",D51=0),"",MAXIFS(บันทึก!$A$5:$A$1004,บันทึก!$C$5:$C$1004,$A51))</f>
        <v/>
      </c>
    </row>
    <row r="52">
      <c r="A52" s="7">
        <f>IF(สินค้า!B50="","",สินค้า!B50)</f>
        <v/>
      </c>
      <c r="B52" s="7">
        <f>IF($A52="","",สินค้า!A50)</f>
        <v/>
      </c>
      <c r="C52" s="7">
        <f>IF($A52="","",สินค้า!C50)</f>
        <v/>
      </c>
      <c r="D52" s="7">
        <f>IF($A52="","",COUNTIF(บันทึก!$C$5:$C$1004,$A52))</f>
        <v/>
      </c>
      <c r="E52" s="8">
        <f>IF($A52="","",SUMIFS(บันทึก!$G$5:$G$1004,บันทึก!$C$5:$C$1004,$A52))</f>
        <v/>
      </c>
      <c r="F52" s="8">
        <f>IF($A52="","",SUMIFS(บันทึก!$H$5:$H$1004,บันทึก!$C$5:$C$1004,$A52))</f>
        <v/>
      </c>
      <c r="G52" s="7">
        <f>IF($A52="","",สินค้า!D50)</f>
        <v/>
      </c>
      <c r="H52" s="7">
        <f>IF($A52="","",COUNTIFS(บันทึก!$C$5:$C$1004,$A52,บันทึก!$J$5:$J$1004,"Done"))</f>
        <v/>
      </c>
      <c r="I52" s="7">
        <f>IF($A52="","",COUNTIFS(บันทึก!$C$5:$C$1004,$A52,บันทึก!$J$5:$J$1004,"Pending"))</f>
        <v/>
      </c>
      <c r="J52" s="7">
        <f>IF($A52="","",COUNTIFS(บันทึก!$C$5:$C$1004,$A52,บันทึก!$K$5:$K$1004,"Yes"))</f>
        <v/>
      </c>
      <c r="K52" s="9">
        <f>IF(OR($A52="",D52=0),"",H52/D52)</f>
        <v/>
      </c>
      <c r="L52" s="10">
        <f>IF(OR($A52="",D52=0),"",MAXIFS(บันทึก!$A$5:$A$1004,บันทึก!$C$5:$C$1004,$A52))</f>
        <v/>
      </c>
    </row>
    <row r="53">
      <c r="A53" s="7">
        <f>IF(สินค้า!B51="","",สินค้า!B51)</f>
        <v/>
      </c>
      <c r="B53" s="7">
        <f>IF($A53="","",สินค้า!A51)</f>
        <v/>
      </c>
      <c r="C53" s="7">
        <f>IF($A53="","",สินค้า!C51)</f>
        <v/>
      </c>
      <c r="D53" s="7">
        <f>IF($A53="","",COUNTIF(บันทึก!$C$5:$C$1004,$A53))</f>
        <v/>
      </c>
      <c r="E53" s="8">
        <f>IF($A53="","",SUMIFS(บันทึก!$G$5:$G$1004,บันทึก!$C$5:$C$1004,$A53))</f>
        <v/>
      </c>
      <c r="F53" s="8">
        <f>IF($A53="","",SUMIFS(บันทึก!$H$5:$H$1004,บันทึก!$C$5:$C$1004,$A53))</f>
        <v/>
      </c>
      <c r="G53" s="7">
        <f>IF($A53="","",สินค้า!D51)</f>
        <v/>
      </c>
      <c r="H53" s="7">
        <f>IF($A53="","",COUNTIFS(บันทึก!$C$5:$C$1004,$A53,บันทึก!$J$5:$J$1004,"Done"))</f>
        <v/>
      </c>
      <c r="I53" s="7">
        <f>IF($A53="","",COUNTIFS(บันทึก!$C$5:$C$1004,$A53,บันทึก!$J$5:$J$1004,"Pending"))</f>
        <v/>
      </c>
      <c r="J53" s="7">
        <f>IF($A53="","",COUNTIFS(บันทึก!$C$5:$C$1004,$A53,บันทึก!$K$5:$K$1004,"Yes"))</f>
        <v/>
      </c>
      <c r="K53" s="9">
        <f>IF(OR($A53="",D53=0),"",H53/D53)</f>
        <v/>
      </c>
      <c r="L53" s="10">
        <f>IF(OR($A53="",D53=0),"",MAXIFS(บันทึก!$A$5:$A$1004,บันทึก!$C$5:$C$1004,$A53))</f>
        <v/>
      </c>
    </row>
    <row r="54">
      <c r="A54" s="7">
        <f>IF(สินค้า!B52="","",สินค้า!B52)</f>
        <v/>
      </c>
      <c r="B54" s="7">
        <f>IF($A54="","",สินค้า!A52)</f>
        <v/>
      </c>
      <c r="C54" s="7">
        <f>IF($A54="","",สินค้า!C52)</f>
        <v/>
      </c>
      <c r="D54" s="7">
        <f>IF($A54="","",COUNTIF(บันทึก!$C$5:$C$1004,$A54))</f>
        <v/>
      </c>
      <c r="E54" s="8">
        <f>IF($A54="","",SUMIFS(บันทึก!$G$5:$G$1004,บันทึก!$C$5:$C$1004,$A54))</f>
        <v/>
      </c>
      <c r="F54" s="8">
        <f>IF($A54="","",SUMIFS(บันทึก!$H$5:$H$1004,บันทึก!$C$5:$C$1004,$A54))</f>
        <v/>
      </c>
      <c r="G54" s="7">
        <f>IF($A54="","",สินค้า!D52)</f>
        <v/>
      </c>
      <c r="H54" s="7">
        <f>IF($A54="","",COUNTIFS(บันทึก!$C$5:$C$1004,$A54,บันทึก!$J$5:$J$1004,"Done"))</f>
        <v/>
      </c>
      <c r="I54" s="7">
        <f>IF($A54="","",COUNTIFS(บันทึก!$C$5:$C$1004,$A54,บันทึก!$J$5:$J$1004,"Pending"))</f>
        <v/>
      </c>
      <c r="J54" s="7">
        <f>IF($A54="","",COUNTIFS(บันทึก!$C$5:$C$1004,$A54,บันทึก!$K$5:$K$1004,"Yes"))</f>
        <v/>
      </c>
      <c r="K54" s="9">
        <f>IF(OR($A54="",D54=0),"",H54/D54)</f>
        <v/>
      </c>
      <c r="L54" s="10">
        <f>IF(OR($A54="",D54=0),"",MAXIFS(บันทึก!$A$5:$A$1004,บันทึก!$C$5:$C$1004,$A54))</f>
        <v/>
      </c>
    </row>
    <row r="55">
      <c r="A55" s="7">
        <f>IF(สินค้า!B53="","",สินค้า!B53)</f>
        <v/>
      </c>
      <c r="B55" s="7">
        <f>IF($A55="","",สินค้า!A53)</f>
        <v/>
      </c>
      <c r="C55" s="7">
        <f>IF($A55="","",สินค้า!C53)</f>
        <v/>
      </c>
      <c r="D55" s="7">
        <f>IF($A55="","",COUNTIF(บันทึก!$C$5:$C$1004,$A55))</f>
        <v/>
      </c>
      <c r="E55" s="8">
        <f>IF($A55="","",SUMIFS(บันทึก!$G$5:$G$1004,บันทึก!$C$5:$C$1004,$A55))</f>
        <v/>
      </c>
      <c r="F55" s="8">
        <f>IF($A55="","",SUMIFS(บันทึก!$H$5:$H$1004,บันทึก!$C$5:$C$1004,$A55))</f>
        <v/>
      </c>
      <c r="G55" s="7">
        <f>IF($A55="","",สินค้า!D53)</f>
        <v/>
      </c>
      <c r="H55" s="7">
        <f>IF($A55="","",COUNTIFS(บันทึก!$C$5:$C$1004,$A55,บันทึก!$J$5:$J$1004,"Done"))</f>
        <v/>
      </c>
      <c r="I55" s="7">
        <f>IF($A55="","",COUNTIFS(บันทึก!$C$5:$C$1004,$A55,บันทึก!$J$5:$J$1004,"Pending"))</f>
        <v/>
      </c>
      <c r="J55" s="7">
        <f>IF($A55="","",COUNTIFS(บันทึก!$C$5:$C$1004,$A55,บันทึก!$K$5:$K$1004,"Yes"))</f>
        <v/>
      </c>
      <c r="K55" s="9">
        <f>IF(OR($A55="",D55=0),"",H55/D55)</f>
        <v/>
      </c>
      <c r="L55" s="10">
        <f>IF(OR($A55="",D55=0),"",MAXIFS(บันทึก!$A$5:$A$1004,บันทึก!$C$5:$C$1004,$A55))</f>
        <v/>
      </c>
    </row>
    <row r="56">
      <c r="A56" s="7">
        <f>IF(สินค้า!B54="","",สินค้า!B54)</f>
        <v/>
      </c>
      <c r="B56" s="7">
        <f>IF($A56="","",สินค้า!A54)</f>
        <v/>
      </c>
      <c r="C56" s="7">
        <f>IF($A56="","",สินค้า!C54)</f>
        <v/>
      </c>
      <c r="D56" s="7">
        <f>IF($A56="","",COUNTIF(บันทึก!$C$5:$C$1004,$A56))</f>
        <v/>
      </c>
      <c r="E56" s="8">
        <f>IF($A56="","",SUMIFS(บันทึก!$G$5:$G$1004,บันทึก!$C$5:$C$1004,$A56))</f>
        <v/>
      </c>
      <c r="F56" s="8">
        <f>IF($A56="","",SUMIFS(บันทึก!$H$5:$H$1004,บันทึก!$C$5:$C$1004,$A56))</f>
        <v/>
      </c>
      <c r="G56" s="7">
        <f>IF($A56="","",สินค้า!D54)</f>
        <v/>
      </c>
      <c r="H56" s="7">
        <f>IF($A56="","",COUNTIFS(บันทึก!$C$5:$C$1004,$A56,บันทึก!$J$5:$J$1004,"Done"))</f>
        <v/>
      </c>
      <c r="I56" s="7">
        <f>IF($A56="","",COUNTIFS(บันทึก!$C$5:$C$1004,$A56,บันทึก!$J$5:$J$1004,"Pending"))</f>
        <v/>
      </c>
      <c r="J56" s="7">
        <f>IF($A56="","",COUNTIFS(บันทึก!$C$5:$C$1004,$A56,บันทึก!$K$5:$K$1004,"Yes"))</f>
        <v/>
      </c>
      <c r="K56" s="9">
        <f>IF(OR($A56="",D56=0),"",H56/D56)</f>
        <v/>
      </c>
      <c r="L56" s="10">
        <f>IF(OR($A56="",D56=0),"",MAXIFS(บันทึก!$A$5:$A$1004,บันทึก!$C$5:$C$1004,$A56))</f>
        <v/>
      </c>
    </row>
    <row r="57">
      <c r="A57" s="7">
        <f>IF(สินค้า!B55="","",สินค้า!B55)</f>
        <v/>
      </c>
      <c r="B57" s="7">
        <f>IF($A57="","",สินค้า!A55)</f>
        <v/>
      </c>
      <c r="C57" s="7">
        <f>IF($A57="","",สินค้า!C55)</f>
        <v/>
      </c>
      <c r="D57" s="7">
        <f>IF($A57="","",COUNTIF(บันทึก!$C$5:$C$1004,$A57))</f>
        <v/>
      </c>
      <c r="E57" s="8">
        <f>IF($A57="","",SUMIFS(บันทึก!$G$5:$G$1004,บันทึก!$C$5:$C$1004,$A57))</f>
        <v/>
      </c>
      <c r="F57" s="8">
        <f>IF($A57="","",SUMIFS(บันทึก!$H$5:$H$1004,บันทึก!$C$5:$C$1004,$A57))</f>
        <v/>
      </c>
      <c r="G57" s="7">
        <f>IF($A57="","",สินค้า!D55)</f>
        <v/>
      </c>
      <c r="H57" s="7">
        <f>IF($A57="","",COUNTIFS(บันทึก!$C$5:$C$1004,$A57,บันทึก!$J$5:$J$1004,"Done"))</f>
        <v/>
      </c>
      <c r="I57" s="7">
        <f>IF($A57="","",COUNTIFS(บันทึก!$C$5:$C$1004,$A57,บันทึก!$J$5:$J$1004,"Pending"))</f>
        <v/>
      </c>
      <c r="J57" s="7">
        <f>IF($A57="","",COUNTIFS(บันทึก!$C$5:$C$1004,$A57,บันทึก!$K$5:$K$1004,"Yes"))</f>
        <v/>
      </c>
      <c r="K57" s="9">
        <f>IF(OR($A57="",D57=0),"",H57/D57)</f>
        <v/>
      </c>
      <c r="L57" s="10">
        <f>IF(OR($A57="",D57=0),"",MAXIFS(บันทึก!$A$5:$A$1004,บันทึก!$C$5:$C$1004,$A57))</f>
        <v/>
      </c>
    </row>
    <row r="58">
      <c r="A58" s="7">
        <f>IF(สินค้า!B56="","",สินค้า!B56)</f>
        <v/>
      </c>
      <c r="B58" s="7">
        <f>IF($A58="","",สินค้า!A56)</f>
        <v/>
      </c>
      <c r="C58" s="7">
        <f>IF($A58="","",สินค้า!C56)</f>
        <v/>
      </c>
      <c r="D58" s="7">
        <f>IF($A58="","",COUNTIF(บันทึก!$C$5:$C$1004,$A58))</f>
        <v/>
      </c>
      <c r="E58" s="8">
        <f>IF($A58="","",SUMIFS(บันทึก!$G$5:$G$1004,บันทึก!$C$5:$C$1004,$A58))</f>
        <v/>
      </c>
      <c r="F58" s="8">
        <f>IF($A58="","",SUMIFS(บันทึก!$H$5:$H$1004,บันทึก!$C$5:$C$1004,$A58))</f>
        <v/>
      </c>
      <c r="G58" s="7">
        <f>IF($A58="","",สินค้า!D56)</f>
        <v/>
      </c>
      <c r="H58" s="7">
        <f>IF($A58="","",COUNTIFS(บันทึก!$C$5:$C$1004,$A58,บันทึก!$J$5:$J$1004,"Done"))</f>
        <v/>
      </c>
      <c r="I58" s="7">
        <f>IF($A58="","",COUNTIFS(บันทึก!$C$5:$C$1004,$A58,บันทึก!$J$5:$J$1004,"Pending"))</f>
        <v/>
      </c>
      <c r="J58" s="7">
        <f>IF($A58="","",COUNTIFS(บันทึก!$C$5:$C$1004,$A58,บันทึก!$K$5:$K$1004,"Yes"))</f>
        <v/>
      </c>
      <c r="K58" s="9">
        <f>IF(OR($A58="",D58=0),"",H58/D58)</f>
        <v/>
      </c>
      <c r="L58" s="10">
        <f>IF(OR($A58="",D58=0),"",MAXIFS(บันทึก!$A$5:$A$1004,บันทึก!$C$5:$C$1004,$A58))</f>
        <v/>
      </c>
    </row>
    <row r="59">
      <c r="A59" s="7">
        <f>IF(สินค้า!B57="","",สินค้า!B57)</f>
        <v/>
      </c>
      <c r="B59" s="7">
        <f>IF($A59="","",สินค้า!A57)</f>
        <v/>
      </c>
      <c r="C59" s="7">
        <f>IF($A59="","",สินค้า!C57)</f>
        <v/>
      </c>
      <c r="D59" s="7">
        <f>IF($A59="","",COUNTIF(บันทึก!$C$5:$C$1004,$A59))</f>
        <v/>
      </c>
      <c r="E59" s="8">
        <f>IF($A59="","",SUMIFS(บันทึก!$G$5:$G$1004,บันทึก!$C$5:$C$1004,$A59))</f>
        <v/>
      </c>
      <c r="F59" s="8">
        <f>IF($A59="","",SUMIFS(บันทึก!$H$5:$H$1004,บันทึก!$C$5:$C$1004,$A59))</f>
        <v/>
      </c>
      <c r="G59" s="7">
        <f>IF($A59="","",สินค้า!D57)</f>
        <v/>
      </c>
      <c r="H59" s="7">
        <f>IF($A59="","",COUNTIFS(บันทึก!$C$5:$C$1004,$A59,บันทึก!$J$5:$J$1004,"Done"))</f>
        <v/>
      </c>
      <c r="I59" s="7">
        <f>IF($A59="","",COUNTIFS(บันทึก!$C$5:$C$1004,$A59,บันทึก!$J$5:$J$1004,"Pending"))</f>
        <v/>
      </c>
      <c r="J59" s="7">
        <f>IF($A59="","",COUNTIFS(บันทึก!$C$5:$C$1004,$A59,บันทึก!$K$5:$K$1004,"Yes"))</f>
        <v/>
      </c>
      <c r="K59" s="9">
        <f>IF(OR($A59="",D59=0),"",H59/D59)</f>
        <v/>
      </c>
      <c r="L59" s="10">
        <f>IF(OR($A59="",D59=0),"",MAXIFS(บันทึก!$A$5:$A$1004,บันทึก!$C$5:$C$1004,$A59))</f>
        <v/>
      </c>
    </row>
    <row r="60">
      <c r="A60" s="7">
        <f>IF(สินค้า!B58="","",สินค้า!B58)</f>
        <v/>
      </c>
      <c r="B60" s="7">
        <f>IF($A60="","",สินค้า!A58)</f>
        <v/>
      </c>
      <c r="C60" s="7">
        <f>IF($A60="","",สินค้า!C58)</f>
        <v/>
      </c>
      <c r="D60" s="7">
        <f>IF($A60="","",COUNTIF(บันทึก!$C$5:$C$1004,$A60))</f>
        <v/>
      </c>
      <c r="E60" s="8">
        <f>IF($A60="","",SUMIFS(บันทึก!$G$5:$G$1004,บันทึก!$C$5:$C$1004,$A60))</f>
        <v/>
      </c>
      <c r="F60" s="8">
        <f>IF($A60="","",SUMIFS(บันทึก!$H$5:$H$1004,บันทึก!$C$5:$C$1004,$A60))</f>
        <v/>
      </c>
      <c r="G60" s="7">
        <f>IF($A60="","",สินค้า!D58)</f>
        <v/>
      </c>
      <c r="H60" s="7">
        <f>IF($A60="","",COUNTIFS(บันทึก!$C$5:$C$1004,$A60,บันทึก!$J$5:$J$1004,"Done"))</f>
        <v/>
      </c>
      <c r="I60" s="7">
        <f>IF($A60="","",COUNTIFS(บันทึก!$C$5:$C$1004,$A60,บันทึก!$J$5:$J$1004,"Pending"))</f>
        <v/>
      </c>
      <c r="J60" s="7">
        <f>IF($A60="","",COUNTIFS(บันทึก!$C$5:$C$1004,$A60,บันทึก!$K$5:$K$1004,"Yes"))</f>
        <v/>
      </c>
      <c r="K60" s="9">
        <f>IF(OR($A60="",D60=0),"",H60/D60)</f>
        <v/>
      </c>
      <c r="L60" s="10">
        <f>IF(OR($A60="",D60=0),"",MAXIFS(บันทึก!$A$5:$A$1004,บันทึก!$C$5:$C$1004,$A60))</f>
        <v/>
      </c>
    </row>
    <row r="61">
      <c r="A61" s="7">
        <f>IF(สินค้า!B59="","",สินค้า!B59)</f>
        <v/>
      </c>
      <c r="B61" s="7">
        <f>IF($A61="","",สินค้า!A59)</f>
        <v/>
      </c>
      <c r="C61" s="7">
        <f>IF($A61="","",สินค้า!C59)</f>
        <v/>
      </c>
      <c r="D61" s="7">
        <f>IF($A61="","",COUNTIF(บันทึก!$C$5:$C$1004,$A61))</f>
        <v/>
      </c>
      <c r="E61" s="8">
        <f>IF($A61="","",SUMIFS(บันทึก!$G$5:$G$1004,บันทึก!$C$5:$C$1004,$A61))</f>
        <v/>
      </c>
      <c r="F61" s="8">
        <f>IF($A61="","",SUMIFS(บันทึก!$H$5:$H$1004,บันทึก!$C$5:$C$1004,$A61))</f>
        <v/>
      </c>
      <c r="G61" s="7">
        <f>IF($A61="","",สินค้า!D59)</f>
        <v/>
      </c>
      <c r="H61" s="7">
        <f>IF($A61="","",COUNTIFS(บันทึก!$C$5:$C$1004,$A61,บันทึก!$J$5:$J$1004,"Done"))</f>
        <v/>
      </c>
      <c r="I61" s="7">
        <f>IF($A61="","",COUNTIFS(บันทึก!$C$5:$C$1004,$A61,บันทึก!$J$5:$J$1004,"Pending"))</f>
        <v/>
      </c>
      <c r="J61" s="7">
        <f>IF($A61="","",COUNTIFS(บันทึก!$C$5:$C$1004,$A61,บันทึก!$K$5:$K$1004,"Yes"))</f>
        <v/>
      </c>
      <c r="K61" s="9">
        <f>IF(OR($A61="",D61=0),"",H61/D61)</f>
        <v/>
      </c>
      <c r="L61" s="10">
        <f>IF(OR($A61="",D61=0),"",MAXIFS(บันทึก!$A$5:$A$1004,บันทึก!$C$5:$C$1004,$A61))</f>
        <v/>
      </c>
    </row>
    <row r="62">
      <c r="A62" s="7">
        <f>IF(สินค้า!B60="","",สินค้า!B60)</f>
        <v/>
      </c>
      <c r="B62" s="7">
        <f>IF($A62="","",สินค้า!A60)</f>
        <v/>
      </c>
      <c r="C62" s="7">
        <f>IF($A62="","",สินค้า!C60)</f>
        <v/>
      </c>
      <c r="D62" s="7">
        <f>IF($A62="","",COUNTIF(บันทึก!$C$5:$C$1004,$A62))</f>
        <v/>
      </c>
      <c r="E62" s="8">
        <f>IF($A62="","",SUMIFS(บันทึก!$G$5:$G$1004,บันทึก!$C$5:$C$1004,$A62))</f>
        <v/>
      </c>
      <c r="F62" s="8">
        <f>IF($A62="","",SUMIFS(บันทึก!$H$5:$H$1004,บันทึก!$C$5:$C$1004,$A62))</f>
        <v/>
      </c>
      <c r="G62" s="7">
        <f>IF($A62="","",สินค้า!D60)</f>
        <v/>
      </c>
      <c r="H62" s="7">
        <f>IF($A62="","",COUNTIFS(บันทึก!$C$5:$C$1004,$A62,บันทึก!$J$5:$J$1004,"Done"))</f>
        <v/>
      </c>
      <c r="I62" s="7">
        <f>IF($A62="","",COUNTIFS(บันทึก!$C$5:$C$1004,$A62,บันทึก!$J$5:$J$1004,"Pending"))</f>
        <v/>
      </c>
      <c r="J62" s="7">
        <f>IF($A62="","",COUNTIFS(บันทึก!$C$5:$C$1004,$A62,บันทึก!$K$5:$K$1004,"Yes"))</f>
        <v/>
      </c>
      <c r="K62" s="9">
        <f>IF(OR($A62="",D62=0),"",H62/D62)</f>
        <v/>
      </c>
      <c r="L62" s="10">
        <f>IF(OR($A62="",D62=0),"",MAXIFS(บันทึก!$A$5:$A$1004,บันทึก!$C$5:$C$1004,$A62))</f>
        <v/>
      </c>
    </row>
    <row r="63">
      <c r="A63" s="7">
        <f>IF(สินค้า!B61="","",สินค้า!B61)</f>
        <v/>
      </c>
      <c r="B63" s="7">
        <f>IF($A63="","",สินค้า!A61)</f>
        <v/>
      </c>
      <c r="C63" s="7">
        <f>IF($A63="","",สินค้า!C61)</f>
        <v/>
      </c>
      <c r="D63" s="7">
        <f>IF($A63="","",COUNTIF(บันทึก!$C$5:$C$1004,$A63))</f>
        <v/>
      </c>
      <c r="E63" s="8">
        <f>IF($A63="","",SUMIFS(บันทึก!$G$5:$G$1004,บันทึก!$C$5:$C$1004,$A63))</f>
        <v/>
      </c>
      <c r="F63" s="8">
        <f>IF($A63="","",SUMIFS(บันทึก!$H$5:$H$1004,บันทึก!$C$5:$C$1004,$A63))</f>
        <v/>
      </c>
      <c r="G63" s="7">
        <f>IF($A63="","",สินค้า!D61)</f>
        <v/>
      </c>
      <c r="H63" s="7">
        <f>IF($A63="","",COUNTIFS(บันทึก!$C$5:$C$1004,$A63,บันทึก!$J$5:$J$1004,"Done"))</f>
        <v/>
      </c>
      <c r="I63" s="7">
        <f>IF($A63="","",COUNTIFS(บันทึก!$C$5:$C$1004,$A63,บันทึก!$J$5:$J$1004,"Pending"))</f>
        <v/>
      </c>
      <c r="J63" s="7">
        <f>IF($A63="","",COUNTIFS(บันทึก!$C$5:$C$1004,$A63,บันทึก!$K$5:$K$1004,"Yes"))</f>
        <v/>
      </c>
      <c r="K63" s="9">
        <f>IF(OR($A63="",D63=0),"",H63/D63)</f>
        <v/>
      </c>
      <c r="L63" s="10">
        <f>IF(OR($A63="",D63=0),"",MAXIFS(บันทึก!$A$5:$A$1004,บันทึก!$C$5:$C$1004,$A63))</f>
        <v/>
      </c>
    </row>
    <row r="64">
      <c r="A64" s="7">
        <f>IF(สินค้า!B62="","",สินค้า!B62)</f>
        <v/>
      </c>
      <c r="B64" s="7">
        <f>IF($A64="","",สินค้า!A62)</f>
        <v/>
      </c>
      <c r="C64" s="7">
        <f>IF($A64="","",สินค้า!C62)</f>
        <v/>
      </c>
      <c r="D64" s="7">
        <f>IF($A64="","",COUNTIF(บันทึก!$C$5:$C$1004,$A64))</f>
        <v/>
      </c>
      <c r="E64" s="8">
        <f>IF($A64="","",SUMIFS(บันทึก!$G$5:$G$1004,บันทึก!$C$5:$C$1004,$A64))</f>
        <v/>
      </c>
      <c r="F64" s="8">
        <f>IF($A64="","",SUMIFS(บันทึก!$H$5:$H$1004,บันทึก!$C$5:$C$1004,$A64))</f>
        <v/>
      </c>
      <c r="G64" s="7">
        <f>IF($A64="","",สินค้า!D62)</f>
        <v/>
      </c>
      <c r="H64" s="7">
        <f>IF($A64="","",COUNTIFS(บันทึก!$C$5:$C$1004,$A64,บันทึก!$J$5:$J$1004,"Done"))</f>
        <v/>
      </c>
      <c r="I64" s="7">
        <f>IF($A64="","",COUNTIFS(บันทึก!$C$5:$C$1004,$A64,บันทึก!$J$5:$J$1004,"Pending"))</f>
        <v/>
      </c>
      <c r="J64" s="7">
        <f>IF($A64="","",COUNTIFS(บันทึก!$C$5:$C$1004,$A64,บันทึก!$K$5:$K$1004,"Yes"))</f>
        <v/>
      </c>
      <c r="K64" s="9">
        <f>IF(OR($A64="",D64=0),"",H64/D64)</f>
        <v/>
      </c>
      <c r="L64" s="10">
        <f>IF(OR($A64="",D64=0),"",MAXIFS(บันทึก!$A$5:$A$1004,บันทึก!$C$5:$C$1004,$A64))</f>
        <v/>
      </c>
    </row>
    <row r="65">
      <c r="A65" s="7">
        <f>IF(สินค้า!B63="","",สินค้า!B63)</f>
        <v/>
      </c>
      <c r="B65" s="7">
        <f>IF($A65="","",สินค้า!A63)</f>
        <v/>
      </c>
      <c r="C65" s="7">
        <f>IF($A65="","",สินค้า!C63)</f>
        <v/>
      </c>
      <c r="D65" s="7">
        <f>IF($A65="","",COUNTIF(บันทึก!$C$5:$C$1004,$A65))</f>
        <v/>
      </c>
      <c r="E65" s="8">
        <f>IF($A65="","",SUMIFS(บันทึก!$G$5:$G$1004,บันทึก!$C$5:$C$1004,$A65))</f>
        <v/>
      </c>
      <c r="F65" s="8">
        <f>IF($A65="","",SUMIFS(บันทึก!$H$5:$H$1004,บันทึก!$C$5:$C$1004,$A65))</f>
        <v/>
      </c>
      <c r="G65" s="7">
        <f>IF($A65="","",สินค้า!D63)</f>
        <v/>
      </c>
      <c r="H65" s="7">
        <f>IF($A65="","",COUNTIFS(บันทึก!$C$5:$C$1004,$A65,บันทึก!$J$5:$J$1004,"Done"))</f>
        <v/>
      </c>
      <c r="I65" s="7">
        <f>IF($A65="","",COUNTIFS(บันทึก!$C$5:$C$1004,$A65,บันทึก!$J$5:$J$1004,"Pending"))</f>
        <v/>
      </c>
      <c r="J65" s="7">
        <f>IF($A65="","",COUNTIFS(บันทึก!$C$5:$C$1004,$A65,บันทึก!$K$5:$K$1004,"Yes"))</f>
        <v/>
      </c>
      <c r="K65" s="9">
        <f>IF(OR($A65="",D65=0),"",H65/D65)</f>
        <v/>
      </c>
      <c r="L65" s="10">
        <f>IF(OR($A65="",D65=0),"",MAXIFS(บันทึก!$A$5:$A$1004,บันทึก!$C$5:$C$1004,$A65))</f>
        <v/>
      </c>
    </row>
    <row r="66">
      <c r="A66" s="7">
        <f>IF(สินค้า!B64="","",สินค้า!B64)</f>
        <v/>
      </c>
      <c r="B66" s="7">
        <f>IF($A66="","",สินค้า!A64)</f>
        <v/>
      </c>
      <c r="C66" s="7">
        <f>IF($A66="","",สินค้า!C64)</f>
        <v/>
      </c>
      <c r="D66" s="7">
        <f>IF($A66="","",COUNTIF(บันทึก!$C$5:$C$1004,$A66))</f>
        <v/>
      </c>
      <c r="E66" s="8">
        <f>IF($A66="","",SUMIFS(บันทึก!$G$5:$G$1004,บันทึก!$C$5:$C$1004,$A66))</f>
        <v/>
      </c>
      <c r="F66" s="8">
        <f>IF($A66="","",SUMIFS(บันทึก!$H$5:$H$1004,บันทึก!$C$5:$C$1004,$A66))</f>
        <v/>
      </c>
      <c r="G66" s="7">
        <f>IF($A66="","",สินค้า!D64)</f>
        <v/>
      </c>
      <c r="H66" s="7">
        <f>IF($A66="","",COUNTIFS(บันทึก!$C$5:$C$1004,$A66,บันทึก!$J$5:$J$1004,"Done"))</f>
        <v/>
      </c>
      <c r="I66" s="7">
        <f>IF($A66="","",COUNTIFS(บันทึก!$C$5:$C$1004,$A66,บันทึก!$J$5:$J$1004,"Pending"))</f>
        <v/>
      </c>
      <c r="J66" s="7">
        <f>IF($A66="","",COUNTIFS(บันทึก!$C$5:$C$1004,$A66,บันทึก!$K$5:$K$1004,"Yes"))</f>
        <v/>
      </c>
      <c r="K66" s="9">
        <f>IF(OR($A66="",D66=0),"",H66/D66)</f>
        <v/>
      </c>
      <c r="L66" s="10">
        <f>IF(OR($A66="",D66=0),"",MAXIFS(บันทึก!$A$5:$A$1004,บันทึก!$C$5:$C$1004,$A66))</f>
        <v/>
      </c>
    </row>
    <row r="67">
      <c r="A67" s="7">
        <f>IF(สินค้า!B65="","",สินค้า!B65)</f>
        <v/>
      </c>
      <c r="B67" s="7">
        <f>IF($A67="","",สินค้า!A65)</f>
        <v/>
      </c>
      <c r="C67" s="7">
        <f>IF($A67="","",สินค้า!C65)</f>
        <v/>
      </c>
      <c r="D67" s="7">
        <f>IF($A67="","",COUNTIF(บันทึก!$C$5:$C$1004,$A67))</f>
        <v/>
      </c>
      <c r="E67" s="8">
        <f>IF($A67="","",SUMIFS(บันทึก!$G$5:$G$1004,บันทึก!$C$5:$C$1004,$A67))</f>
        <v/>
      </c>
      <c r="F67" s="8">
        <f>IF($A67="","",SUMIFS(บันทึก!$H$5:$H$1004,บันทึก!$C$5:$C$1004,$A67))</f>
        <v/>
      </c>
      <c r="G67" s="7">
        <f>IF($A67="","",สินค้า!D65)</f>
        <v/>
      </c>
      <c r="H67" s="7">
        <f>IF($A67="","",COUNTIFS(บันทึก!$C$5:$C$1004,$A67,บันทึก!$J$5:$J$1004,"Done"))</f>
        <v/>
      </c>
      <c r="I67" s="7">
        <f>IF($A67="","",COUNTIFS(บันทึก!$C$5:$C$1004,$A67,บันทึก!$J$5:$J$1004,"Pending"))</f>
        <v/>
      </c>
      <c r="J67" s="7">
        <f>IF($A67="","",COUNTIFS(บันทึก!$C$5:$C$1004,$A67,บันทึก!$K$5:$K$1004,"Yes"))</f>
        <v/>
      </c>
      <c r="K67" s="9">
        <f>IF(OR($A67="",D67=0),"",H67/D67)</f>
        <v/>
      </c>
      <c r="L67" s="10">
        <f>IF(OR($A67="",D67=0),"",MAXIFS(บันทึก!$A$5:$A$1004,บันทึก!$C$5:$C$1004,$A67))</f>
        <v/>
      </c>
    </row>
    <row r="68">
      <c r="A68" s="7">
        <f>IF(สินค้า!B66="","",สินค้า!B66)</f>
        <v/>
      </c>
      <c r="B68" s="7">
        <f>IF($A68="","",สินค้า!A66)</f>
        <v/>
      </c>
      <c r="C68" s="7">
        <f>IF($A68="","",สินค้า!C66)</f>
        <v/>
      </c>
      <c r="D68" s="7">
        <f>IF($A68="","",COUNTIF(บันทึก!$C$5:$C$1004,$A68))</f>
        <v/>
      </c>
      <c r="E68" s="8">
        <f>IF($A68="","",SUMIFS(บันทึก!$G$5:$G$1004,บันทึก!$C$5:$C$1004,$A68))</f>
        <v/>
      </c>
      <c r="F68" s="8">
        <f>IF($A68="","",SUMIFS(บันทึก!$H$5:$H$1004,บันทึก!$C$5:$C$1004,$A68))</f>
        <v/>
      </c>
      <c r="G68" s="7">
        <f>IF($A68="","",สินค้า!D66)</f>
        <v/>
      </c>
      <c r="H68" s="7">
        <f>IF($A68="","",COUNTIFS(บันทึก!$C$5:$C$1004,$A68,บันทึก!$J$5:$J$1004,"Done"))</f>
        <v/>
      </c>
      <c r="I68" s="7">
        <f>IF($A68="","",COUNTIFS(บันทึก!$C$5:$C$1004,$A68,บันทึก!$J$5:$J$1004,"Pending"))</f>
        <v/>
      </c>
      <c r="J68" s="7">
        <f>IF($A68="","",COUNTIFS(บันทึก!$C$5:$C$1004,$A68,บันทึก!$K$5:$K$1004,"Yes"))</f>
        <v/>
      </c>
      <c r="K68" s="9">
        <f>IF(OR($A68="",D68=0),"",H68/D68)</f>
        <v/>
      </c>
      <c r="L68" s="10">
        <f>IF(OR($A68="",D68=0),"",MAXIFS(บันทึก!$A$5:$A$1004,บันทึก!$C$5:$C$1004,$A68))</f>
        <v/>
      </c>
    </row>
    <row r="69">
      <c r="A69" s="7">
        <f>IF(สินค้า!B67="","",สินค้า!B67)</f>
        <v/>
      </c>
      <c r="B69" s="7">
        <f>IF($A69="","",สินค้า!A67)</f>
        <v/>
      </c>
      <c r="C69" s="7">
        <f>IF($A69="","",สินค้า!C67)</f>
        <v/>
      </c>
      <c r="D69" s="7">
        <f>IF($A69="","",COUNTIF(บันทึก!$C$5:$C$1004,$A69))</f>
        <v/>
      </c>
      <c r="E69" s="8">
        <f>IF($A69="","",SUMIFS(บันทึก!$G$5:$G$1004,บันทึก!$C$5:$C$1004,$A69))</f>
        <v/>
      </c>
      <c r="F69" s="8">
        <f>IF($A69="","",SUMIFS(บันทึก!$H$5:$H$1004,บันทึก!$C$5:$C$1004,$A69))</f>
        <v/>
      </c>
      <c r="G69" s="7">
        <f>IF($A69="","",สินค้า!D67)</f>
        <v/>
      </c>
      <c r="H69" s="7">
        <f>IF($A69="","",COUNTIFS(บันทึก!$C$5:$C$1004,$A69,บันทึก!$J$5:$J$1004,"Done"))</f>
        <v/>
      </c>
      <c r="I69" s="7">
        <f>IF($A69="","",COUNTIFS(บันทึก!$C$5:$C$1004,$A69,บันทึก!$J$5:$J$1004,"Pending"))</f>
        <v/>
      </c>
      <c r="J69" s="7">
        <f>IF($A69="","",COUNTIFS(บันทึก!$C$5:$C$1004,$A69,บันทึก!$K$5:$K$1004,"Yes"))</f>
        <v/>
      </c>
      <c r="K69" s="9">
        <f>IF(OR($A69="",D69=0),"",H69/D69)</f>
        <v/>
      </c>
      <c r="L69" s="10">
        <f>IF(OR($A69="",D69=0),"",MAXIFS(บันทึก!$A$5:$A$1004,บันทึก!$C$5:$C$1004,$A69))</f>
        <v/>
      </c>
    </row>
    <row r="70">
      <c r="A70" s="7">
        <f>IF(สินค้า!B68="","",สินค้า!B68)</f>
        <v/>
      </c>
      <c r="B70" s="7">
        <f>IF($A70="","",สินค้า!A68)</f>
        <v/>
      </c>
      <c r="C70" s="7">
        <f>IF($A70="","",สินค้า!C68)</f>
        <v/>
      </c>
      <c r="D70" s="7">
        <f>IF($A70="","",COUNTIF(บันทึก!$C$5:$C$1004,$A70))</f>
        <v/>
      </c>
      <c r="E70" s="8">
        <f>IF($A70="","",SUMIFS(บันทึก!$G$5:$G$1004,บันทึก!$C$5:$C$1004,$A70))</f>
        <v/>
      </c>
      <c r="F70" s="8">
        <f>IF($A70="","",SUMIFS(บันทึก!$H$5:$H$1004,บันทึก!$C$5:$C$1004,$A70))</f>
        <v/>
      </c>
      <c r="G70" s="7">
        <f>IF($A70="","",สินค้า!D68)</f>
        <v/>
      </c>
      <c r="H70" s="7">
        <f>IF($A70="","",COUNTIFS(บันทึก!$C$5:$C$1004,$A70,บันทึก!$J$5:$J$1004,"Done"))</f>
        <v/>
      </c>
      <c r="I70" s="7">
        <f>IF($A70="","",COUNTIFS(บันทึก!$C$5:$C$1004,$A70,บันทึก!$J$5:$J$1004,"Pending"))</f>
        <v/>
      </c>
      <c r="J70" s="7">
        <f>IF($A70="","",COUNTIFS(บันทึก!$C$5:$C$1004,$A70,บันทึก!$K$5:$K$1004,"Yes"))</f>
        <v/>
      </c>
      <c r="K70" s="9">
        <f>IF(OR($A70="",D70=0),"",H70/D70)</f>
        <v/>
      </c>
      <c r="L70" s="10">
        <f>IF(OR($A70="",D70=0),"",MAXIFS(บันทึก!$A$5:$A$1004,บันทึก!$C$5:$C$1004,$A70))</f>
        <v/>
      </c>
    </row>
    <row r="71">
      <c r="A71" s="7">
        <f>IF(สินค้า!B69="","",สินค้า!B69)</f>
        <v/>
      </c>
      <c r="B71" s="7">
        <f>IF($A71="","",สินค้า!A69)</f>
        <v/>
      </c>
      <c r="C71" s="7">
        <f>IF($A71="","",สินค้า!C69)</f>
        <v/>
      </c>
      <c r="D71" s="7">
        <f>IF($A71="","",COUNTIF(บันทึก!$C$5:$C$1004,$A71))</f>
        <v/>
      </c>
      <c r="E71" s="8">
        <f>IF($A71="","",SUMIFS(บันทึก!$G$5:$G$1004,บันทึก!$C$5:$C$1004,$A71))</f>
        <v/>
      </c>
      <c r="F71" s="8">
        <f>IF($A71="","",SUMIFS(บันทึก!$H$5:$H$1004,บันทึก!$C$5:$C$1004,$A71))</f>
        <v/>
      </c>
      <c r="G71" s="7">
        <f>IF($A71="","",สินค้า!D69)</f>
        <v/>
      </c>
      <c r="H71" s="7">
        <f>IF($A71="","",COUNTIFS(บันทึก!$C$5:$C$1004,$A71,บันทึก!$J$5:$J$1004,"Done"))</f>
        <v/>
      </c>
      <c r="I71" s="7">
        <f>IF($A71="","",COUNTIFS(บันทึก!$C$5:$C$1004,$A71,บันทึก!$J$5:$J$1004,"Pending"))</f>
        <v/>
      </c>
      <c r="J71" s="7">
        <f>IF($A71="","",COUNTIFS(บันทึก!$C$5:$C$1004,$A71,บันทึก!$K$5:$K$1004,"Yes"))</f>
        <v/>
      </c>
      <c r="K71" s="9">
        <f>IF(OR($A71="",D71=0),"",H71/D71)</f>
        <v/>
      </c>
      <c r="L71" s="10">
        <f>IF(OR($A71="",D71=0),"",MAXIFS(บันทึก!$A$5:$A$1004,บันทึก!$C$5:$C$1004,$A71))</f>
        <v/>
      </c>
    </row>
    <row r="72">
      <c r="A72" s="7">
        <f>IF(สินค้า!B70="","",สินค้า!B70)</f>
        <v/>
      </c>
      <c r="B72" s="7">
        <f>IF($A72="","",สินค้า!A70)</f>
        <v/>
      </c>
      <c r="C72" s="7">
        <f>IF($A72="","",สินค้า!C70)</f>
        <v/>
      </c>
      <c r="D72" s="7">
        <f>IF($A72="","",COUNTIF(บันทึก!$C$5:$C$1004,$A72))</f>
        <v/>
      </c>
      <c r="E72" s="8">
        <f>IF($A72="","",SUMIFS(บันทึก!$G$5:$G$1004,บันทึก!$C$5:$C$1004,$A72))</f>
        <v/>
      </c>
      <c r="F72" s="8">
        <f>IF($A72="","",SUMIFS(บันทึก!$H$5:$H$1004,บันทึก!$C$5:$C$1004,$A72))</f>
        <v/>
      </c>
      <c r="G72" s="7">
        <f>IF($A72="","",สินค้า!D70)</f>
        <v/>
      </c>
      <c r="H72" s="7">
        <f>IF($A72="","",COUNTIFS(บันทึก!$C$5:$C$1004,$A72,บันทึก!$J$5:$J$1004,"Done"))</f>
        <v/>
      </c>
      <c r="I72" s="7">
        <f>IF($A72="","",COUNTIFS(บันทึก!$C$5:$C$1004,$A72,บันทึก!$J$5:$J$1004,"Pending"))</f>
        <v/>
      </c>
      <c r="J72" s="7">
        <f>IF($A72="","",COUNTIFS(บันทึก!$C$5:$C$1004,$A72,บันทึก!$K$5:$K$1004,"Yes"))</f>
        <v/>
      </c>
      <c r="K72" s="9">
        <f>IF(OR($A72="",D72=0),"",H72/D72)</f>
        <v/>
      </c>
      <c r="L72" s="10">
        <f>IF(OR($A72="",D72=0),"",MAXIFS(บันทึก!$A$5:$A$1004,บันทึก!$C$5:$C$1004,$A72))</f>
        <v/>
      </c>
    </row>
    <row r="73">
      <c r="A73" s="7">
        <f>IF(สินค้า!B71="","",สินค้า!B71)</f>
        <v/>
      </c>
      <c r="B73" s="7">
        <f>IF($A73="","",สินค้า!A71)</f>
        <v/>
      </c>
      <c r="C73" s="7">
        <f>IF($A73="","",สินค้า!C71)</f>
        <v/>
      </c>
      <c r="D73" s="7">
        <f>IF($A73="","",COUNTIF(บันทึก!$C$5:$C$1004,$A73))</f>
        <v/>
      </c>
      <c r="E73" s="8">
        <f>IF($A73="","",SUMIFS(บันทึก!$G$5:$G$1004,บันทึก!$C$5:$C$1004,$A73))</f>
        <v/>
      </c>
      <c r="F73" s="8">
        <f>IF($A73="","",SUMIFS(บันทึก!$H$5:$H$1004,บันทึก!$C$5:$C$1004,$A73))</f>
        <v/>
      </c>
      <c r="G73" s="7">
        <f>IF($A73="","",สินค้า!D71)</f>
        <v/>
      </c>
      <c r="H73" s="7">
        <f>IF($A73="","",COUNTIFS(บันทึก!$C$5:$C$1004,$A73,บันทึก!$J$5:$J$1004,"Done"))</f>
        <v/>
      </c>
      <c r="I73" s="7">
        <f>IF($A73="","",COUNTIFS(บันทึก!$C$5:$C$1004,$A73,บันทึก!$J$5:$J$1004,"Pending"))</f>
        <v/>
      </c>
      <c r="J73" s="7">
        <f>IF($A73="","",COUNTIFS(บันทึก!$C$5:$C$1004,$A73,บันทึก!$K$5:$K$1004,"Yes"))</f>
        <v/>
      </c>
      <c r="K73" s="9">
        <f>IF(OR($A73="",D73=0),"",H73/D73)</f>
        <v/>
      </c>
      <c r="L73" s="10">
        <f>IF(OR($A73="",D73=0),"",MAXIFS(บันทึก!$A$5:$A$1004,บันทึก!$C$5:$C$1004,$A73))</f>
        <v/>
      </c>
    </row>
    <row r="74">
      <c r="A74" s="7">
        <f>IF(สินค้า!B72="","",สินค้า!B72)</f>
        <v/>
      </c>
      <c r="B74" s="7">
        <f>IF($A74="","",สินค้า!A72)</f>
        <v/>
      </c>
      <c r="C74" s="7">
        <f>IF($A74="","",สินค้า!C72)</f>
        <v/>
      </c>
      <c r="D74" s="7">
        <f>IF($A74="","",COUNTIF(บันทึก!$C$5:$C$1004,$A74))</f>
        <v/>
      </c>
      <c r="E74" s="8">
        <f>IF($A74="","",SUMIFS(บันทึก!$G$5:$G$1004,บันทึก!$C$5:$C$1004,$A74))</f>
        <v/>
      </c>
      <c r="F74" s="8">
        <f>IF($A74="","",SUMIFS(บันทึก!$H$5:$H$1004,บันทึก!$C$5:$C$1004,$A74))</f>
        <v/>
      </c>
      <c r="G74" s="7">
        <f>IF($A74="","",สินค้า!D72)</f>
        <v/>
      </c>
      <c r="H74" s="7">
        <f>IF($A74="","",COUNTIFS(บันทึก!$C$5:$C$1004,$A74,บันทึก!$J$5:$J$1004,"Done"))</f>
        <v/>
      </c>
      <c r="I74" s="7">
        <f>IF($A74="","",COUNTIFS(บันทึก!$C$5:$C$1004,$A74,บันทึก!$J$5:$J$1004,"Pending"))</f>
        <v/>
      </c>
      <c r="J74" s="7">
        <f>IF($A74="","",COUNTIFS(บันทึก!$C$5:$C$1004,$A74,บันทึก!$K$5:$K$1004,"Yes"))</f>
        <v/>
      </c>
      <c r="K74" s="9">
        <f>IF(OR($A74="",D74=0),"",H74/D74)</f>
        <v/>
      </c>
      <c r="L74" s="10">
        <f>IF(OR($A74="",D74=0),"",MAXIFS(บันทึก!$A$5:$A$1004,บันทึก!$C$5:$C$1004,$A74))</f>
        <v/>
      </c>
    </row>
    <row r="75">
      <c r="A75" s="7">
        <f>IF(สินค้า!B73="","",สินค้า!B73)</f>
        <v/>
      </c>
      <c r="B75" s="7">
        <f>IF($A75="","",สินค้า!A73)</f>
        <v/>
      </c>
      <c r="C75" s="7">
        <f>IF($A75="","",สินค้า!C73)</f>
        <v/>
      </c>
      <c r="D75" s="7">
        <f>IF($A75="","",COUNTIF(บันทึก!$C$5:$C$1004,$A75))</f>
        <v/>
      </c>
      <c r="E75" s="8">
        <f>IF($A75="","",SUMIFS(บันทึก!$G$5:$G$1004,บันทึก!$C$5:$C$1004,$A75))</f>
        <v/>
      </c>
      <c r="F75" s="8">
        <f>IF($A75="","",SUMIFS(บันทึก!$H$5:$H$1004,บันทึก!$C$5:$C$1004,$A75))</f>
        <v/>
      </c>
      <c r="G75" s="7">
        <f>IF($A75="","",สินค้า!D73)</f>
        <v/>
      </c>
      <c r="H75" s="7">
        <f>IF($A75="","",COUNTIFS(บันทึก!$C$5:$C$1004,$A75,บันทึก!$J$5:$J$1004,"Done"))</f>
        <v/>
      </c>
      <c r="I75" s="7">
        <f>IF($A75="","",COUNTIFS(บันทึก!$C$5:$C$1004,$A75,บันทึก!$J$5:$J$1004,"Pending"))</f>
        <v/>
      </c>
      <c r="J75" s="7">
        <f>IF($A75="","",COUNTIFS(บันทึก!$C$5:$C$1004,$A75,บันทึก!$K$5:$K$1004,"Yes"))</f>
        <v/>
      </c>
      <c r="K75" s="9">
        <f>IF(OR($A75="",D75=0),"",H75/D75)</f>
        <v/>
      </c>
      <c r="L75" s="10">
        <f>IF(OR($A75="",D75=0),"",MAXIFS(บันทึก!$A$5:$A$1004,บันทึก!$C$5:$C$1004,$A75))</f>
        <v/>
      </c>
    </row>
    <row r="76">
      <c r="A76" s="7">
        <f>IF(สินค้า!B74="","",สินค้า!B74)</f>
        <v/>
      </c>
      <c r="B76" s="7">
        <f>IF($A76="","",สินค้า!A74)</f>
        <v/>
      </c>
      <c r="C76" s="7">
        <f>IF($A76="","",สินค้า!C74)</f>
        <v/>
      </c>
      <c r="D76" s="7">
        <f>IF($A76="","",COUNTIF(บันทึก!$C$5:$C$1004,$A76))</f>
        <v/>
      </c>
      <c r="E76" s="8">
        <f>IF($A76="","",SUMIFS(บันทึก!$G$5:$G$1004,บันทึก!$C$5:$C$1004,$A76))</f>
        <v/>
      </c>
      <c r="F76" s="8">
        <f>IF($A76="","",SUMIFS(บันทึก!$H$5:$H$1004,บันทึก!$C$5:$C$1004,$A76))</f>
        <v/>
      </c>
      <c r="G76" s="7">
        <f>IF($A76="","",สินค้า!D74)</f>
        <v/>
      </c>
      <c r="H76" s="7">
        <f>IF($A76="","",COUNTIFS(บันทึก!$C$5:$C$1004,$A76,บันทึก!$J$5:$J$1004,"Done"))</f>
        <v/>
      </c>
      <c r="I76" s="7">
        <f>IF($A76="","",COUNTIFS(บันทึก!$C$5:$C$1004,$A76,บันทึก!$J$5:$J$1004,"Pending"))</f>
        <v/>
      </c>
      <c r="J76" s="7">
        <f>IF($A76="","",COUNTIFS(บันทึก!$C$5:$C$1004,$A76,บันทึก!$K$5:$K$1004,"Yes"))</f>
        <v/>
      </c>
      <c r="K76" s="9">
        <f>IF(OR($A76="",D76=0),"",H76/D76)</f>
        <v/>
      </c>
      <c r="L76" s="10">
        <f>IF(OR($A76="",D76=0),"",MAXIFS(บันทึก!$A$5:$A$1004,บันทึก!$C$5:$C$1004,$A76))</f>
        <v/>
      </c>
    </row>
    <row r="77">
      <c r="A77" s="7">
        <f>IF(สินค้า!B75="","",สินค้า!B75)</f>
        <v/>
      </c>
      <c r="B77" s="7">
        <f>IF($A77="","",สินค้า!A75)</f>
        <v/>
      </c>
      <c r="C77" s="7">
        <f>IF($A77="","",สินค้า!C75)</f>
        <v/>
      </c>
      <c r="D77" s="7">
        <f>IF($A77="","",COUNTIF(บันทึก!$C$5:$C$1004,$A77))</f>
        <v/>
      </c>
      <c r="E77" s="8">
        <f>IF($A77="","",SUMIFS(บันทึก!$G$5:$G$1004,บันทึก!$C$5:$C$1004,$A77))</f>
        <v/>
      </c>
      <c r="F77" s="8">
        <f>IF($A77="","",SUMIFS(บันทึก!$H$5:$H$1004,บันทึก!$C$5:$C$1004,$A77))</f>
        <v/>
      </c>
      <c r="G77" s="7">
        <f>IF($A77="","",สินค้า!D75)</f>
        <v/>
      </c>
      <c r="H77" s="7">
        <f>IF($A77="","",COUNTIFS(บันทึก!$C$5:$C$1004,$A77,บันทึก!$J$5:$J$1004,"Done"))</f>
        <v/>
      </c>
      <c r="I77" s="7">
        <f>IF($A77="","",COUNTIFS(บันทึก!$C$5:$C$1004,$A77,บันทึก!$J$5:$J$1004,"Pending"))</f>
        <v/>
      </c>
      <c r="J77" s="7">
        <f>IF($A77="","",COUNTIFS(บันทึก!$C$5:$C$1004,$A77,บันทึก!$K$5:$K$1004,"Yes"))</f>
        <v/>
      </c>
      <c r="K77" s="9">
        <f>IF(OR($A77="",D77=0),"",H77/D77)</f>
        <v/>
      </c>
      <c r="L77" s="10">
        <f>IF(OR($A77="",D77=0),"",MAXIFS(บันทึก!$A$5:$A$1004,บันทึก!$C$5:$C$1004,$A77))</f>
        <v/>
      </c>
    </row>
    <row r="78">
      <c r="A78" s="7">
        <f>IF(สินค้า!B76="","",สินค้า!B76)</f>
        <v/>
      </c>
      <c r="B78" s="7">
        <f>IF($A78="","",สินค้า!A76)</f>
        <v/>
      </c>
      <c r="C78" s="7">
        <f>IF($A78="","",สินค้า!C76)</f>
        <v/>
      </c>
      <c r="D78" s="7">
        <f>IF($A78="","",COUNTIF(บันทึก!$C$5:$C$1004,$A78))</f>
        <v/>
      </c>
      <c r="E78" s="8">
        <f>IF($A78="","",SUMIFS(บันทึก!$G$5:$G$1004,บันทึก!$C$5:$C$1004,$A78))</f>
        <v/>
      </c>
      <c r="F78" s="8">
        <f>IF($A78="","",SUMIFS(บันทึก!$H$5:$H$1004,บันทึก!$C$5:$C$1004,$A78))</f>
        <v/>
      </c>
      <c r="G78" s="7">
        <f>IF($A78="","",สินค้า!D76)</f>
        <v/>
      </c>
      <c r="H78" s="7">
        <f>IF($A78="","",COUNTIFS(บันทึก!$C$5:$C$1004,$A78,บันทึก!$J$5:$J$1004,"Done"))</f>
        <v/>
      </c>
      <c r="I78" s="7">
        <f>IF($A78="","",COUNTIFS(บันทึก!$C$5:$C$1004,$A78,บันทึก!$J$5:$J$1004,"Pending"))</f>
        <v/>
      </c>
      <c r="J78" s="7">
        <f>IF($A78="","",COUNTIFS(บันทึก!$C$5:$C$1004,$A78,บันทึก!$K$5:$K$1004,"Yes"))</f>
        <v/>
      </c>
      <c r="K78" s="9">
        <f>IF(OR($A78="",D78=0),"",H78/D78)</f>
        <v/>
      </c>
      <c r="L78" s="10">
        <f>IF(OR($A78="",D78=0),"",MAXIFS(บันทึก!$A$5:$A$1004,บันทึก!$C$5:$C$1004,$A78))</f>
        <v/>
      </c>
    </row>
    <row r="79">
      <c r="A79" s="7">
        <f>IF(สินค้า!B77="","",สินค้า!B77)</f>
        <v/>
      </c>
      <c r="B79" s="7">
        <f>IF($A79="","",สินค้า!A77)</f>
        <v/>
      </c>
      <c r="C79" s="7">
        <f>IF($A79="","",สินค้า!C77)</f>
        <v/>
      </c>
      <c r="D79" s="7">
        <f>IF($A79="","",COUNTIF(บันทึก!$C$5:$C$1004,$A79))</f>
        <v/>
      </c>
      <c r="E79" s="8">
        <f>IF($A79="","",SUMIFS(บันทึก!$G$5:$G$1004,บันทึก!$C$5:$C$1004,$A79))</f>
        <v/>
      </c>
      <c r="F79" s="8">
        <f>IF($A79="","",SUMIFS(บันทึก!$H$5:$H$1004,บันทึก!$C$5:$C$1004,$A79))</f>
        <v/>
      </c>
      <c r="G79" s="7">
        <f>IF($A79="","",สินค้า!D77)</f>
        <v/>
      </c>
      <c r="H79" s="7">
        <f>IF($A79="","",COUNTIFS(บันทึก!$C$5:$C$1004,$A79,บันทึก!$J$5:$J$1004,"Done"))</f>
        <v/>
      </c>
      <c r="I79" s="7">
        <f>IF($A79="","",COUNTIFS(บันทึก!$C$5:$C$1004,$A79,บันทึก!$J$5:$J$1004,"Pending"))</f>
        <v/>
      </c>
      <c r="J79" s="7">
        <f>IF($A79="","",COUNTIFS(บันทึก!$C$5:$C$1004,$A79,บันทึก!$K$5:$K$1004,"Yes"))</f>
        <v/>
      </c>
      <c r="K79" s="9">
        <f>IF(OR($A79="",D79=0),"",H79/D79)</f>
        <v/>
      </c>
      <c r="L79" s="10">
        <f>IF(OR($A79="",D79=0),"",MAXIFS(บันทึก!$A$5:$A$1004,บันทึก!$C$5:$C$1004,$A79))</f>
        <v/>
      </c>
    </row>
    <row r="80">
      <c r="A80" s="7">
        <f>IF(สินค้า!B78="","",สินค้า!B78)</f>
        <v/>
      </c>
      <c r="B80" s="7">
        <f>IF($A80="","",สินค้า!A78)</f>
        <v/>
      </c>
      <c r="C80" s="7">
        <f>IF($A80="","",สินค้า!C78)</f>
        <v/>
      </c>
      <c r="D80" s="7">
        <f>IF($A80="","",COUNTIF(บันทึก!$C$5:$C$1004,$A80))</f>
        <v/>
      </c>
      <c r="E80" s="8">
        <f>IF($A80="","",SUMIFS(บันทึก!$G$5:$G$1004,บันทึก!$C$5:$C$1004,$A80))</f>
        <v/>
      </c>
      <c r="F80" s="8">
        <f>IF($A80="","",SUMIFS(บันทึก!$H$5:$H$1004,บันทึก!$C$5:$C$1004,$A80))</f>
        <v/>
      </c>
      <c r="G80" s="7">
        <f>IF($A80="","",สินค้า!D78)</f>
        <v/>
      </c>
      <c r="H80" s="7">
        <f>IF($A80="","",COUNTIFS(บันทึก!$C$5:$C$1004,$A80,บันทึก!$J$5:$J$1004,"Done"))</f>
        <v/>
      </c>
      <c r="I80" s="7">
        <f>IF($A80="","",COUNTIFS(บันทึก!$C$5:$C$1004,$A80,บันทึก!$J$5:$J$1004,"Pending"))</f>
        <v/>
      </c>
      <c r="J80" s="7">
        <f>IF($A80="","",COUNTIFS(บันทึก!$C$5:$C$1004,$A80,บันทึก!$K$5:$K$1004,"Yes"))</f>
        <v/>
      </c>
      <c r="K80" s="9">
        <f>IF(OR($A80="",D80=0),"",H80/D80)</f>
        <v/>
      </c>
      <c r="L80" s="10">
        <f>IF(OR($A80="",D80=0),"",MAXIFS(บันทึก!$A$5:$A$1004,บันทึก!$C$5:$C$1004,$A80))</f>
        <v/>
      </c>
    </row>
    <row r="81">
      <c r="A81" s="7">
        <f>IF(สินค้า!B79="","",สินค้า!B79)</f>
        <v/>
      </c>
      <c r="B81" s="7">
        <f>IF($A81="","",สินค้า!A79)</f>
        <v/>
      </c>
      <c r="C81" s="7">
        <f>IF($A81="","",สินค้า!C79)</f>
        <v/>
      </c>
      <c r="D81" s="7">
        <f>IF($A81="","",COUNTIF(บันทึก!$C$5:$C$1004,$A81))</f>
        <v/>
      </c>
      <c r="E81" s="8">
        <f>IF($A81="","",SUMIFS(บันทึก!$G$5:$G$1004,บันทึก!$C$5:$C$1004,$A81))</f>
        <v/>
      </c>
      <c r="F81" s="8">
        <f>IF($A81="","",SUMIFS(บันทึก!$H$5:$H$1004,บันทึก!$C$5:$C$1004,$A81))</f>
        <v/>
      </c>
      <c r="G81" s="7">
        <f>IF($A81="","",สินค้า!D79)</f>
        <v/>
      </c>
      <c r="H81" s="7">
        <f>IF($A81="","",COUNTIFS(บันทึก!$C$5:$C$1004,$A81,บันทึก!$J$5:$J$1004,"Done"))</f>
        <v/>
      </c>
      <c r="I81" s="7">
        <f>IF($A81="","",COUNTIFS(บันทึก!$C$5:$C$1004,$A81,บันทึก!$J$5:$J$1004,"Pending"))</f>
        <v/>
      </c>
      <c r="J81" s="7">
        <f>IF($A81="","",COUNTIFS(บันทึก!$C$5:$C$1004,$A81,บันทึก!$K$5:$K$1004,"Yes"))</f>
        <v/>
      </c>
      <c r="K81" s="9">
        <f>IF(OR($A81="",D81=0),"",H81/D81)</f>
        <v/>
      </c>
      <c r="L81" s="10">
        <f>IF(OR($A81="",D81=0),"",MAXIFS(บันทึก!$A$5:$A$1004,บันทึก!$C$5:$C$1004,$A81))</f>
        <v/>
      </c>
    </row>
    <row r="82">
      <c r="A82" s="7">
        <f>IF(สินค้า!B80="","",สินค้า!B80)</f>
        <v/>
      </c>
      <c r="B82" s="7">
        <f>IF($A82="","",สินค้า!A80)</f>
        <v/>
      </c>
      <c r="C82" s="7">
        <f>IF($A82="","",สินค้า!C80)</f>
        <v/>
      </c>
      <c r="D82" s="7">
        <f>IF($A82="","",COUNTIF(บันทึก!$C$5:$C$1004,$A82))</f>
        <v/>
      </c>
      <c r="E82" s="8">
        <f>IF($A82="","",SUMIFS(บันทึก!$G$5:$G$1004,บันทึก!$C$5:$C$1004,$A82))</f>
        <v/>
      </c>
      <c r="F82" s="8">
        <f>IF($A82="","",SUMIFS(บันทึก!$H$5:$H$1004,บันทึก!$C$5:$C$1004,$A82))</f>
        <v/>
      </c>
      <c r="G82" s="7">
        <f>IF($A82="","",สินค้า!D80)</f>
        <v/>
      </c>
      <c r="H82" s="7">
        <f>IF($A82="","",COUNTIFS(บันทึก!$C$5:$C$1004,$A82,บันทึก!$J$5:$J$1004,"Done"))</f>
        <v/>
      </c>
      <c r="I82" s="7">
        <f>IF($A82="","",COUNTIFS(บันทึก!$C$5:$C$1004,$A82,บันทึก!$J$5:$J$1004,"Pending"))</f>
        <v/>
      </c>
      <c r="J82" s="7">
        <f>IF($A82="","",COUNTIFS(บันทึก!$C$5:$C$1004,$A82,บันทึก!$K$5:$K$1004,"Yes"))</f>
        <v/>
      </c>
      <c r="K82" s="9">
        <f>IF(OR($A82="",D82=0),"",H82/D82)</f>
        <v/>
      </c>
      <c r="L82" s="10">
        <f>IF(OR($A82="",D82=0),"",MAXIFS(บันทึก!$A$5:$A$1004,บันทึก!$C$5:$C$1004,$A82))</f>
        <v/>
      </c>
    </row>
    <row r="83">
      <c r="A83" s="7">
        <f>IF(สินค้า!B81="","",สินค้า!B81)</f>
        <v/>
      </c>
      <c r="B83" s="7">
        <f>IF($A83="","",สินค้า!A81)</f>
        <v/>
      </c>
      <c r="C83" s="7">
        <f>IF($A83="","",สินค้า!C81)</f>
        <v/>
      </c>
      <c r="D83" s="7">
        <f>IF($A83="","",COUNTIF(บันทึก!$C$5:$C$1004,$A83))</f>
        <v/>
      </c>
      <c r="E83" s="8">
        <f>IF($A83="","",SUMIFS(บันทึก!$G$5:$G$1004,บันทึก!$C$5:$C$1004,$A83))</f>
        <v/>
      </c>
      <c r="F83" s="8">
        <f>IF($A83="","",SUMIFS(บันทึก!$H$5:$H$1004,บันทึก!$C$5:$C$1004,$A83))</f>
        <v/>
      </c>
      <c r="G83" s="7">
        <f>IF($A83="","",สินค้า!D81)</f>
        <v/>
      </c>
      <c r="H83" s="7">
        <f>IF($A83="","",COUNTIFS(บันทึก!$C$5:$C$1004,$A83,บันทึก!$J$5:$J$1004,"Done"))</f>
        <v/>
      </c>
      <c r="I83" s="7">
        <f>IF($A83="","",COUNTIFS(บันทึก!$C$5:$C$1004,$A83,บันทึก!$J$5:$J$1004,"Pending"))</f>
        <v/>
      </c>
      <c r="J83" s="7">
        <f>IF($A83="","",COUNTIFS(บันทึก!$C$5:$C$1004,$A83,บันทึก!$K$5:$K$1004,"Yes"))</f>
        <v/>
      </c>
      <c r="K83" s="9">
        <f>IF(OR($A83="",D83=0),"",H83/D83)</f>
        <v/>
      </c>
      <c r="L83" s="10">
        <f>IF(OR($A83="",D83=0),"",MAXIFS(บันทึก!$A$5:$A$1004,บันทึก!$C$5:$C$1004,$A83))</f>
        <v/>
      </c>
    </row>
    <row r="84">
      <c r="A84" s="7">
        <f>IF(สินค้า!B82="","",สินค้า!B82)</f>
        <v/>
      </c>
      <c r="B84" s="7">
        <f>IF($A84="","",สินค้า!A82)</f>
        <v/>
      </c>
      <c r="C84" s="7">
        <f>IF($A84="","",สินค้า!C82)</f>
        <v/>
      </c>
      <c r="D84" s="7">
        <f>IF($A84="","",COUNTIF(บันทึก!$C$5:$C$1004,$A84))</f>
        <v/>
      </c>
      <c r="E84" s="8">
        <f>IF($A84="","",SUMIFS(บันทึก!$G$5:$G$1004,บันทึก!$C$5:$C$1004,$A84))</f>
        <v/>
      </c>
      <c r="F84" s="8">
        <f>IF($A84="","",SUMIFS(บันทึก!$H$5:$H$1004,บันทึก!$C$5:$C$1004,$A84))</f>
        <v/>
      </c>
      <c r="G84" s="7">
        <f>IF($A84="","",สินค้า!D82)</f>
        <v/>
      </c>
      <c r="H84" s="7">
        <f>IF($A84="","",COUNTIFS(บันทึก!$C$5:$C$1004,$A84,บันทึก!$J$5:$J$1004,"Done"))</f>
        <v/>
      </c>
      <c r="I84" s="7">
        <f>IF($A84="","",COUNTIFS(บันทึก!$C$5:$C$1004,$A84,บันทึก!$J$5:$J$1004,"Pending"))</f>
        <v/>
      </c>
      <c r="J84" s="7">
        <f>IF($A84="","",COUNTIFS(บันทึก!$C$5:$C$1004,$A84,บันทึก!$K$5:$K$1004,"Yes"))</f>
        <v/>
      </c>
      <c r="K84" s="9">
        <f>IF(OR($A84="",D84=0),"",H84/D84)</f>
        <v/>
      </c>
      <c r="L84" s="10">
        <f>IF(OR($A84="",D84=0),"",MAXIFS(บันทึก!$A$5:$A$1004,บันทึก!$C$5:$C$1004,$A84))</f>
        <v/>
      </c>
    </row>
    <row r="85">
      <c r="A85" s="7">
        <f>IF(สินค้า!B83="","",สินค้า!B83)</f>
        <v/>
      </c>
      <c r="B85" s="7">
        <f>IF($A85="","",สินค้า!A83)</f>
        <v/>
      </c>
      <c r="C85" s="7">
        <f>IF($A85="","",สินค้า!C83)</f>
        <v/>
      </c>
      <c r="D85" s="7">
        <f>IF($A85="","",COUNTIF(บันทึก!$C$5:$C$1004,$A85))</f>
        <v/>
      </c>
      <c r="E85" s="8">
        <f>IF($A85="","",SUMIFS(บันทึก!$G$5:$G$1004,บันทึก!$C$5:$C$1004,$A85))</f>
        <v/>
      </c>
      <c r="F85" s="8">
        <f>IF($A85="","",SUMIFS(บันทึก!$H$5:$H$1004,บันทึก!$C$5:$C$1004,$A85))</f>
        <v/>
      </c>
      <c r="G85" s="7">
        <f>IF($A85="","",สินค้า!D83)</f>
        <v/>
      </c>
      <c r="H85" s="7">
        <f>IF($A85="","",COUNTIFS(บันทึก!$C$5:$C$1004,$A85,บันทึก!$J$5:$J$1004,"Done"))</f>
        <v/>
      </c>
      <c r="I85" s="7">
        <f>IF($A85="","",COUNTIFS(บันทึก!$C$5:$C$1004,$A85,บันทึก!$J$5:$J$1004,"Pending"))</f>
        <v/>
      </c>
      <c r="J85" s="7">
        <f>IF($A85="","",COUNTIFS(บันทึก!$C$5:$C$1004,$A85,บันทึก!$K$5:$K$1004,"Yes"))</f>
        <v/>
      </c>
      <c r="K85" s="9">
        <f>IF(OR($A85="",D85=0),"",H85/D85)</f>
        <v/>
      </c>
      <c r="L85" s="10">
        <f>IF(OR($A85="",D85=0),"",MAXIFS(บันทึก!$A$5:$A$1004,บันทึก!$C$5:$C$1004,$A85))</f>
        <v/>
      </c>
    </row>
    <row r="86">
      <c r="A86" s="7">
        <f>IF(สินค้า!B84="","",สินค้า!B84)</f>
        <v/>
      </c>
      <c r="B86" s="7">
        <f>IF($A86="","",สินค้า!A84)</f>
        <v/>
      </c>
      <c r="C86" s="7">
        <f>IF($A86="","",สินค้า!C84)</f>
        <v/>
      </c>
      <c r="D86" s="7">
        <f>IF($A86="","",COUNTIF(บันทึก!$C$5:$C$1004,$A86))</f>
        <v/>
      </c>
      <c r="E86" s="8">
        <f>IF($A86="","",SUMIFS(บันทึก!$G$5:$G$1004,บันทึก!$C$5:$C$1004,$A86))</f>
        <v/>
      </c>
      <c r="F86" s="8">
        <f>IF($A86="","",SUMIFS(บันทึก!$H$5:$H$1004,บันทึก!$C$5:$C$1004,$A86))</f>
        <v/>
      </c>
      <c r="G86" s="7">
        <f>IF($A86="","",สินค้า!D84)</f>
        <v/>
      </c>
      <c r="H86" s="7">
        <f>IF($A86="","",COUNTIFS(บันทึก!$C$5:$C$1004,$A86,บันทึก!$J$5:$J$1004,"Done"))</f>
        <v/>
      </c>
      <c r="I86" s="7">
        <f>IF($A86="","",COUNTIFS(บันทึก!$C$5:$C$1004,$A86,บันทึก!$J$5:$J$1004,"Pending"))</f>
        <v/>
      </c>
      <c r="J86" s="7">
        <f>IF($A86="","",COUNTIFS(บันทึก!$C$5:$C$1004,$A86,บันทึก!$K$5:$K$1004,"Yes"))</f>
        <v/>
      </c>
      <c r="K86" s="9">
        <f>IF(OR($A86="",D86=0),"",H86/D86)</f>
        <v/>
      </c>
      <c r="L86" s="10">
        <f>IF(OR($A86="",D86=0),"",MAXIFS(บันทึก!$A$5:$A$1004,บันทึก!$C$5:$C$1004,$A86))</f>
        <v/>
      </c>
    </row>
    <row r="87">
      <c r="A87" s="7">
        <f>IF(สินค้า!B85="","",สินค้า!B85)</f>
        <v/>
      </c>
      <c r="B87" s="7">
        <f>IF($A87="","",สินค้า!A85)</f>
        <v/>
      </c>
      <c r="C87" s="7">
        <f>IF($A87="","",สินค้า!C85)</f>
        <v/>
      </c>
      <c r="D87" s="7">
        <f>IF($A87="","",COUNTIF(บันทึก!$C$5:$C$1004,$A87))</f>
        <v/>
      </c>
      <c r="E87" s="8">
        <f>IF($A87="","",SUMIFS(บันทึก!$G$5:$G$1004,บันทึก!$C$5:$C$1004,$A87))</f>
        <v/>
      </c>
      <c r="F87" s="8">
        <f>IF($A87="","",SUMIFS(บันทึก!$H$5:$H$1004,บันทึก!$C$5:$C$1004,$A87))</f>
        <v/>
      </c>
      <c r="G87" s="7">
        <f>IF($A87="","",สินค้า!D85)</f>
        <v/>
      </c>
      <c r="H87" s="7">
        <f>IF($A87="","",COUNTIFS(บันทึก!$C$5:$C$1004,$A87,บันทึก!$J$5:$J$1004,"Done"))</f>
        <v/>
      </c>
      <c r="I87" s="7">
        <f>IF($A87="","",COUNTIFS(บันทึก!$C$5:$C$1004,$A87,บันทึก!$J$5:$J$1004,"Pending"))</f>
        <v/>
      </c>
      <c r="J87" s="7">
        <f>IF($A87="","",COUNTIFS(บันทึก!$C$5:$C$1004,$A87,บันทึก!$K$5:$K$1004,"Yes"))</f>
        <v/>
      </c>
      <c r="K87" s="9">
        <f>IF(OR($A87="",D87=0),"",H87/D87)</f>
        <v/>
      </c>
      <c r="L87" s="10">
        <f>IF(OR($A87="",D87=0),"",MAXIFS(บันทึก!$A$5:$A$1004,บันทึก!$C$5:$C$1004,$A87))</f>
        <v/>
      </c>
    </row>
    <row r="88">
      <c r="A88" s="7">
        <f>IF(สินค้า!B86="","",สินค้า!B86)</f>
        <v/>
      </c>
      <c r="B88" s="7">
        <f>IF($A88="","",สินค้า!A86)</f>
        <v/>
      </c>
      <c r="C88" s="7">
        <f>IF($A88="","",สินค้า!C86)</f>
        <v/>
      </c>
      <c r="D88" s="7">
        <f>IF($A88="","",COUNTIF(บันทึก!$C$5:$C$1004,$A88))</f>
        <v/>
      </c>
      <c r="E88" s="8">
        <f>IF($A88="","",SUMIFS(บันทึก!$G$5:$G$1004,บันทึก!$C$5:$C$1004,$A88))</f>
        <v/>
      </c>
      <c r="F88" s="8">
        <f>IF($A88="","",SUMIFS(บันทึก!$H$5:$H$1004,บันทึก!$C$5:$C$1004,$A88))</f>
        <v/>
      </c>
      <c r="G88" s="7">
        <f>IF($A88="","",สินค้า!D86)</f>
        <v/>
      </c>
      <c r="H88" s="7">
        <f>IF($A88="","",COUNTIFS(บันทึก!$C$5:$C$1004,$A88,บันทึก!$J$5:$J$1004,"Done"))</f>
        <v/>
      </c>
      <c r="I88" s="7">
        <f>IF($A88="","",COUNTIFS(บันทึก!$C$5:$C$1004,$A88,บันทึก!$J$5:$J$1004,"Pending"))</f>
        <v/>
      </c>
      <c r="J88" s="7">
        <f>IF($A88="","",COUNTIFS(บันทึก!$C$5:$C$1004,$A88,บันทึก!$K$5:$K$1004,"Yes"))</f>
        <v/>
      </c>
      <c r="K88" s="9">
        <f>IF(OR($A88="",D88=0),"",H88/D88)</f>
        <v/>
      </c>
      <c r="L88" s="10">
        <f>IF(OR($A88="",D88=0),"",MAXIFS(บันทึก!$A$5:$A$1004,บันทึก!$C$5:$C$1004,$A88))</f>
        <v/>
      </c>
    </row>
    <row r="89">
      <c r="A89" s="7">
        <f>IF(สินค้า!B87="","",สินค้า!B87)</f>
        <v/>
      </c>
      <c r="B89" s="7">
        <f>IF($A89="","",สินค้า!A87)</f>
        <v/>
      </c>
      <c r="C89" s="7">
        <f>IF($A89="","",สินค้า!C87)</f>
        <v/>
      </c>
      <c r="D89" s="7">
        <f>IF($A89="","",COUNTIF(บันทึก!$C$5:$C$1004,$A89))</f>
        <v/>
      </c>
      <c r="E89" s="8">
        <f>IF($A89="","",SUMIFS(บันทึก!$G$5:$G$1004,บันทึก!$C$5:$C$1004,$A89))</f>
        <v/>
      </c>
      <c r="F89" s="8">
        <f>IF($A89="","",SUMIFS(บันทึก!$H$5:$H$1004,บันทึก!$C$5:$C$1004,$A89))</f>
        <v/>
      </c>
      <c r="G89" s="7">
        <f>IF($A89="","",สินค้า!D87)</f>
        <v/>
      </c>
      <c r="H89" s="7">
        <f>IF($A89="","",COUNTIFS(บันทึก!$C$5:$C$1004,$A89,บันทึก!$J$5:$J$1004,"Done"))</f>
        <v/>
      </c>
      <c r="I89" s="7">
        <f>IF($A89="","",COUNTIFS(บันทึก!$C$5:$C$1004,$A89,บันทึก!$J$5:$J$1004,"Pending"))</f>
        <v/>
      </c>
      <c r="J89" s="7">
        <f>IF($A89="","",COUNTIFS(บันทึก!$C$5:$C$1004,$A89,บันทึก!$K$5:$K$1004,"Yes"))</f>
        <v/>
      </c>
      <c r="K89" s="9">
        <f>IF(OR($A89="",D89=0),"",H89/D89)</f>
        <v/>
      </c>
      <c r="L89" s="10">
        <f>IF(OR($A89="",D89=0),"",MAXIFS(บันทึก!$A$5:$A$1004,บันทึก!$C$5:$C$1004,$A89))</f>
        <v/>
      </c>
    </row>
    <row r="90">
      <c r="A90" s="7">
        <f>IF(สินค้า!B88="","",สินค้า!B88)</f>
        <v/>
      </c>
      <c r="B90" s="7">
        <f>IF($A90="","",สินค้า!A88)</f>
        <v/>
      </c>
      <c r="C90" s="7">
        <f>IF($A90="","",สินค้า!C88)</f>
        <v/>
      </c>
      <c r="D90" s="7">
        <f>IF($A90="","",COUNTIF(บันทึก!$C$5:$C$1004,$A90))</f>
        <v/>
      </c>
      <c r="E90" s="8">
        <f>IF($A90="","",SUMIFS(บันทึก!$G$5:$G$1004,บันทึก!$C$5:$C$1004,$A90))</f>
        <v/>
      </c>
      <c r="F90" s="8">
        <f>IF($A90="","",SUMIFS(บันทึก!$H$5:$H$1004,บันทึก!$C$5:$C$1004,$A90))</f>
        <v/>
      </c>
      <c r="G90" s="7">
        <f>IF($A90="","",สินค้า!D88)</f>
        <v/>
      </c>
      <c r="H90" s="7">
        <f>IF($A90="","",COUNTIFS(บันทึก!$C$5:$C$1004,$A90,บันทึก!$J$5:$J$1004,"Done"))</f>
        <v/>
      </c>
      <c r="I90" s="7">
        <f>IF($A90="","",COUNTIFS(บันทึก!$C$5:$C$1004,$A90,บันทึก!$J$5:$J$1004,"Pending"))</f>
        <v/>
      </c>
      <c r="J90" s="7">
        <f>IF($A90="","",COUNTIFS(บันทึก!$C$5:$C$1004,$A90,บันทึก!$K$5:$K$1004,"Yes"))</f>
        <v/>
      </c>
      <c r="K90" s="9">
        <f>IF(OR($A90="",D90=0),"",H90/D90)</f>
        <v/>
      </c>
      <c r="L90" s="10">
        <f>IF(OR($A90="",D90=0),"",MAXIFS(บันทึก!$A$5:$A$1004,บันทึก!$C$5:$C$1004,$A90))</f>
        <v/>
      </c>
    </row>
    <row r="91">
      <c r="A91" s="7">
        <f>IF(สินค้า!B89="","",สินค้า!B89)</f>
        <v/>
      </c>
      <c r="B91" s="7">
        <f>IF($A91="","",สินค้า!A89)</f>
        <v/>
      </c>
      <c r="C91" s="7">
        <f>IF($A91="","",สินค้า!C89)</f>
        <v/>
      </c>
      <c r="D91" s="7">
        <f>IF($A91="","",COUNTIF(บันทึก!$C$5:$C$1004,$A91))</f>
        <v/>
      </c>
      <c r="E91" s="8">
        <f>IF($A91="","",SUMIFS(บันทึก!$G$5:$G$1004,บันทึก!$C$5:$C$1004,$A91))</f>
        <v/>
      </c>
      <c r="F91" s="8">
        <f>IF($A91="","",SUMIFS(บันทึก!$H$5:$H$1004,บันทึก!$C$5:$C$1004,$A91))</f>
        <v/>
      </c>
      <c r="G91" s="7">
        <f>IF($A91="","",สินค้า!D89)</f>
        <v/>
      </c>
      <c r="H91" s="7">
        <f>IF($A91="","",COUNTIFS(บันทึก!$C$5:$C$1004,$A91,บันทึก!$J$5:$J$1004,"Done"))</f>
        <v/>
      </c>
      <c r="I91" s="7">
        <f>IF($A91="","",COUNTIFS(บันทึก!$C$5:$C$1004,$A91,บันทึก!$J$5:$J$1004,"Pending"))</f>
        <v/>
      </c>
      <c r="J91" s="7">
        <f>IF($A91="","",COUNTIFS(บันทึก!$C$5:$C$1004,$A91,บันทึก!$K$5:$K$1004,"Yes"))</f>
        <v/>
      </c>
      <c r="K91" s="9">
        <f>IF(OR($A91="",D91=0),"",H91/D91)</f>
        <v/>
      </c>
      <c r="L91" s="10">
        <f>IF(OR($A91="",D91=0),"",MAXIFS(บันทึก!$A$5:$A$1004,บันทึก!$C$5:$C$1004,$A91))</f>
        <v/>
      </c>
    </row>
    <row r="92">
      <c r="A92" s="7">
        <f>IF(สินค้า!B90="","",สินค้า!B90)</f>
        <v/>
      </c>
      <c r="B92" s="7">
        <f>IF($A92="","",สินค้า!A90)</f>
        <v/>
      </c>
      <c r="C92" s="7">
        <f>IF($A92="","",สินค้า!C90)</f>
        <v/>
      </c>
      <c r="D92" s="7">
        <f>IF($A92="","",COUNTIF(บันทึก!$C$5:$C$1004,$A92))</f>
        <v/>
      </c>
      <c r="E92" s="8">
        <f>IF($A92="","",SUMIFS(บันทึก!$G$5:$G$1004,บันทึก!$C$5:$C$1004,$A92))</f>
        <v/>
      </c>
      <c r="F92" s="8">
        <f>IF($A92="","",SUMIFS(บันทึก!$H$5:$H$1004,บันทึก!$C$5:$C$1004,$A92))</f>
        <v/>
      </c>
      <c r="G92" s="7">
        <f>IF($A92="","",สินค้า!D90)</f>
        <v/>
      </c>
      <c r="H92" s="7">
        <f>IF($A92="","",COUNTIFS(บันทึก!$C$5:$C$1004,$A92,บันทึก!$J$5:$J$1004,"Done"))</f>
        <v/>
      </c>
      <c r="I92" s="7">
        <f>IF($A92="","",COUNTIFS(บันทึก!$C$5:$C$1004,$A92,บันทึก!$J$5:$J$1004,"Pending"))</f>
        <v/>
      </c>
      <c r="J92" s="7">
        <f>IF($A92="","",COUNTIFS(บันทึก!$C$5:$C$1004,$A92,บันทึก!$K$5:$K$1004,"Yes"))</f>
        <v/>
      </c>
      <c r="K92" s="9">
        <f>IF(OR($A92="",D92=0),"",H92/D92)</f>
        <v/>
      </c>
      <c r="L92" s="10">
        <f>IF(OR($A92="",D92=0),"",MAXIFS(บันทึก!$A$5:$A$1004,บันทึก!$C$5:$C$1004,$A92))</f>
        <v/>
      </c>
    </row>
    <row r="93">
      <c r="A93" s="7">
        <f>IF(สินค้า!B91="","",สินค้า!B91)</f>
        <v/>
      </c>
      <c r="B93" s="7">
        <f>IF($A93="","",สินค้า!A91)</f>
        <v/>
      </c>
      <c r="C93" s="7">
        <f>IF($A93="","",สินค้า!C91)</f>
        <v/>
      </c>
      <c r="D93" s="7">
        <f>IF($A93="","",COUNTIF(บันทึก!$C$5:$C$1004,$A93))</f>
        <v/>
      </c>
      <c r="E93" s="8">
        <f>IF($A93="","",SUMIFS(บันทึก!$G$5:$G$1004,บันทึก!$C$5:$C$1004,$A93))</f>
        <v/>
      </c>
      <c r="F93" s="8">
        <f>IF($A93="","",SUMIFS(บันทึก!$H$5:$H$1004,บันทึก!$C$5:$C$1004,$A93))</f>
        <v/>
      </c>
      <c r="G93" s="7">
        <f>IF($A93="","",สินค้า!D91)</f>
        <v/>
      </c>
      <c r="H93" s="7">
        <f>IF($A93="","",COUNTIFS(บันทึก!$C$5:$C$1004,$A93,บันทึก!$J$5:$J$1004,"Done"))</f>
        <v/>
      </c>
      <c r="I93" s="7">
        <f>IF($A93="","",COUNTIFS(บันทึก!$C$5:$C$1004,$A93,บันทึก!$J$5:$J$1004,"Pending"))</f>
        <v/>
      </c>
      <c r="J93" s="7">
        <f>IF($A93="","",COUNTIFS(บันทึก!$C$5:$C$1004,$A93,บันทึก!$K$5:$K$1004,"Yes"))</f>
        <v/>
      </c>
      <c r="K93" s="9">
        <f>IF(OR($A93="",D93=0),"",H93/D93)</f>
        <v/>
      </c>
      <c r="L93" s="10">
        <f>IF(OR($A93="",D93=0),"",MAXIFS(บันทึก!$A$5:$A$1004,บันทึก!$C$5:$C$1004,$A93))</f>
        <v/>
      </c>
    </row>
    <row r="94">
      <c r="A94" s="7">
        <f>IF(สินค้า!B92="","",สินค้า!B92)</f>
        <v/>
      </c>
      <c r="B94" s="7">
        <f>IF($A94="","",สินค้า!A92)</f>
        <v/>
      </c>
      <c r="C94" s="7">
        <f>IF($A94="","",สินค้า!C92)</f>
        <v/>
      </c>
      <c r="D94" s="7">
        <f>IF($A94="","",COUNTIF(บันทึก!$C$5:$C$1004,$A94))</f>
        <v/>
      </c>
      <c r="E94" s="8">
        <f>IF($A94="","",SUMIFS(บันทึก!$G$5:$G$1004,บันทึก!$C$5:$C$1004,$A94))</f>
        <v/>
      </c>
      <c r="F94" s="8">
        <f>IF($A94="","",SUMIFS(บันทึก!$H$5:$H$1004,บันทึก!$C$5:$C$1004,$A94))</f>
        <v/>
      </c>
      <c r="G94" s="7">
        <f>IF($A94="","",สินค้า!D92)</f>
        <v/>
      </c>
      <c r="H94" s="7">
        <f>IF($A94="","",COUNTIFS(บันทึก!$C$5:$C$1004,$A94,บันทึก!$J$5:$J$1004,"Done"))</f>
        <v/>
      </c>
      <c r="I94" s="7">
        <f>IF($A94="","",COUNTIFS(บันทึก!$C$5:$C$1004,$A94,บันทึก!$J$5:$J$1004,"Pending"))</f>
        <v/>
      </c>
      <c r="J94" s="7">
        <f>IF($A94="","",COUNTIFS(บันทึก!$C$5:$C$1004,$A94,บันทึก!$K$5:$K$1004,"Yes"))</f>
        <v/>
      </c>
      <c r="K94" s="9">
        <f>IF(OR($A94="",D94=0),"",H94/D94)</f>
        <v/>
      </c>
      <c r="L94" s="10">
        <f>IF(OR($A94="",D94=0),"",MAXIFS(บันทึก!$A$5:$A$1004,บันทึก!$C$5:$C$1004,$A94))</f>
        <v/>
      </c>
    </row>
    <row r="95">
      <c r="A95" s="7">
        <f>IF(สินค้า!B93="","",สินค้า!B93)</f>
        <v/>
      </c>
      <c r="B95" s="7">
        <f>IF($A95="","",สินค้า!A93)</f>
        <v/>
      </c>
      <c r="C95" s="7">
        <f>IF($A95="","",สินค้า!C93)</f>
        <v/>
      </c>
      <c r="D95" s="7">
        <f>IF($A95="","",COUNTIF(บันทึก!$C$5:$C$1004,$A95))</f>
        <v/>
      </c>
      <c r="E95" s="8">
        <f>IF($A95="","",SUMIFS(บันทึก!$G$5:$G$1004,บันทึก!$C$5:$C$1004,$A95))</f>
        <v/>
      </c>
      <c r="F95" s="8">
        <f>IF($A95="","",SUMIFS(บันทึก!$H$5:$H$1004,บันทึก!$C$5:$C$1004,$A95))</f>
        <v/>
      </c>
      <c r="G95" s="7">
        <f>IF($A95="","",สินค้า!D93)</f>
        <v/>
      </c>
      <c r="H95" s="7">
        <f>IF($A95="","",COUNTIFS(บันทึก!$C$5:$C$1004,$A95,บันทึก!$J$5:$J$1004,"Done"))</f>
        <v/>
      </c>
      <c r="I95" s="7">
        <f>IF($A95="","",COUNTIFS(บันทึก!$C$5:$C$1004,$A95,บันทึก!$J$5:$J$1004,"Pending"))</f>
        <v/>
      </c>
      <c r="J95" s="7">
        <f>IF($A95="","",COUNTIFS(บันทึก!$C$5:$C$1004,$A95,บันทึก!$K$5:$K$1004,"Yes"))</f>
        <v/>
      </c>
      <c r="K95" s="9">
        <f>IF(OR($A95="",D95=0),"",H95/D95)</f>
        <v/>
      </c>
      <c r="L95" s="10">
        <f>IF(OR($A95="",D95=0),"",MAXIFS(บันทึก!$A$5:$A$1004,บันทึก!$C$5:$C$1004,$A95))</f>
        <v/>
      </c>
    </row>
    <row r="96">
      <c r="A96" s="7">
        <f>IF(สินค้า!B94="","",สินค้า!B94)</f>
        <v/>
      </c>
      <c r="B96" s="7">
        <f>IF($A96="","",สินค้า!A94)</f>
        <v/>
      </c>
      <c r="C96" s="7">
        <f>IF($A96="","",สินค้า!C94)</f>
        <v/>
      </c>
      <c r="D96" s="7">
        <f>IF($A96="","",COUNTIF(บันทึก!$C$5:$C$1004,$A96))</f>
        <v/>
      </c>
      <c r="E96" s="8">
        <f>IF($A96="","",SUMIFS(บันทึก!$G$5:$G$1004,บันทึก!$C$5:$C$1004,$A96))</f>
        <v/>
      </c>
      <c r="F96" s="8">
        <f>IF($A96="","",SUMIFS(บันทึก!$H$5:$H$1004,บันทึก!$C$5:$C$1004,$A96))</f>
        <v/>
      </c>
      <c r="G96" s="7">
        <f>IF($A96="","",สินค้า!D94)</f>
        <v/>
      </c>
      <c r="H96" s="7">
        <f>IF($A96="","",COUNTIFS(บันทึก!$C$5:$C$1004,$A96,บันทึก!$J$5:$J$1004,"Done"))</f>
        <v/>
      </c>
      <c r="I96" s="7">
        <f>IF($A96="","",COUNTIFS(บันทึก!$C$5:$C$1004,$A96,บันทึก!$J$5:$J$1004,"Pending"))</f>
        <v/>
      </c>
      <c r="J96" s="7">
        <f>IF($A96="","",COUNTIFS(บันทึก!$C$5:$C$1004,$A96,บันทึก!$K$5:$K$1004,"Yes"))</f>
        <v/>
      </c>
      <c r="K96" s="9">
        <f>IF(OR($A96="",D96=0),"",H96/D96)</f>
        <v/>
      </c>
      <c r="L96" s="10">
        <f>IF(OR($A96="",D96=0),"",MAXIFS(บันทึก!$A$5:$A$1004,บันทึก!$C$5:$C$1004,$A96))</f>
        <v/>
      </c>
    </row>
    <row r="97">
      <c r="A97" s="7">
        <f>IF(สินค้า!B95="","",สินค้า!B95)</f>
        <v/>
      </c>
      <c r="B97" s="7">
        <f>IF($A97="","",สินค้า!A95)</f>
        <v/>
      </c>
      <c r="C97" s="7">
        <f>IF($A97="","",สินค้า!C95)</f>
        <v/>
      </c>
      <c r="D97" s="7">
        <f>IF($A97="","",COUNTIF(บันทึก!$C$5:$C$1004,$A97))</f>
        <v/>
      </c>
      <c r="E97" s="8">
        <f>IF($A97="","",SUMIFS(บันทึก!$G$5:$G$1004,บันทึก!$C$5:$C$1004,$A97))</f>
        <v/>
      </c>
      <c r="F97" s="8">
        <f>IF($A97="","",SUMIFS(บันทึก!$H$5:$H$1004,บันทึก!$C$5:$C$1004,$A97))</f>
        <v/>
      </c>
      <c r="G97" s="7">
        <f>IF($A97="","",สินค้า!D95)</f>
        <v/>
      </c>
      <c r="H97" s="7">
        <f>IF($A97="","",COUNTIFS(บันทึก!$C$5:$C$1004,$A97,บันทึก!$J$5:$J$1004,"Done"))</f>
        <v/>
      </c>
      <c r="I97" s="7">
        <f>IF($A97="","",COUNTIFS(บันทึก!$C$5:$C$1004,$A97,บันทึก!$J$5:$J$1004,"Pending"))</f>
        <v/>
      </c>
      <c r="J97" s="7">
        <f>IF($A97="","",COUNTIFS(บันทึก!$C$5:$C$1004,$A97,บันทึก!$K$5:$K$1004,"Yes"))</f>
        <v/>
      </c>
      <c r="K97" s="9">
        <f>IF(OR($A97="",D97=0),"",H97/D97)</f>
        <v/>
      </c>
      <c r="L97" s="10">
        <f>IF(OR($A97="",D97=0),"",MAXIFS(บันทึก!$A$5:$A$1004,บันทึก!$C$5:$C$1004,$A97))</f>
        <v/>
      </c>
    </row>
    <row r="98">
      <c r="A98" s="7">
        <f>IF(สินค้า!B96="","",สินค้า!B96)</f>
        <v/>
      </c>
      <c r="B98" s="7">
        <f>IF($A98="","",สินค้า!A96)</f>
        <v/>
      </c>
      <c r="C98" s="7">
        <f>IF($A98="","",สินค้า!C96)</f>
        <v/>
      </c>
      <c r="D98" s="7">
        <f>IF($A98="","",COUNTIF(บันทึก!$C$5:$C$1004,$A98))</f>
        <v/>
      </c>
      <c r="E98" s="8">
        <f>IF($A98="","",SUMIFS(บันทึก!$G$5:$G$1004,บันทึก!$C$5:$C$1004,$A98))</f>
        <v/>
      </c>
      <c r="F98" s="8">
        <f>IF($A98="","",SUMIFS(บันทึก!$H$5:$H$1004,บันทึก!$C$5:$C$1004,$A98))</f>
        <v/>
      </c>
      <c r="G98" s="7">
        <f>IF($A98="","",สินค้า!D96)</f>
        <v/>
      </c>
      <c r="H98" s="7">
        <f>IF($A98="","",COUNTIFS(บันทึก!$C$5:$C$1004,$A98,บันทึก!$J$5:$J$1004,"Done"))</f>
        <v/>
      </c>
      <c r="I98" s="7">
        <f>IF($A98="","",COUNTIFS(บันทึก!$C$5:$C$1004,$A98,บันทึก!$J$5:$J$1004,"Pending"))</f>
        <v/>
      </c>
      <c r="J98" s="7">
        <f>IF($A98="","",COUNTIFS(บันทึก!$C$5:$C$1004,$A98,บันทึก!$K$5:$K$1004,"Yes"))</f>
        <v/>
      </c>
      <c r="K98" s="9">
        <f>IF(OR($A98="",D98=0),"",H98/D98)</f>
        <v/>
      </c>
      <c r="L98" s="10">
        <f>IF(OR($A98="",D98=0),"",MAXIFS(บันทึก!$A$5:$A$1004,บันทึก!$C$5:$C$1004,$A98))</f>
        <v/>
      </c>
    </row>
    <row r="99">
      <c r="A99" s="7">
        <f>IF(สินค้า!B97="","",สินค้า!B97)</f>
        <v/>
      </c>
      <c r="B99" s="7">
        <f>IF($A99="","",สินค้า!A97)</f>
        <v/>
      </c>
      <c r="C99" s="7">
        <f>IF($A99="","",สินค้า!C97)</f>
        <v/>
      </c>
      <c r="D99" s="7">
        <f>IF($A99="","",COUNTIF(บันทึก!$C$5:$C$1004,$A99))</f>
        <v/>
      </c>
      <c r="E99" s="8">
        <f>IF($A99="","",SUMIFS(บันทึก!$G$5:$G$1004,บันทึก!$C$5:$C$1004,$A99))</f>
        <v/>
      </c>
      <c r="F99" s="8">
        <f>IF($A99="","",SUMIFS(บันทึก!$H$5:$H$1004,บันทึก!$C$5:$C$1004,$A99))</f>
        <v/>
      </c>
      <c r="G99" s="7">
        <f>IF($A99="","",สินค้า!D97)</f>
        <v/>
      </c>
      <c r="H99" s="7">
        <f>IF($A99="","",COUNTIFS(บันทึก!$C$5:$C$1004,$A99,บันทึก!$J$5:$J$1004,"Done"))</f>
        <v/>
      </c>
      <c r="I99" s="7">
        <f>IF($A99="","",COUNTIFS(บันทึก!$C$5:$C$1004,$A99,บันทึก!$J$5:$J$1004,"Pending"))</f>
        <v/>
      </c>
      <c r="J99" s="7">
        <f>IF($A99="","",COUNTIFS(บันทึก!$C$5:$C$1004,$A99,บันทึก!$K$5:$K$1004,"Yes"))</f>
        <v/>
      </c>
      <c r="K99" s="9">
        <f>IF(OR($A99="",D99=0),"",H99/D99)</f>
        <v/>
      </c>
      <c r="L99" s="10">
        <f>IF(OR($A99="",D99=0),"",MAXIFS(บันทึก!$A$5:$A$1004,บันทึก!$C$5:$C$1004,$A99))</f>
        <v/>
      </c>
    </row>
    <row r="100">
      <c r="A100" s="7">
        <f>IF(สินค้า!B98="","",สินค้า!B98)</f>
        <v/>
      </c>
      <c r="B100" s="7">
        <f>IF($A100="","",สินค้า!A98)</f>
        <v/>
      </c>
      <c r="C100" s="7">
        <f>IF($A100="","",สินค้า!C98)</f>
        <v/>
      </c>
      <c r="D100" s="7">
        <f>IF($A100="","",COUNTIF(บันทึก!$C$5:$C$1004,$A100))</f>
        <v/>
      </c>
      <c r="E100" s="8">
        <f>IF($A100="","",SUMIFS(บันทึก!$G$5:$G$1004,บันทึก!$C$5:$C$1004,$A100))</f>
        <v/>
      </c>
      <c r="F100" s="8">
        <f>IF($A100="","",SUMIFS(บันทึก!$H$5:$H$1004,บันทึก!$C$5:$C$1004,$A100))</f>
        <v/>
      </c>
      <c r="G100" s="7">
        <f>IF($A100="","",สินค้า!D98)</f>
        <v/>
      </c>
      <c r="H100" s="7">
        <f>IF($A100="","",COUNTIFS(บันทึก!$C$5:$C$1004,$A100,บันทึก!$J$5:$J$1004,"Done"))</f>
        <v/>
      </c>
      <c r="I100" s="7">
        <f>IF($A100="","",COUNTIFS(บันทึก!$C$5:$C$1004,$A100,บันทึก!$J$5:$J$1004,"Pending"))</f>
        <v/>
      </c>
      <c r="J100" s="7">
        <f>IF($A100="","",COUNTIFS(บันทึก!$C$5:$C$1004,$A100,บันทึก!$K$5:$K$1004,"Yes"))</f>
        <v/>
      </c>
      <c r="K100" s="9">
        <f>IF(OR($A100="",D100=0),"",H100/D100)</f>
        <v/>
      </c>
      <c r="L100" s="10">
        <f>IF(OR($A100="",D100=0),"",MAXIFS(บันทึก!$A$5:$A$1004,บันทึก!$C$5:$C$1004,$A100))</f>
        <v/>
      </c>
    </row>
    <row r="101">
      <c r="A101" s="7">
        <f>IF(สินค้า!B99="","",สินค้า!B99)</f>
        <v/>
      </c>
      <c r="B101" s="7">
        <f>IF($A101="","",สินค้า!A99)</f>
        <v/>
      </c>
      <c r="C101" s="7">
        <f>IF($A101="","",สินค้า!C99)</f>
        <v/>
      </c>
      <c r="D101" s="7">
        <f>IF($A101="","",COUNTIF(บันทึก!$C$5:$C$1004,$A101))</f>
        <v/>
      </c>
      <c r="E101" s="8">
        <f>IF($A101="","",SUMIFS(บันทึก!$G$5:$G$1004,บันทึก!$C$5:$C$1004,$A101))</f>
        <v/>
      </c>
      <c r="F101" s="8">
        <f>IF($A101="","",SUMIFS(บันทึก!$H$5:$H$1004,บันทึก!$C$5:$C$1004,$A101))</f>
        <v/>
      </c>
      <c r="G101" s="7">
        <f>IF($A101="","",สินค้า!D99)</f>
        <v/>
      </c>
      <c r="H101" s="7">
        <f>IF($A101="","",COUNTIFS(บันทึก!$C$5:$C$1004,$A101,บันทึก!$J$5:$J$1004,"Done"))</f>
        <v/>
      </c>
      <c r="I101" s="7">
        <f>IF($A101="","",COUNTIFS(บันทึก!$C$5:$C$1004,$A101,บันทึก!$J$5:$J$1004,"Pending"))</f>
        <v/>
      </c>
      <c r="J101" s="7">
        <f>IF($A101="","",COUNTIFS(บันทึก!$C$5:$C$1004,$A101,บันทึก!$K$5:$K$1004,"Yes"))</f>
        <v/>
      </c>
      <c r="K101" s="9">
        <f>IF(OR($A101="",D101=0),"",H101/D101)</f>
        <v/>
      </c>
      <c r="L101" s="10">
        <f>IF(OR($A101="",D101=0),"",MAXIFS(บันทึก!$A$5:$A$1004,บันทึก!$C$5:$C$1004,$A101))</f>
        <v/>
      </c>
    </row>
    <row r="102">
      <c r="A102" s="7">
        <f>IF(สินค้า!B100="","",สินค้า!B100)</f>
        <v/>
      </c>
      <c r="B102" s="7">
        <f>IF($A102="","",สินค้า!A100)</f>
        <v/>
      </c>
      <c r="C102" s="7">
        <f>IF($A102="","",สินค้า!C100)</f>
        <v/>
      </c>
      <c r="D102" s="7">
        <f>IF($A102="","",COUNTIF(บันทึก!$C$5:$C$1004,$A102))</f>
        <v/>
      </c>
      <c r="E102" s="8">
        <f>IF($A102="","",SUMIFS(บันทึก!$G$5:$G$1004,บันทึก!$C$5:$C$1004,$A102))</f>
        <v/>
      </c>
      <c r="F102" s="8">
        <f>IF($A102="","",SUMIFS(บันทึก!$H$5:$H$1004,บันทึก!$C$5:$C$1004,$A102))</f>
        <v/>
      </c>
      <c r="G102" s="7">
        <f>IF($A102="","",สินค้า!D100)</f>
        <v/>
      </c>
      <c r="H102" s="7">
        <f>IF($A102="","",COUNTIFS(บันทึก!$C$5:$C$1004,$A102,บันทึก!$J$5:$J$1004,"Done"))</f>
        <v/>
      </c>
      <c r="I102" s="7">
        <f>IF($A102="","",COUNTIFS(บันทึก!$C$5:$C$1004,$A102,บันทึก!$J$5:$J$1004,"Pending"))</f>
        <v/>
      </c>
      <c r="J102" s="7">
        <f>IF($A102="","",COUNTIFS(บันทึก!$C$5:$C$1004,$A102,บันทึก!$K$5:$K$1004,"Yes"))</f>
        <v/>
      </c>
      <c r="K102" s="9">
        <f>IF(OR($A102="",D102=0),"",H102/D102)</f>
        <v/>
      </c>
      <c r="L102" s="10">
        <f>IF(OR($A102="",D102=0),"",MAXIFS(บันทึก!$A$5:$A$1004,บันทึก!$C$5:$C$1004,$A102))</f>
        <v/>
      </c>
    </row>
    <row r="103">
      <c r="A103" s="7">
        <f>IF(สินค้า!B101="","",สินค้า!B101)</f>
        <v/>
      </c>
      <c r="B103" s="7">
        <f>IF($A103="","",สินค้า!A101)</f>
        <v/>
      </c>
      <c r="C103" s="7">
        <f>IF($A103="","",สินค้า!C101)</f>
        <v/>
      </c>
      <c r="D103" s="7">
        <f>IF($A103="","",COUNTIF(บันทึก!$C$5:$C$1004,$A103))</f>
        <v/>
      </c>
      <c r="E103" s="8">
        <f>IF($A103="","",SUMIFS(บันทึก!$G$5:$G$1004,บันทึก!$C$5:$C$1004,$A103))</f>
        <v/>
      </c>
      <c r="F103" s="8">
        <f>IF($A103="","",SUMIFS(บันทึก!$H$5:$H$1004,บันทึก!$C$5:$C$1004,$A103))</f>
        <v/>
      </c>
      <c r="G103" s="7">
        <f>IF($A103="","",สินค้า!D101)</f>
        <v/>
      </c>
      <c r="H103" s="7">
        <f>IF($A103="","",COUNTIFS(บันทึก!$C$5:$C$1004,$A103,บันทึก!$J$5:$J$1004,"Done"))</f>
        <v/>
      </c>
      <c r="I103" s="7">
        <f>IF($A103="","",COUNTIFS(บันทึก!$C$5:$C$1004,$A103,บันทึก!$J$5:$J$1004,"Pending"))</f>
        <v/>
      </c>
      <c r="J103" s="7">
        <f>IF($A103="","",COUNTIFS(บันทึก!$C$5:$C$1004,$A103,บันทึก!$K$5:$K$1004,"Yes"))</f>
        <v/>
      </c>
      <c r="K103" s="9">
        <f>IF(OR($A103="",D103=0),"",H103/D103)</f>
        <v/>
      </c>
      <c r="L103" s="10">
        <f>IF(OR($A103="",D103=0),"",MAXIFS(บันทึก!$A$5:$A$1004,บันทึก!$C$5:$C$1004,$A103))</f>
        <v/>
      </c>
    </row>
    <row r="104">
      <c r="A104" s="7">
        <f>IF(สินค้า!B102="","",สินค้า!B102)</f>
        <v/>
      </c>
      <c r="B104" s="7">
        <f>IF($A104="","",สินค้า!A102)</f>
        <v/>
      </c>
      <c r="C104" s="7">
        <f>IF($A104="","",สินค้า!C102)</f>
        <v/>
      </c>
      <c r="D104" s="7">
        <f>IF($A104="","",COUNTIF(บันทึก!$C$5:$C$1004,$A104))</f>
        <v/>
      </c>
      <c r="E104" s="8">
        <f>IF($A104="","",SUMIFS(บันทึก!$G$5:$G$1004,บันทึก!$C$5:$C$1004,$A104))</f>
        <v/>
      </c>
      <c r="F104" s="8">
        <f>IF($A104="","",SUMIFS(บันทึก!$H$5:$H$1004,บันทึก!$C$5:$C$1004,$A104))</f>
        <v/>
      </c>
      <c r="G104" s="7">
        <f>IF($A104="","",สินค้า!D102)</f>
        <v/>
      </c>
      <c r="H104" s="7">
        <f>IF($A104="","",COUNTIFS(บันทึก!$C$5:$C$1004,$A104,บันทึก!$J$5:$J$1004,"Done"))</f>
        <v/>
      </c>
      <c r="I104" s="7">
        <f>IF($A104="","",COUNTIFS(บันทึก!$C$5:$C$1004,$A104,บันทึก!$J$5:$J$1004,"Pending"))</f>
        <v/>
      </c>
      <c r="J104" s="7">
        <f>IF($A104="","",COUNTIFS(บันทึก!$C$5:$C$1004,$A104,บันทึก!$K$5:$K$1004,"Yes"))</f>
        <v/>
      </c>
      <c r="K104" s="9">
        <f>IF(OR($A104="",D104=0),"",H104/D104)</f>
        <v/>
      </c>
      <c r="L104" s="10">
        <f>IF(OR($A104="",D104=0),"",MAXIFS(บันทึก!$A$5:$A$1004,บันทึก!$C$5:$C$1004,$A104))</f>
        <v/>
      </c>
    </row>
    <row r="105">
      <c r="A105" s="7">
        <f>IF(สินค้า!B103="","",สินค้า!B103)</f>
        <v/>
      </c>
      <c r="B105" s="7">
        <f>IF($A105="","",สินค้า!A103)</f>
        <v/>
      </c>
      <c r="C105" s="7">
        <f>IF($A105="","",สินค้า!C103)</f>
        <v/>
      </c>
      <c r="D105" s="7">
        <f>IF($A105="","",COUNTIF(บันทึก!$C$5:$C$1004,$A105))</f>
        <v/>
      </c>
      <c r="E105" s="8">
        <f>IF($A105="","",SUMIFS(บันทึก!$G$5:$G$1004,บันทึก!$C$5:$C$1004,$A105))</f>
        <v/>
      </c>
      <c r="F105" s="8">
        <f>IF($A105="","",SUMIFS(บันทึก!$H$5:$H$1004,บันทึก!$C$5:$C$1004,$A105))</f>
        <v/>
      </c>
      <c r="G105" s="7">
        <f>IF($A105="","",สินค้า!D103)</f>
        <v/>
      </c>
      <c r="H105" s="7">
        <f>IF($A105="","",COUNTIFS(บันทึก!$C$5:$C$1004,$A105,บันทึก!$J$5:$J$1004,"Done"))</f>
        <v/>
      </c>
      <c r="I105" s="7">
        <f>IF($A105="","",COUNTIFS(บันทึก!$C$5:$C$1004,$A105,บันทึก!$J$5:$J$1004,"Pending"))</f>
        <v/>
      </c>
      <c r="J105" s="7">
        <f>IF($A105="","",COUNTIFS(บันทึก!$C$5:$C$1004,$A105,บันทึก!$K$5:$K$1004,"Yes"))</f>
        <v/>
      </c>
      <c r="K105" s="9">
        <f>IF(OR($A105="",D105=0),"",H105/D105)</f>
        <v/>
      </c>
      <c r="L105" s="10">
        <f>IF(OR($A105="",D105=0),"",MAXIFS(บันทึก!$A$5:$A$1004,บันทึก!$C$5:$C$1004,$A105))</f>
        <v/>
      </c>
    </row>
    <row r="106">
      <c r="A106" s="7">
        <f>IF(สินค้า!B104="","",สินค้า!B104)</f>
        <v/>
      </c>
      <c r="B106" s="7">
        <f>IF($A106="","",สินค้า!A104)</f>
        <v/>
      </c>
      <c r="C106" s="7">
        <f>IF($A106="","",สินค้า!C104)</f>
        <v/>
      </c>
      <c r="D106" s="7">
        <f>IF($A106="","",COUNTIF(บันทึก!$C$5:$C$1004,$A106))</f>
        <v/>
      </c>
      <c r="E106" s="8">
        <f>IF($A106="","",SUMIFS(บันทึก!$G$5:$G$1004,บันทึก!$C$5:$C$1004,$A106))</f>
        <v/>
      </c>
      <c r="F106" s="8">
        <f>IF($A106="","",SUMIFS(บันทึก!$H$5:$H$1004,บันทึก!$C$5:$C$1004,$A106))</f>
        <v/>
      </c>
      <c r="G106" s="7">
        <f>IF($A106="","",สินค้า!D104)</f>
        <v/>
      </c>
      <c r="H106" s="7">
        <f>IF($A106="","",COUNTIFS(บันทึก!$C$5:$C$1004,$A106,บันทึก!$J$5:$J$1004,"Done"))</f>
        <v/>
      </c>
      <c r="I106" s="7">
        <f>IF($A106="","",COUNTIFS(บันทึก!$C$5:$C$1004,$A106,บันทึก!$J$5:$J$1004,"Pending"))</f>
        <v/>
      </c>
      <c r="J106" s="7">
        <f>IF($A106="","",COUNTIFS(บันทึก!$C$5:$C$1004,$A106,บันทึก!$K$5:$K$1004,"Yes"))</f>
        <v/>
      </c>
      <c r="K106" s="9">
        <f>IF(OR($A106="",D106=0),"",H106/D106)</f>
        <v/>
      </c>
      <c r="L106" s="10">
        <f>IF(OR($A106="",D106=0),"",MAXIFS(บันทึก!$A$5:$A$1004,บันทึก!$C$5:$C$1004,$A106))</f>
        <v/>
      </c>
    </row>
    <row r="107">
      <c r="A107" s="7">
        <f>IF(สินค้า!B105="","",สินค้า!B105)</f>
        <v/>
      </c>
      <c r="B107" s="7">
        <f>IF($A107="","",สินค้า!A105)</f>
        <v/>
      </c>
      <c r="C107" s="7">
        <f>IF($A107="","",สินค้า!C105)</f>
        <v/>
      </c>
      <c r="D107" s="7">
        <f>IF($A107="","",COUNTIF(บันทึก!$C$5:$C$1004,$A107))</f>
        <v/>
      </c>
      <c r="E107" s="8">
        <f>IF($A107="","",SUMIFS(บันทึก!$G$5:$G$1004,บันทึก!$C$5:$C$1004,$A107))</f>
        <v/>
      </c>
      <c r="F107" s="8">
        <f>IF($A107="","",SUMIFS(บันทึก!$H$5:$H$1004,บันทึก!$C$5:$C$1004,$A107))</f>
        <v/>
      </c>
      <c r="G107" s="7">
        <f>IF($A107="","",สินค้า!D105)</f>
        <v/>
      </c>
      <c r="H107" s="7">
        <f>IF($A107="","",COUNTIFS(บันทึก!$C$5:$C$1004,$A107,บันทึก!$J$5:$J$1004,"Done"))</f>
        <v/>
      </c>
      <c r="I107" s="7">
        <f>IF($A107="","",COUNTIFS(บันทึก!$C$5:$C$1004,$A107,บันทึก!$J$5:$J$1004,"Pending"))</f>
        <v/>
      </c>
      <c r="J107" s="7">
        <f>IF($A107="","",COUNTIFS(บันทึก!$C$5:$C$1004,$A107,บันทึก!$K$5:$K$1004,"Yes"))</f>
        <v/>
      </c>
      <c r="K107" s="9">
        <f>IF(OR($A107="",D107=0),"",H107/D107)</f>
        <v/>
      </c>
      <c r="L107" s="10">
        <f>IF(OR($A107="",D107=0),"",MAXIFS(บันทึก!$A$5:$A$1004,บันทึก!$C$5:$C$1004,$A107))</f>
        <v/>
      </c>
    </row>
    <row r="108">
      <c r="A108" s="7">
        <f>IF(สินค้า!B106="","",สินค้า!B106)</f>
        <v/>
      </c>
      <c r="B108" s="7">
        <f>IF($A108="","",สินค้า!A106)</f>
        <v/>
      </c>
      <c r="C108" s="7">
        <f>IF($A108="","",สินค้า!C106)</f>
        <v/>
      </c>
      <c r="D108" s="7">
        <f>IF($A108="","",COUNTIF(บันทึก!$C$5:$C$1004,$A108))</f>
        <v/>
      </c>
      <c r="E108" s="8">
        <f>IF($A108="","",SUMIFS(บันทึก!$G$5:$G$1004,บันทึก!$C$5:$C$1004,$A108))</f>
        <v/>
      </c>
      <c r="F108" s="8">
        <f>IF($A108="","",SUMIFS(บันทึก!$H$5:$H$1004,บันทึก!$C$5:$C$1004,$A108))</f>
        <v/>
      </c>
      <c r="G108" s="7">
        <f>IF($A108="","",สินค้า!D106)</f>
        <v/>
      </c>
      <c r="H108" s="7">
        <f>IF($A108="","",COUNTIFS(บันทึก!$C$5:$C$1004,$A108,บันทึก!$J$5:$J$1004,"Done"))</f>
        <v/>
      </c>
      <c r="I108" s="7">
        <f>IF($A108="","",COUNTIFS(บันทึก!$C$5:$C$1004,$A108,บันทึก!$J$5:$J$1004,"Pending"))</f>
        <v/>
      </c>
      <c r="J108" s="7">
        <f>IF($A108="","",COUNTIFS(บันทึก!$C$5:$C$1004,$A108,บันทึก!$K$5:$K$1004,"Yes"))</f>
        <v/>
      </c>
      <c r="K108" s="9">
        <f>IF(OR($A108="",D108=0),"",H108/D108)</f>
        <v/>
      </c>
      <c r="L108" s="10">
        <f>IF(OR($A108="",D108=0),"",MAXIFS(บันทึก!$A$5:$A$1004,บันทึก!$C$5:$C$1004,$A108))</f>
        <v/>
      </c>
    </row>
    <row r="109">
      <c r="A109" s="7">
        <f>IF(สินค้า!B107="","",สินค้า!B107)</f>
        <v/>
      </c>
      <c r="B109" s="7">
        <f>IF($A109="","",สินค้า!A107)</f>
        <v/>
      </c>
      <c r="C109" s="7">
        <f>IF($A109="","",สินค้า!C107)</f>
        <v/>
      </c>
      <c r="D109" s="7">
        <f>IF($A109="","",COUNTIF(บันทึก!$C$5:$C$1004,$A109))</f>
        <v/>
      </c>
      <c r="E109" s="8">
        <f>IF($A109="","",SUMIFS(บันทึก!$G$5:$G$1004,บันทึก!$C$5:$C$1004,$A109))</f>
        <v/>
      </c>
      <c r="F109" s="8">
        <f>IF($A109="","",SUMIFS(บันทึก!$H$5:$H$1004,บันทึก!$C$5:$C$1004,$A109))</f>
        <v/>
      </c>
      <c r="G109" s="7">
        <f>IF($A109="","",สินค้า!D107)</f>
        <v/>
      </c>
      <c r="H109" s="7">
        <f>IF($A109="","",COUNTIFS(บันทึก!$C$5:$C$1004,$A109,บันทึก!$J$5:$J$1004,"Done"))</f>
        <v/>
      </c>
      <c r="I109" s="7">
        <f>IF($A109="","",COUNTIFS(บันทึก!$C$5:$C$1004,$A109,บันทึก!$J$5:$J$1004,"Pending"))</f>
        <v/>
      </c>
      <c r="J109" s="7">
        <f>IF($A109="","",COUNTIFS(บันทึก!$C$5:$C$1004,$A109,บันทึก!$K$5:$K$1004,"Yes"))</f>
        <v/>
      </c>
      <c r="K109" s="9">
        <f>IF(OR($A109="",D109=0),"",H109/D109)</f>
        <v/>
      </c>
      <c r="L109" s="10">
        <f>IF(OR($A109="",D109=0),"",MAXIFS(บันทึก!$A$5:$A$1004,บันทึก!$C$5:$C$1004,$A109))</f>
        <v/>
      </c>
    </row>
    <row r="110">
      <c r="A110" s="7">
        <f>IF(สินค้า!B108="","",สินค้า!B108)</f>
        <v/>
      </c>
      <c r="B110" s="7">
        <f>IF($A110="","",สินค้า!A108)</f>
        <v/>
      </c>
      <c r="C110" s="7">
        <f>IF($A110="","",สินค้า!C108)</f>
        <v/>
      </c>
      <c r="D110" s="7">
        <f>IF($A110="","",COUNTIF(บันทึก!$C$5:$C$1004,$A110))</f>
        <v/>
      </c>
      <c r="E110" s="8">
        <f>IF($A110="","",SUMIFS(บันทึก!$G$5:$G$1004,บันทึก!$C$5:$C$1004,$A110))</f>
        <v/>
      </c>
      <c r="F110" s="8">
        <f>IF($A110="","",SUMIFS(บันทึก!$H$5:$H$1004,บันทึก!$C$5:$C$1004,$A110))</f>
        <v/>
      </c>
      <c r="G110" s="7">
        <f>IF($A110="","",สินค้า!D108)</f>
        <v/>
      </c>
      <c r="H110" s="7">
        <f>IF($A110="","",COUNTIFS(บันทึก!$C$5:$C$1004,$A110,บันทึก!$J$5:$J$1004,"Done"))</f>
        <v/>
      </c>
      <c r="I110" s="7">
        <f>IF($A110="","",COUNTIFS(บันทึก!$C$5:$C$1004,$A110,บันทึก!$J$5:$J$1004,"Pending"))</f>
        <v/>
      </c>
      <c r="J110" s="7">
        <f>IF($A110="","",COUNTIFS(บันทึก!$C$5:$C$1004,$A110,บันทึก!$K$5:$K$1004,"Yes"))</f>
        <v/>
      </c>
      <c r="K110" s="9">
        <f>IF(OR($A110="",D110=0),"",H110/D110)</f>
        <v/>
      </c>
      <c r="L110" s="10">
        <f>IF(OR($A110="",D110=0),"",MAXIFS(บันทึก!$A$5:$A$1004,บันทึก!$C$5:$C$1004,$A110))</f>
        <v/>
      </c>
    </row>
    <row r="111">
      <c r="A111" s="7">
        <f>IF(สินค้า!B109="","",สินค้า!B109)</f>
        <v/>
      </c>
      <c r="B111" s="7">
        <f>IF($A111="","",สินค้า!A109)</f>
        <v/>
      </c>
      <c r="C111" s="7">
        <f>IF($A111="","",สินค้า!C109)</f>
        <v/>
      </c>
      <c r="D111" s="7">
        <f>IF($A111="","",COUNTIF(บันทึก!$C$5:$C$1004,$A111))</f>
        <v/>
      </c>
      <c r="E111" s="8">
        <f>IF($A111="","",SUMIFS(บันทึก!$G$5:$G$1004,บันทึก!$C$5:$C$1004,$A111))</f>
        <v/>
      </c>
      <c r="F111" s="8">
        <f>IF($A111="","",SUMIFS(บันทึก!$H$5:$H$1004,บันทึก!$C$5:$C$1004,$A111))</f>
        <v/>
      </c>
      <c r="G111" s="7">
        <f>IF($A111="","",สินค้า!D109)</f>
        <v/>
      </c>
      <c r="H111" s="7">
        <f>IF($A111="","",COUNTIFS(บันทึก!$C$5:$C$1004,$A111,บันทึก!$J$5:$J$1004,"Done"))</f>
        <v/>
      </c>
      <c r="I111" s="7">
        <f>IF($A111="","",COUNTIFS(บันทึก!$C$5:$C$1004,$A111,บันทึก!$J$5:$J$1004,"Pending"))</f>
        <v/>
      </c>
      <c r="J111" s="7">
        <f>IF($A111="","",COUNTIFS(บันทึก!$C$5:$C$1004,$A111,บันทึก!$K$5:$K$1004,"Yes"))</f>
        <v/>
      </c>
      <c r="K111" s="9">
        <f>IF(OR($A111="",D111=0),"",H111/D111)</f>
        <v/>
      </c>
      <c r="L111" s="10">
        <f>IF(OR($A111="",D111=0),"",MAXIFS(บันทึก!$A$5:$A$1004,บันทึก!$C$5:$C$1004,$A111))</f>
        <v/>
      </c>
    </row>
    <row r="112">
      <c r="A112" s="7">
        <f>IF(สินค้า!B110="","",สินค้า!B110)</f>
        <v/>
      </c>
      <c r="B112" s="7">
        <f>IF($A112="","",สินค้า!A110)</f>
        <v/>
      </c>
      <c r="C112" s="7">
        <f>IF($A112="","",สินค้า!C110)</f>
        <v/>
      </c>
      <c r="D112" s="7">
        <f>IF($A112="","",COUNTIF(บันทึก!$C$5:$C$1004,$A112))</f>
        <v/>
      </c>
      <c r="E112" s="8">
        <f>IF($A112="","",SUMIFS(บันทึก!$G$5:$G$1004,บันทึก!$C$5:$C$1004,$A112))</f>
        <v/>
      </c>
      <c r="F112" s="8">
        <f>IF($A112="","",SUMIFS(บันทึก!$H$5:$H$1004,บันทึก!$C$5:$C$1004,$A112))</f>
        <v/>
      </c>
      <c r="G112" s="7">
        <f>IF($A112="","",สินค้า!D110)</f>
        <v/>
      </c>
      <c r="H112" s="7">
        <f>IF($A112="","",COUNTIFS(บันทึก!$C$5:$C$1004,$A112,บันทึก!$J$5:$J$1004,"Done"))</f>
        <v/>
      </c>
      <c r="I112" s="7">
        <f>IF($A112="","",COUNTIFS(บันทึก!$C$5:$C$1004,$A112,บันทึก!$J$5:$J$1004,"Pending"))</f>
        <v/>
      </c>
      <c r="J112" s="7">
        <f>IF($A112="","",COUNTIFS(บันทึก!$C$5:$C$1004,$A112,บันทึก!$K$5:$K$1004,"Yes"))</f>
        <v/>
      </c>
      <c r="K112" s="9">
        <f>IF(OR($A112="",D112=0),"",H112/D112)</f>
        <v/>
      </c>
      <c r="L112" s="10">
        <f>IF(OR($A112="",D112=0),"",MAXIFS(บันทึก!$A$5:$A$1004,บันทึก!$C$5:$C$1004,$A112))</f>
        <v/>
      </c>
    </row>
    <row r="113">
      <c r="A113" s="7">
        <f>IF(สินค้า!B111="","",สินค้า!B111)</f>
        <v/>
      </c>
      <c r="B113" s="7">
        <f>IF($A113="","",สินค้า!A111)</f>
        <v/>
      </c>
      <c r="C113" s="7">
        <f>IF($A113="","",สินค้า!C111)</f>
        <v/>
      </c>
      <c r="D113" s="7">
        <f>IF($A113="","",COUNTIF(บันทึก!$C$5:$C$1004,$A113))</f>
        <v/>
      </c>
      <c r="E113" s="8">
        <f>IF($A113="","",SUMIFS(บันทึก!$G$5:$G$1004,บันทึก!$C$5:$C$1004,$A113))</f>
        <v/>
      </c>
      <c r="F113" s="8">
        <f>IF($A113="","",SUMIFS(บันทึก!$H$5:$H$1004,บันทึก!$C$5:$C$1004,$A113))</f>
        <v/>
      </c>
      <c r="G113" s="7">
        <f>IF($A113="","",สินค้า!D111)</f>
        <v/>
      </c>
      <c r="H113" s="7">
        <f>IF($A113="","",COUNTIFS(บันทึก!$C$5:$C$1004,$A113,บันทึก!$J$5:$J$1004,"Done"))</f>
        <v/>
      </c>
      <c r="I113" s="7">
        <f>IF($A113="","",COUNTIFS(บันทึก!$C$5:$C$1004,$A113,บันทึก!$J$5:$J$1004,"Pending"))</f>
        <v/>
      </c>
      <c r="J113" s="7">
        <f>IF($A113="","",COUNTIFS(บันทึก!$C$5:$C$1004,$A113,บันทึก!$K$5:$K$1004,"Yes"))</f>
        <v/>
      </c>
      <c r="K113" s="9">
        <f>IF(OR($A113="",D113=0),"",H113/D113)</f>
        <v/>
      </c>
      <c r="L113" s="10">
        <f>IF(OR($A113="",D113=0),"",MAXIFS(บันทึก!$A$5:$A$1004,บันทึก!$C$5:$C$1004,$A113))</f>
        <v/>
      </c>
    </row>
    <row r="114">
      <c r="A114" s="7">
        <f>IF(สินค้า!B112="","",สินค้า!B112)</f>
        <v/>
      </c>
      <c r="B114" s="7">
        <f>IF($A114="","",สินค้า!A112)</f>
        <v/>
      </c>
      <c r="C114" s="7">
        <f>IF($A114="","",สินค้า!C112)</f>
        <v/>
      </c>
      <c r="D114" s="7">
        <f>IF($A114="","",COUNTIF(บันทึก!$C$5:$C$1004,$A114))</f>
        <v/>
      </c>
      <c r="E114" s="8">
        <f>IF($A114="","",SUMIFS(บันทึก!$G$5:$G$1004,บันทึก!$C$5:$C$1004,$A114))</f>
        <v/>
      </c>
      <c r="F114" s="8">
        <f>IF($A114="","",SUMIFS(บันทึก!$H$5:$H$1004,บันทึก!$C$5:$C$1004,$A114))</f>
        <v/>
      </c>
      <c r="G114" s="7">
        <f>IF($A114="","",สินค้า!D112)</f>
        <v/>
      </c>
      <c r="H114" s="7">
        <f>IF($A114="","",COUNTIFS(บันทึก!$C$5:$C$1004,$A114,บันทึก!$J$5:$J$1004,"Done"))</f>
        <v/>
      </c>
      <c r="I114" s="7">
        <f>IF($A114="","",COUNTIFS(บันทึก!$C$5:$C$1004,$A114,บันทึก!$J$5:$J$1004,"Pending"))</f>
        <v/>
      </c>
      <c r="J114" s="7">
        <f>IF($A114="","",COUNTIFS(บันทึก!$C$5:$C$1004,$A114,บันทึก!$K$5:$K$1004,"Yes"))</f>
        <v/>
      </c>
      <c r="K114" s="9">
        <f>IF(OR($A114="",D114=0),"",H114/D114)</f>
        <v/>
      </c>
      <c r="L114" s="10">
        <f>IF(OR($A114="",D114=0),"",MAXIFS(บันทึก!$A$5:$A$1004,บันทึก!$C$5:$C$1004,$A114))</f>
        <v/>
      </c>
    </row>
    <row r="115">
      <c r="A115" s="7">
        <f>IF(สินค้า!B113="","",สินค้า!B113)</f>
        <v/>
      </c>
      <c r="B115" s="7">
        <f>IF($A115="","",สินค้า!A113)</f>
        <v/>
      </c>
      <c r="C115" s="7">
        <f>IF($A115="","",สินค้า!C113)</f>
        <v/>
      </c>
      <c r="D115" s="7">
        <f>IF($A115="","",COUNTIF(บันทึก!$C$5:$C$1004,$A115))</f>
        <v/>
      </c>
      <c r="E115" s="8">
        <f>IF($A115="","",SUMIFS(บันทึก!$G$5:$G$1004,บันทึก!$C$5:$C$1004,$A115))</f>
        <v/>
      </c>
      <c r="F115" s="8">
        <f>IF($A115="","",SUMIFS(บันทึก!$H$5:$H$1004,บันทึก!$C$5:$C$1004,$A115))</f>
        <v/>
      </c>
      <c r="G115" s="7">
        <f>IF($A115="","",สินค้า!D113)</f>
        <v/>
      </c>
      <c r="H115" s="7">
        <f>IF($A115="","",COUNTIFS(บันทึก!$C$5:$C$1004,$A115,บันทึก!$J$5:$J$1004,"Done"))</f>
        <v/>
      </c>
      <c r="I115" s="7">
        <f>IF($A115="","",COUNTIFS(บันทึก!$C$5:$C$1004,$A115,บันทึก!$J$5:$J$1004,"Pending"))</f>
        <v/>
      </c>
      <c r="J115" s="7">
        <f>IF($A115="","",COUNTIFS(บันทึก!$C$5:$C$1004,$A115,บันทึก!$K$5:$K$1004,"Yes"))</f>
        <v/>
      </c>
      <c r="K115" s="9">
        <f>IF(OR($A115="",D115=0),"",H115/D115)</f>
        <v/>
      </c>
      <c r="L115" s="10">
        <f>IF(OR($A115="",D115=0),"",MAXIFS(บันทึก!$A$5:$A$1004,บันทึก!$C$5:$C$1004,$A115))</f>
        <v/>
      </c>
    </row>
    <row r="116">
      <c r="A116" s="7">
        <f>IF(สินค้า!B114="","",สินค้า!B114)</f>
        <v/>
      </c>
      <c r="B116" s="7">
        <f>IF($A116="","",สินค้า!A114)</f>
        <v/>
      </c>
      <c r="C116" s="7">
        <f>IF($A116="","",สินค้า!C114)</f>
        <v/>
      </c>
      <c r="D116" s="7">
        <f>IF($A116="","",COUNTIF(บันทึก!$C$5:$C$1004,$A116))</f>
        <v/>
      </c>
      <c r="E116" s="8">
        <f>IF($A116="","",SUMIFS(บันทึก!$G$5:$G$1004,บันทึก!$C$5:$C$1004,$A116))</f>
        <v/>
      </c>
      <c r="F116" s="8">
        <f>IF($A116="","",SUMIFS(บันทึก!$H$5:$H$1004,บันทึก!$C$5:$C$1004,$A116))</f>
        <v/>
      </c>
      <c r="G116" s="7">
        <f>IF($A116="","",สินค้า!D114)</f>
        <v/>
      </c>
      <c r="H116" s="7">
        <f>IF($A116="","",COUNTIFS(บันทึก!$C$5:$C$1004,$A116,บันทึก!$J$5:$J$1004,"Done"))</f>
        <v/>
      </c>
      <c r="I116" s="7">
        <f>IF($A116="","",COUNTIFS(บันทึก!$C$5:$C$1004,$A116,บันทึก!$J$5:$J$1004,"Pending"))</f>
        <v/>
      </c>
      <c r="J116" s="7">
        <f>IF($A116="","",COUNTIFS(บันทึก!$C$5:$C$1004,$A116,บันทึก!$K$5:$K$1004,"Yes"))</f>
        <v/>
      </c>
      <c r="K116" s="9">
        <f>IF(OR($A116="",D116=0),"",H116/D116)</f>
        <v/>
      </c>
      <c r="L116" s="10">
        <f>IF(OR($A116="",D116=0),"",MAXIFS(บันทึก!$A$5:$A$1004,บันทึก!$C$5:$C$1004,$A116))</f>
        <v/>
      </c>
    </row>
    <row r="117">
      <c r="A117" s="7">
        <f>IF(สินค้า!B115="","",สินค้า!B115)</f>
        <v/>
      </c>
      <c r="B117" s="7">
        <f>IF($A117="","",สินค้า!A115)</f>
        <v/>
      </c>
      <c r="C117" s="7">
        <f>IF($A117="","",สินค้า!C115)</f>
        <v/>
      </c>
      <c r="D117" s="7">
        <f>IF($A117="","",COUNTIF(บันทึก!$C$5:$C$1004,$A117))</f>
        <v/>
      </c>
      <c r="E117" s="8">
        <f>IF($A117="","",SUMIFS(บันทึก!$G$5:$G$1004,บันทึก!$C$5:$C$1004,$A117))</f>
        <v/>
      </c>
      <c r="F117" s="8">
        <f>IF($A117="","",SUMIFS(บันทึก!$H$5:$H$1004,บันทึก!$C$5:$C$1004,$A117))</f>
        <v/>
      </c>
      <c r="G117" s="7">
        <f>IF($A117="","",สินค้า!D115)</f>
        <v/>
      </c>
      <c r="H117" s="7">
        <f>IF($A117="","",COUNTIFS(บันทึก!$C$5:$C$1004,$A117,บันทึก!$J$5:$J$1004,"Done"))</f>
        <v/>
      </c>
      <c r="I117" s="7">
        <f>IF($A117="","",COUNTIFS(บันทึก!$C$5:$C$1004,$A117,บันทึก!$J$5:$J$1004,"Pending"))</f>
        <v/>
      </c>
      <c r="J117" s="7">
        <f>IF($A117="","",COUNTIFS(บันทึก!$C$5:$C$1004,$A117,บันทึก!$K$5:$K$1004,"Yes"))</f>
        <v/>
      </c>
      <c r="K117" s="9">
        <f>IF(OR($A117="",D117=0),"",H117/D117)</f>
        <v/>
      </c>
      <c r="L117" s="10">
        <f>IF(OR($A117="",D117=0),"",MAXIFS(บันทึก!$A$5:$A$1004,บันทึก!$C$5:$C$1004,$A117))</f>
        <v/>
      </c>
    </row>
    <row r="118">
      <c r="A118" s="7">
        <f>IF(สินค้า!B116="","",สินค้า!B116)</f>
        <v/>
      </c>
      <c r="B118" s="7">
        <f>IF($A118="","",สินค้า!A116)</f>
        <v/>
      </c>
      <c r="C118" s="7">
        <f>IF($A118="","",สินค้า!C116)</f>
        <v/>
      </c>
      <c r="D118" s="7">
        <f>IF($A118="","",COUNTIF(บันทึก!$C$5:$C$1004,$A118))</f>
        <v/>
      </c>
      <c r="E118" s="8">
        <f>IF($A118="","",SUMIFS(บันทึก!$G$5:$G$1004,บันทึก!$C$5:$C$1004,$A118))</f>
        <v/>
      </c>
      <c r="F118" s="8">
        <f>IF($A118="","",SUMIFS(บันทึก!$H$5:$H$1004,บันทึก!$C$5:$C$1004,$A118))</f>
        <v/>
      </c>
      <c r="G118" s="7">
        <f>IF($A118="","",สินค้า!D116)</f>
        <v/>
      </c>
      <c r="H118" s="7">
        <f>IF($A118="","",COUNTIFS(บันทึก!$C$5:$C$1004,$A118,บันทึก!$J$5:$J$1004,"Done"))</f>
        <v/>
      </c>
      <c r="I118" s="7">
        <f>IF($A118="","",COUNTIFS(บันทึก!$C$5:$C$1004,$A118,บันทึก!$J$5:$J$1004,"Pending"))</f>
        <v/>
      </c>
      <c r="J118" s="7">
        <f>IF($A118="","",COUNTIFS(บันทึก!$C$5:$C$1004,$A118,บันทึก!$K$5:$K$1004,"Yes"))</f>
        <v/>
      </c>
      <c r="K118" s="9">
        <f>IF(OR($A118="",D118=0),"",H118/D118)</f>
        <v/>
      </c>
      <c r="L118" s="10">
        <f>IF(OR($A118="",D118=0),"",MAXIFS(บันทึก!$A$5:$A$1004,บันทึก!$C$5:$C$1004,$A118))</f>
        <v/>
      </c>
    </row>
    <row r="119">
      <c r="A119" s="7">
        <f>IF(สินค้า!B117="","",สินค้า!B117)</f>
        <v/>
      </c>
      <c r="B119" s="7">
        <f>IF($A119="","",สินค้า!A117)</f>
        <v/>
      </c>
      <c r="C119" s="7">
        <f>IF($A119="","",สินค้า!C117)</f>
        <v/>
      </c>
      <c r="D119" s="7">
        <f>IF($A119="","",COUNTIF(บันทึก!$C$5:$C$1004,$A119))</f>
        <v/>
      </c>
      <c r="E119" s="8">
        <f>IF($A119="","",SUMIFS(บันทึก!$G$5:$G$1004,บันทึก!$C$5:$C$1004,$A119))</f>
        <v/>
      </c>
      <c r="F119" s="8">
        <f>IF($A119="","",SUMIFS(บันทึก!$H$5:$H$1004,บันทึก!$C$5:$C$1004,$A119))</f>
        <v/>
      </c>
      <c r="G119" s="7">
        <f>IF($A119="","",สินค้า!D117)</f>
        <v/>
      </c>
      <c r="H119" s="7">
        <f>IF($A119="","",COUNTIFS(บันทึก!$C$5:$C$1004,$A119,บันทึก!$J$5:$J$1004,"Done"))</f>
        <v/>
      </c>
      <c r="I119" s="7">
        <f>IF($A119="","",COUNTIFS(บันทึก!$C$5:$C$1004,$A119,บันทึก!$J$5:$J$1004,"Pending"))</f>
        <v/>
      </c>
      <c r="J119" s="7">
        <f>IF($A119="","",COUNTIFS(บันทึก!$C$5:$C$1004,$A119,บันทึก!$K$5:$K$1004,"Yes"))</f>
        <v/>
      </c>
      <c r="K119" s="9">
        <f>IF(OR($A119="",D119=0),"",H119/D119)</f>
        <v/>
      </c>
      <c r="L119" s="10">
        <f>IF(OR($A119="",D119=0),"",MAXIFS(บันทึก!$A$5:$A$1004,บันทึก!$C$5:$C$1004,$A119))</f>
        <v/>
      </c>
    </row>
    <row r="120">
      <c r="A120" s="7">
        <f>IF(สินค้า!B118="","",สินค้า!B118)</f>
        <v/>
      </c>
      <c r="B120" s="7">
        <f>IF($A120="","",สินค้า!A118)</f>
        <v/>
      </c>
      <c r="C120" s="7">
        <f>IF($A120="","",สินค้า!C118)</f>
        <v/>
      </c>
      <c r="D120" s="7">
        <f>IF($A120="","",COUNTIF(บันทึก!$C$5:$C$1004,$A120))</f>
        <v/>
      </c>
      <c r="E120" s="8">
        <f>IF($A120="","",SUMIFS(บันทึก!$G$5:$G$1004,บันทึก!$C$5:$C$1004,$A120))</f>
        <v/>
      </c>
      <c r="F120" s="8">
        <f>IF($A120="","",SUMIFS(บันทึก!$H$5:$H$1004,บันทึก!$C$5:$C$1004,$A120))</f>
        <v/>
      </c>
      <c r="G120" s="7">
        <f>IF($A120="","",สินค้า!D118)</f>
        <v/>
      </c>
      <c r="H120" s="7">
        <f>IF($A120="","",COUNTIFS(บันทึก!$C$5:$C$1004,$A120,บันทึก!$J$5:$J$1004,"Done"))</f>
        <v/>
      </c>
      <c r="I120" s="7">
        <f>IF($A120="","",COUNTIFS(บันทึก!$C$5:$C$1004,$A120,บันทึก!$J$5:$J$1004,"Pending"))</f>
        <v/>
      </c>
      <c r="J120" s="7">
        <f>IF($A120="","",COUNTIFS(บันทึก!$C$5:$C$1004,$A120,บันทึก!$K$5:$K$1004,"Yes"))</f>
        <v/>
      </c>
      <c r="K120" s="9">
        <f>IF(OR($A120="",D120=0),"",H120/D120)</f>
        <v/>
      </c>
      <c r="L120" s="10">
        <f>IF(OR($A120="",D120=0),"",MAXIFS(บันทึก!$A$5:$A$1004,บันทึก!$C$5:$C$1004,$A120))</f>
        <v/>
      </c>
    </row>
    <row r="121">
      <c r="A121" s="7">
        <f>IF(สินค้า!B119="","",สินค้า!B119)</f>
        <v/>
      </c>
      <c r="B121" s="7">
        <f>IF($A121="","",สินค้า!A119)</f>
        <v/>
      </c>
      <c r="C121" s="7">
        <f>IF($A121="","",สินค้า!C119)</f>
        <v/>
      </c>
      <c r="D121" s="7">
        <f>IF($A121="","",COUNTIF(บันทึก!$C$5:$C$1004,$A121))</f>
        <v/>
      </c>
      <c r="E121" s="8">
        <f>IF($A121="","",SUMIFS(บันทึก!$G$5:$G$1004,บันทึก!$C$5:$C$1004,$A121))</f>
        <v/>
      </c>
      <c r="F121" s="8">
        <f>IF($A121="","",SUMIFS(บันทึก!$H$5:$H$1004,บันทึก!$C$5:$C$1004,$A121))</f>
        <v/>
      </c>
      <c r="G121" s="7">
        <f>IF($A121="","",สินค้า!D119)</f>
        <v/>
      </c>
      <c r="H121" s="7">
        <f>IF($A121="","",COUNTIFS(บันทึก!$C$5:$C$1004,$A121,บันทึก!$J$5:$J$1004,"Done"))</f>
        <v/>
      </c>
      <c r="I121" s="7">
        <f>IF($A121="","",COUNTIFS(บันทึก!$C$5:$C$1004,$A121,บันทึก!$J$5:$J$1004,"Pending"))</f>
        <v/>
      </c>
      <c r="J121" s="7">
        <f>IF($A121="","",COUNTIFS(บันทึก!$C$5:$C$1004,$A121,บันทึก!$K$5:$K$1004,"Yes"))</f>
        <v/>
      </c>
      <c r="K121" s="9">
        <f>IF(OR($A121="",D121=0),"",H121/D121)</f>
        <v/>
      </c>
      <c r="L121" s="10">
        <f>IF(OR($A121="",D121=0),"",MAXIFS(บันทึก!$A$5:$A$1004,บันทึก!$C$5:$C$1004,$A121))</f>
        <v/>
      </c>
    </row>
    <row r="122">
      <c r="A122" s="7">
        <f>IF(สินค้า!B120="","",สินค้า!B120)</f>
        <v/>
      </c>
      <c r="B122" s="7">
        <f>IF($A122="","",สินค้า!A120)</f>
        <v/>
      </c>
      <c r="C122" s="7">
        <f>IF($A122="","",สินค้า!C120)</f>
        <v/>
      </c>
      <c r="D122" s="7">
        <f>IF($A122="","",COUNTIF(บันทึก!$C$5:$C$1004,$A122))</f>
        <v/>
      </c>
      <c r="E122" s="8">
        <f>IF($A122="","",SUMIFS(บันทึก!$G$5:$G$1004,บันทึก!$C$5:$C$1004,$A122))</f>
        <v/>
      </c>
      <c r="F122" s="8">
        <f>IF($A122="","",SUMIFS(บันทึก!$H$5:$H$1004,บันทึก!$C$5:$C$1004,$A122))</f>
        <v/>
      </c>
      <c r="G122" s="7">
        <f>IF($A122="","",สินค้า!D120)</f>
        <v/>
      </c>
      <c r="H122" s="7">
        <f>IF($A122="","",COUNTIFS(บันทึก!$C$5:$C$1004,$A122,บันทึก!$J$5:$J$1004,"Done"))</f>
        <v/>
      </c>
      <c r="I122" s="7">
        <f>IF($A122="","",COUNTIFS(บันทึก!$C$5:$C$1004,$A122,บันทึก!$J$5:$J$1004,"Pending"))</f>
        <v/>
      </c>
      <c r="J122" s="7">
        <f>IF($A122="","",COUNTIFS(บันทึก!$C$5:$C$1004,$A122,บันทึก!$K$5:$K$1004,"Yes"))</f>
        <v/>
      </c>
      <c r="K122" s="9">
        <f>IF(OR($A122="",D122=0),"",H122/D122)</f>
        <v/>
      </c>
      <c r="L122" s="10">
        <f>IF(OR($A122="",D122=0),"",MAXIFS(บันทึก!$A$5:$A$1004,บันทึก!$C$5:$C$1004,$A122))</f>
        <v/>
      </c>
    </row>
    <row r="123">
      <c r="A123" s="7">
        <f>IF(สินค้า!B121="","",สินค้า!B121)</f>
        <v/>
      </c>
      <c r="B123" s="7">
        <f>IF($A123="","",สินค้า!A121)</f>
        <v/>
      </c>
      <c r="C123" s="7">
        <f>IF($A123="","",สินค้า!C121)</f>
        <v/>
      </c>
      <c r="D123" s="7">
        <f>IF($A123="","",COUNTIF(บันทึก!$C$5:$C$1004,$A123))</f>
        <v/>
      </c>
      <c r="E123" s="8">
        <f>IF($A123="","",SUMIFS(บันทึก!$G$5:$G$1004,บันทึก!$C$5:$C$1004,$A123))</f>
        <v/>
      </c>
      <c r="F123" s="8">
        <f>IF($A123="","",SUMIFS(บันทึก!$H$5:$H$1004,บันทึก!$C$5:$C$1004,$A123))</f>
        <v/>
      </c>
      <c r="G123" s="7">
        <f>IF($A123="","",สินค้า!D121)</f>
        <v/>
      </c>
      <c r="H123" s="7">
        <f>IF($A123="","",COUNTIFS(บันทึก!$C$5:$C$1004,$A123,บันทึก!$J$5:$J$1004,"Done"))</f>
        <v/>
      </c>
      <c r="I123" s="7">
        <f>IF($A123="","",COUNTIFS(บันทึก!$C$5:$C$1004,$A123,บันทึก!$J$5:$J$1004,"Pending"))</f>
        <v/>
      </c>
      <c r="J123" s="7">
        <f>IF($A123="","",COUNTIFS(บันทึก!$C$5:$C$1004,$A123,บันทึก!$K$5:$K$1004,"Yes"))</f>
        <v/>
      </c>
      <c r="K123" s="9">
        <f>IF(OR($A123="",D123=0),"",H123/D123)</f>
        <v/>
      </c>
      <c r="L123" s="10">
        <f>IF(OR($A123="",D123=0),"",MAXIFS(บันทึก!$A$5:$A$1004,บันทึก!$C$5:$C$1004,$A123))</f>
        <v/>
      </c>
    </row>
    <row r="124">
      <c r="A124" s="7">
        <f>IF(สินค้า!B122="","",สินค้า!B122)</f>
        <v/>
      </c>
      <c r="B124" s="7">
        <f>IF($A124="","",สินค้า!A122)</f>
        <v/>
      </c>
      <c r="C124" s="7">
        <f>IF($A124="","",สินค้า!C122)</f>
        <v/>
      </c>
      <c r="D124" s="7">
        <f>IF($A124="","",COUNTIF(บันทึก!$C$5:$C$1004,$A124))</f>
        <v/>
      </c>
      <c r="E124" s="8">
        <f>IF($A124="","",SUMIFS(บันทึก!$G$5:$G$1004,บันทึก!$C$5:$C$1004,$A124))</f>
        <v/>
      </c>
      <c r="F124" s="8">
        <f>IF($A124="","",SUMIFS(บันทึก!$H$5:$H$1004,บันทึก!$C$5:$C$1004,$A124))</f>
        <v/>
      </c>
      <c r="G124" s="7">
        <f>IF($A124="","",สินค้า!D122)</f>
        <v/>
      </c>
      <c r="H124" s="7">
        <f>IF($A124="","",COUNTIFS(บันทึก!$C$5:$C$1004,$A124,บันทึก!$J$5:$J$1004,"Done"))</f>
        <v/>
      </c>
      <c r="I124" s="7">
        <f>IF($A124="","",COUNTIFS(บันทึก!$C$5:$C$1004,$A124,บันทึก!$J$5:$J$1004,"Pending"))</f>
        <v/>
      </c>
      <c r="J124" s="7">
        <f>IF($A124="","",COUNTIFS(บันทึก!$C$5:$C$1004,$A124,บันทึก!$K$5:$K$1004,"Yes"))</f>
        <v/>
      </c>
      <c r="K124" s="9">
        <f>IF(OR($A124="",D124=0),"",H124/D124)</f>
        <v/>
      </c>
      <c r="L124" s="10">
        <f>IF(OR($A124="",D124=0),"",MAXIFS(บันทึก!$A$5:$A$1004,บันทึก!$C$5:$C$1004,$A124))</f>
        <v/>
      </c>
    </row>
    <row r="125">
      <c r="A125" s="7">
        <f>IF(สินค้า!B123="","",สินค้า!B123)</f>
        <v/>
      </c>
      <c r="B125" s="7">
        <f>IF($A125="","",สินค้า!A123)</f>
        <v/>
      </c>
      <c r="C125" s="7">
        <f>IF($A125="","",สินค้า!C123)</f>
        <v/>
      </c>
      <c r="D125" s="7">
        <f>IF($A125="","",COUNTIF(บันทึก!$C$5:$C$1004,$A125))</f>
        <v/>
      </c>
      <c r="E125" s="8">
        <f>IF($A125="","",SUMIFS(บันทึก!$G$5:$G$1004,บันทึก!$C$5:$C$1004,$A125))</f>
        <v/>
      </c>
      <c r="F125" s="8">
        <f>IF($A125="","",SUMIFS(บันทึก!$H$5:$H$1004,บันทึก!$C$5:$C$1004,$A125))</f>
        <v/>
      </c>
      <c r="G125" s="7">
        <f>IF($A125="","",สินค้า!D123)</f>
        <v/>
      </c>
      <c r="H125" s="7">
        <f>IF($A125="","",COUNTIFS(บันทึก!$C$5:$C$1004,$A125,บันทึก!$J$5:$J$1004,"Done"))</f>
        <v/>
      </c>
      <c r="I125" s="7">
        <f>IF($A125="","",COUNTIFS(บันทึก!$C$5:$C$1004,$A125,บันทึก!$J$5:$J$1004,"Pending"))</f>
        <v/>
      </c>
      <c r="J125" s="7">
        <f>IF($A125="","",COUNTIFS(บันทึก!$C$5:$C$1004,$A125,บันทึก!$K$5:$K$1004,"Yes"))</f>
        <v/>
      </c>
      <c r="K125" s="9">
        <f>IF(OR($A125="",D125=0),"",H125/D125)</f>
        <v/>
      </c>
      <c r="L125" s="10">
        <f>IF(OR($A125="",D125=0),"",MAXIFS(บันทึก!$A$5:$A$1004,บันทึก!$C$5:$C$1004,$A125))</f>
        <v/>
      </c>
    </row>
    <row r="126">
      <c r="A126" s="7">
        <f>IF(สินค้า!B124="","",สินค้า!B124)</f>
        <v/>
      </c>
      <c r="B126" s="7">
        <f>IF($A126="","",สินค้า!A124)</f>
        <v/>
      </c>
      <c r="C126" s="7">
        <f>IF($A126="","",สินค้า!C124)</f>
        <v/>
      </c>
      <c r="D126" s="7">
        <f>IF($A126="","",COUNTIF(บันทึก!$C$5:$C$1004,$A126))</f>
        <v/>
      </c>
      <c r="E126" s="8">
        <f>IF($A126="","",SUMIFS(บันทึก!$G$5:$G$1004,บันทึก!$C$5:$C$1004,$A126))</f>
        <v/>
      </c>
      <c r="F126" s="8">
        <f>IF($A126="","",SUMIFS(บันทึก!$H$5:$H$1004,บันทึก!$C$5:$C$1004,$A126))</f>
        <v/>
      </c>
      <c r="G126" s="7">
        <f>IF($A126="","",สินค้า!D124)</f>
        <v/>
      </c>
      <c r="H126" s="7">
        <f>IF($A126="","",COUNTIFS(บันทึก!$C$5:$C$1004,$A126,บันทึก!$J$5:$J$1004,"Done"))</f>
        <v/>
      </c>
      <c r="I126" s="7">
        <f>IF($A126="","",COUNTIFS(บันทึก!$C$5:$C$1004,$A126,บันทึก!$J$5:$J$1004,"Pending"))</f>
        <v/>
      </c>
      <c r="J126" s="7">
        <f>IF($A126="","",COUNTIFS(บันทึก!$C$5:$C$1004,$A126,บันทึก!$K$5:$K$1004,"Yes"))</f>
        <v/>
      </c>
      <c r="K126" s="9">
        <f>IF(OR($A126="",D126=0),"",H126/D126)</f>
        <v/>
      </c>
      <c r="L126" s="10">
        <f>IF(OR($A126="",D126=0),"",MAXIFS(บันทึก!$A$5:$A$1004,บันทึก!$C$5:$C$1004,$A126))</f>
        <v/>
      </c>
    </row>
    <row r="127">
      <c r="A127" s="7">
        <f>IF(สินค้า!B125="","",สินค้า!B125)</f>
        <v/>
      </c>
      <c r="B127" s="7">
        <f>IF($A127="","",สินค้า!A125)</f>
        <v/>
      </c>
      <c r="C127" s="7">
        <f>IF($A127="","",สินค้า!C125)</f>
        <v/>
      </c>
      <c r="D127" s="7">
        <f>IF($A127="","",COUNTIF(บันทึก!$C$5:$C$1004,$A127))</f>
        <v/>
      </c>
      <c r="E127" s="8">
        <f>IF($A127="","",SUMIFS(บันทึก!$G$5:$G$1004,บันทึก!$C$5:$C$1004,$A127))</f>
        <v/>
      </c>
      <c r="F127" s="8">
        <f>IF($A127="","",SUMIFS(บันทึก!$H$5:$H$1004,บันทึก!$C$5:$C$1004,$A127))</f>
        <v/>
      </c>
      <c r="G127" s="7">
        <f>IF($A127="","",สินค้า!D125)</f>
        <v/>
      </c>
      <c r="H127" s="7">
        <f>IF($A127="","",COUNTIFS(บันทึก!$C$5:$C$1004,$A127,บันทึก!$J$5:$J$1004,"Done"))</f>
        <v/>
      </c>
      <c r="I127" s="7">
        <f>IF($A127="","",COUNTIFS(บันทึก!$C$5:$C$1004,$A127,บันทึก!$J$5:$J$1004,"Pending"))</f>
        <v/>
      </c>
      <c r="J127" s="7">
        <f>IF($A127="","",COUNTIFS(บันทึก!$C$5:$C$1004,$A127,บันทึก!$K$5:$K$1004,"Yes"))</f>
        <v/>
      </c>
      <c r="K127" s="9">
        <f>IF(OR($A127="",D127=0),"",H127/D127)</f>
        <v/>
      </c>
      <c r="L127" s="10">
        <f>IF(OR($A127="",D127=0),"",MAXIFS(บันทึก!$A$5:$A$1004,บันทึก!$C$5:$C$1004,$A127))</f>
        <v/>
      </c>
    </row>
    <row r="128">
      <c r="A128" s="7">
        <f>IF(สินค้า!B126="","",สินค้า!B126)</f>
        <v/>
      </c>
      <c r="B128" s="7">
        <f>IF($A128="","",สินค้า!A126)</f>
        <v/>
      </c>
      <c r="C128" s="7">
        <f>IF($A128="","",สินค้า!C126)</f>
        <v/>
      </c>
      <c r="D128" s="7">
        <f>IF($A128="","",COUNTIF(บันทึก!$C$5:$C$1004,$A128))</f>
        <v/>
      </c>
      <c r="E128" s="8">
        <f>IF($A128="","",SUMIFS(บันทึก!$G$5:$G$1004,บันทึก!$C$5:$C$1004,$A128))</f>
        <v/>
      </c>
      <c r="F128" s="8">
        <f>IF($A128="","",SUMIFS(บันทึก!$H$5:$H$1004,บันทึก!$C$5:$C$1004,$A128))</f>
        <v/>
      </c>
      <c r="G128" s="7">
        <f>IF($A128="","",สินค้า!D126)</f>
        <v/>
      </c>
      <c r="H128" s="7">
        <f>IF($A128="","",COUNTIFS(บันทึก!$C$5:$C$1004,$A128,บันทึก!$J$5:$J$1004,"Done"))</f>
        <v/>
      </c>
      <c r="I128" s="7">
        <f>IF($A128="","",COUNTIFS(บันทึก!$C$5:$C$1004,$A128,บันทึก!$J$5:$J$1004,"Pending"))</f>
        <v/>
      </c>
      <c r="J128" s="7">
        <f>IF($A128="","",COUNTIFS(บันทึก!$C$5:$C$1004,$A128,บันทึก!$K$5:$K$1004,"Yes"))</f>
        <v/>
      </c>
      <c r="K128" s="9">
        <f>IF(OR($A128="",D128=0),"",H128/D128)</f>
        <v/>
      </c>
      <c r="L128" s="10">
        <f>IF(OR($A128="",D128=0),"",MAXIFS(บันทึก!$A$5:$A$1004,บันทึก!$C$5:$C$1004,$A128))</f>
        <v/>
      </c>
    </row>
    <row r="129">
      <c r="A129" s="7">
        <f>IF(สินค้า!B127="","",สินค้า!B127)</f>
        <v/>
      </c>
      <c r="B129" s="7">
        <f>IF($A129="","",สินค้า!A127)</f>
        <v/>
      </c>
      <c r="C129" s="7">
        <f>IF($A129="","",สินค้า!C127)</f>
        <v/>
      </c>
      <c r="D129" s="7">
        <f>IF($A129="","",COUNTIF(บันทึก!$C$5:$C$1004,$A129))</f>
        <v/>
      </c>
      <c r="E129" s="8">
        <f>IF($A129="","",SUMIFS(บันทึก!$G$5:$G$1004,บันทึก!$C$5:$C$1004,$A129))</f>
        <v/>
      </c>
      <c r="F129" s="8">
        <f>IF($A129="","",SUMIFS(บันทึก!$H$5:$H$1004,บันทึก!$C$5:$C$1004,$A129))</f>
        <v/>
      </c>
      <c r="G129" s="7">
        <f>IF($A129="","",สินค้า!D127)</f>
        <v/>
      </c>
      <c r="H129" s="7">
        <f>IF($A129="","",COUNTIFS(บันทึก!$C$5:$C$1004,$A129,บันทึก!$J$5:$J$1004,"Done"))</f>
        <v/>
      </c>
      <c r="I129" s="7">
        <f>IF($A129="","",COUNTIFS(บันทึก!$C$5:$C$1004,$A129,บันทึก!$J$5:$J$1004,"Pending"))</f>
        <v/>
      </c>
      <c r="J129" s="7">
        <f>IF($A129="","",COUNTIFS(บันทึก!$C$5:$C$1004,$A129,บันทึก!$K$5:$K$1004,"Yes"))</f>
        <v/>
      </c>
      <c r="K129" s="9">
        <f>IF(OR($A129="",D129=0),"",H129/D129)</f>
        <v/>
      </c>
      <c r="L129" s="10">
        <f>IF(OR($A129="",D129=0),"",MAXIFS(บันทึก!$A$5:$A$1004,บันทึก!$C$5:$C$1004,$A129))</f>
        <v/>
      </c>
    </row>
    <row r="130">
      <c r="A130" s="7">
        <f>IF(สินค้า!B128="","",สินค้า!B128)</f>
        <v/>
      </c>
      <c r="B130" s="7">
        <f>IF($A130="","",สินค้า!A128)</f>
        <v/>
      </c>
      <c r="C130" s="7">
        <f>IF($A130="","",สินค้า!C128)</f>
        <v/>
      </c>
      <c r="D130" s="7">
        <f>IF($A130="","",COUNTIF(บันทึก!$C$5:$C$1004,$A130))</f>
        <v/>
      </c>
      <c r="E130" s="8">
        <f>IF($A130="","",SUMIFS(บันทึก!$G$5:$G$1004,บันทึก!$C$5:$C$1004,$A130))</f>
        <v/>
      </c>
      <c r="F130" s="8">
        <f>IF($A130="","",SUMIFS(บันทึก!$H$5:$H$1004,บันทึก!$C$5:$C$1004,$A130))</f>
        <v/>
      </c>
      <c r="G130" s="7">
        <f>IF($A130="","",สินค้า!D128)</f>
        <v/>
      </c>
      <c r="H130" s="7">
        <f>IF($A130="","",COUNTIFS(บันทึก!$C$5:$C$1004,$A130,บันทึก!$J$5:$J$1004,"Done"))</f>
        <v/>
      </c>
      <c r="I130" s="7">
        <f>IF($A130="","",COUNTIFS(บันทึก!$C$5:$C$1004,$A130,บันทึก!$J$5:$J$1004,"Pending"))</f>
        <v/>
      </c>
      <c r="J130" s="7">
        <f>IF($A130="","",COUNTIFS(บันทึก!$C$5:$C$1004,$A130,บันทึก!$K$5:$K$1004,"Yes"))</f>
        <v/>
      </c>
      <c r="K130" s="9">
        <f>IF(OR($A130="",D130=0),"",H130/D130)</f>
        <v/>
      </c>
      <c r="L130" s="10">
        <f>IF(OR($A130="",D130=0),"",MAXIFS(บันทึก!$A$5:$A$1004,บันทึก!$C$5:$C$1004,$A130))</f>
        <v/>
      </c>
    </row>
    <row r="131">
      <c r="A131" s="7">
        <f>IF(สินค้า!B129="","",สินค้า!B129)</f>
        <v/>
      </c>
      <c r="B131" s="7">
        <f>IF($A131="","",สินค้า!A129)</f>
        <v/>
      </c>
      <c r="C131" s="7">
        <f>IF($A131="","",สินค้า!C129)</f>
        <v/>
      </c>
      <c r="D131" s="7">
        <f>IF($A131="","",COUNTIF(บันทึก!$C$5:$C$1004,$A131))</f>
        <v/>
      </c>
      <c r="E131" s="8">
        <f>IF($A131="","",SUMIFS(บันทึก!$G$5:$G$1004,บันทึก!$C$5:$C$1004,$A131))</f>
        <v/>
      </c>
      <c r="F131" s="8">
        <f>IF($A131="","",SUMIFS(บันทึก!$H$5:$H$1004,บันทึก!$C$5:$C$1004,$A131))</f>
        <v/>
      </c>
      <c r="G131" s="7">
        <f>IF($A131="","",สินค้า!D129)</f>
        <v/>
      </c>
      <c r="H131" s="7">
        <f>IF($A131="","",COUNTIFS(บันทึก!$C$5:$C$1004,$A131,บันทึก!$J$5:$J$1004,"Done"))</f>
        <v/>
      </c>
      <c r="I131" s="7">
        <f>IF($A131="","",COUNTIFS(บันทึก!$C$5:$C$1004,$A131,บันทึก!$J$5:$J$1004,"Pending"))</f>
        <v/>
      </c>
      <c r="J131" s="7">
        <f>IF($A131="","",COUNTIFS(บันทึก!$C$5:$C$1004,$A131,บันทึก!$K$5:$K$1004,"Yes"))</f>
        <v/>
      </c>
      <c r="K131" s="9">
        <f>IF(OR($A131="",D131=0),"",H131/D131)</f>
        <v/>
      </c>
      <c r="L131" s="10">
        <f>IF(OR($A131="",D131=0),"",MAXIFS(บันทึก!$A$5:$A$1004,บันทึก!$C$5:$C$1004,$A131))</f>
        <v/>
      </c>
    </row>
    <row r="132">
      <c r="A132" s="7">
        <f>IF(สินค้า!B130="","",สินค้า!B130)</f>
        <v/>
      </c>
      <c r="B132" s="7">
        <f>IF($A132="","",สินค้า!A130)</f>
        <v/>
      </c>
      <c r="C132" s="7">
        <f>IF($A132="","",สินค้า!C130)</f>
        <v/>
      </c>
      <c r="D132" s="7">
        <f>IF($A132="","",COUNTIF(บันทึก!$C$5:$C$1004,$A132))</f>
        <v/>
      </c>
      <c r="E132" s="8">
        <f>IF($A132="","",SUMIFS(บันทึก!$G$5:$G$1004,บันทึก!$C$5:$C$1004,$A132))</f>
        <v/>
      </c>
      <c r="F132" s="8">
        <f>IF($A132="","",SUMIFS(บันทึก!$H$5:$H$1004,บันทึก!$C$5:$C$1004,$A132))</f>
        <v/>
      </c>
      <c r="G132" s="7">
        <f>IF($A132="","",สินค้า!D130)</f>
        <v/>
      </c>
      <c r="H132" s="7">
        <f>IF($A132="","",COUNTIFS(บันทึก!$C$5:$C$1004,$A132,บันทึก!$J$5:$J$1004,"Done"))</f>
        <v/>
      </c>
      <c r="I132" s="7">
        <f>IF($A132="","",COUNTIFS(บันทึก!$C$5:$C$1004,$A132,บันทึก!$J$5:$J$1004,"Pending"))</f>
        <v/>
      </c>
      <c r="J132" s="7">
        <f>IF($A132="","",COUNTIFS(บันทึก!$C$5:$C$1004,$A132,บันทึก!$K$5:$K$1004,"Yes"))</f>
        <v/>
      </c>
      <c r="K132" s="9">
        <f>IF(OR($A132="",D132=0),"",H132/D132)</f>
        <v/>
      </c>
      <c r="L132" s="10">
        <f>IF(OR($A132="",D132=0),"",MAXIFS(บันทึก!$A$5:$A$1004,บันทึก!$C$5:$C$1004,$A132))</f>
        <v/>
      </c>
    </row>
    <row r="133">
      <c r="A133" s="7">
        <f>IF(สินค้า!B131="","",สินค้า!B131)</f>
        <v/>
      </c>
      <c r="B133" s="7">
        <f>IF($A133="","",สินค้า!A131)</f>
        <v/>
      </c>
      <c r="C133" s="7">
        <f>IF($A133="","",สินค้า!C131)</f>
        <v/>
      </c>
      <c r="D133" s="7">
        <f>IF($A133="","",COUNTIF(บันทึก!$C$5:$C$1004,$A133))</f>
        <v/>
      </c>
      <c r="E133" s="8">
        <f>IF($A133="","",SUMIFS(บันทึก!$G$5:$G$1004,บันทึก!$C$5:$C$1004,$A133))</f>
        <v/>
      </c>
      <c r="F133" s="8">
        <f>IF($A133="","",SUMIFS(บันทึก!$H$5:$H$1004,บันทึก!$C$5:$C$1004,$A133))</f>
        <v/>
      </c>
      <c r="G133" s="7">
        <f>IF($A133="","",สินค้า!D131)</f>
        <v/>
      </c>
      <c r="H133" s="7">
        <f>IF($A133="","",COUNTIFS(บันทึก!$C$5:$C$1004,$A133,บันทึก!$J$5:$J$1004,"Done"))</f>
        <v/>
      </c>
      <c r="I133" s="7">
        <f>IF($A133="","",COUNTIFS(บันทึก!$C$5:$C$1004,$A133,บันทึก!$J$5:$J$1004,"Pending"))</f>
        <v/>
      </c>
      <c r="J133" s="7">
        <f>IF($A133="","",COUNTIFS(บันทึก!$C$5:$C$1004,$A133,บันทึก!$K$5:$K$1004,"Yes"))</f>
        <v/>
      </c>
      <c r="K133" s="9">
        <f>IF(OR($A133="",D133=0),"",H133/D133)</f>
        <v/>
      </c>
      <c r="L133" s="10">
        <f>IF(OR($A133="",D133=0),"",MAXIFS(บันทึก!$A$5:$A$1004,บันทึก!$C$5:$C$1004,$A133))</f>
        <v/>
      </c>
    </row>
    <row r="134">
      <c r="A134" s="7">
        <f>IF(สินค้า!B132="","",สินค้า!B132)</f>
        <v/>
      </c>
      <c r="B134" s="7">
        <f>IF($A134="","",สินค้า!A132)</f>
        <v/>
      </c>
      <c r="C134" s="7">
        <f>IF($A134="","",สินค้า!C132)</f>
        <v/>
      </c>
      <c r="D134" s="7">
        <f>IF($A134="","",COUNTIF(บันทึก!$C$5:$C$1004,$A134))</f>
        <v/>
      </c>
      <c r="E134" s="8">
        <f>IF($A134="","",SUMIFS(บันทึก!$G$5:$G$1004,บันทึก!$C$5:$C$1004,$A134))</f>
        <v/>
      </c>
      <c r="F134" s="8">
        <f>IF($A134="","",SUMIFS(บันทึก!$H$5:$H$1004,บันทึก!$C$5:$C$1004,$A134))</f>
        <v/>
      </c>
      <c r="G134" s="7">
        <f>IF($A134="","",สินค้า!D132)</f>
        <v/>
      </c>
      <c r="H134" s="7">
        <f>IF($A134="","",COUNTIFS(บันทึก!$C$5:$C$1004,$A134,บันทึก!$J$5:$J$1004,"Done"))</f>
        <v/>
      </c>
      <c r="I134" s="7">
        <f>IF($A134="","",COUNTIFS(บันทึก!$C$5:$C$1004,$A134,บันทึก!$J$5:$J$1004,"Pending"))</f>
        <v/>
      </c>
      <c r="J134" s="7">
        <f>IF($A134="","",COUNTIFS(บันทึก!$C$5:$C$1004,$A134,บันทึก!$K$5:$K$1004,"Yes"))</f>
        <v/>
      </c>
      <c r="K134" s="9">
        <f>IF(OR($A134="",D134=0),"",H134/D134)</f>
        <v/>
      </c>
      <c r="L134" s="10">
        <f>IF(OR($A134="",D134=0),"",MAXIFS(บันทึก!$A$5:$A$1004,บันทึก!$C$5:$C$1004,$A134))</f>
        <v/>
      </c>
    </row>
    <row r="135">
      <c r="A135" s="7">
        <f>IF(สินค้า!B133="","",สินค้า!B133)</f>
        <v/>
      </c>
      <c r="B135" s="7">
        <f>IF($A135="","",สินค้า!A133)</f>
        <v/>
      </c>
      <c r="C135" s="7">
        <f>IF($A135="","",สินค้า!C133)</f>
        <v/>
      </c>
      <c r="D135" s="7">
        <f>IF($A135="","",COUNTIF(บันทึก!$C$5:$C$1004,$A135))</f>
        <v/>
      </c>
      <c r="E135" s="8">
        <f>IF($A135="","",SUMIFS(บันทึก!$G$5:$G$1004,บันทึก!$C$5:$C$1004,$A135))</f>
        <v/>
      </c>
      <c r="F135" s="8">
        <f>IF($A135="","",SUMIFS(บันทึก!$H$5:$H$1004,บันทึก!$C$5:$C$1004,$A135))</f>
        <v/>
      </c>
      <c r="G135" s="7">
        <f>IF($A135="","",สินค้า!D133)</f>
        <v/>
      </c>
      <c r="H135" s="7">
        <f>IF($A135="","",COUNTIFS(บันทึก!$C$5:$C$1004,$A135,บันทึก!$J$5:$J$1004,"Done"))</f>
        <v/>
      </c>
      <c r="I135" s="7">
        <f>IF($A135="","",COUNTIFS(บันทึก!$C$5:$C$1004,$A135,บันทึก!$J$5:$J$1004,"Pending"))</f>
        <v/>
      </c>
      <c r="J135" s="7">
        <f>IF($A135="","",COUNTIFS(บันทึก!$C$5:$C$1004,$A135,บันทึก!$K$5:$K$1004,"Yes"))</f>
        <v/>
      </c>
      <c r="K135" s="9">
        <f>IF(OR($A135="",D135=0),"",H135/D135)</f>
        <v/>
      </c>
      <c r="L135" s="10">
        <f>IF(OR($A135="",D135=0),"",MAXIFS(บันทึก!$A$5:$A$1004,บันทึก!$C$5:$C$1004,$A135))</f>
        <v/>
      </c>
    </row>
    <row r="136">
      <c r="A136" s="7">
        <f>IF(สินค้า!B134="","",สินค้า!B134)</f>
        <v/>
      </c>
      <c r="B136" s="7">
        <f>IF($A136="","",สินค้า!A134)</f>
        <v/>
      </c>
      <c r="C136" s="7">
        <f>IF($A136="","",สินค้า!C134)</f>
        <v/>
      </c>
      <c r="D136" s="7">
        <f>IF($A136="","",COUNTIF(บันทึก!$C$5:$C$1004,$A136))</f>
        <v/>
      </c>
      <c r="E136" s="8">
        <f>IF($A136="","",SUMIFS(บันทึก!$G$5:$G$1004,บันทึก!$C$5:$C$1004,$A136))</f>
        <v/>
      </c>
      <c r="F136" s="8">
        <f>IF($A136="","",SUMIFS(บันทึก!$H$5:$H$1004,บันทึก!$C$5:$C$1004,$A136))</f>
        <v/>
      </c>
      <c r="G136" s="7">
        <f>IF($A136="","",สินค้า!D134)</f>
        <v/>
      </c>
      <c r="H136" s="7">
        <f>IF($A136="","",COUNTIFS(บันทึก!$C$5:$C$1004,$A136,บันทึก!$J$5:$J$1004,"Done"))</f>
        <v/>
      </c>
      <c r="I136" s="7">
        <f>IF($A136="","",COUNTIFS(บันทึก!$C$5:$C$1004,$A136,บันทึก!$J$5:$J$1004,"Pending"))</f>
        <v/>
      </c>
      <c r="J136" s="7">
        <f>IF($A136="","",COUNTIFS(บันทึก!$C$5:$C$1004,$A136,บันทึก!$K$5:$K$1004,"Yes"))</f>
        <v/>
      </c>
      <c r="K136" s="9">
        <f>IF(OR($A136="",D136=0),"",H136/D136)</f>
        <v/>
      </c>
      <c r="L136" s="10">
        <f>IF(OR($A136="",D136=0),"",MAXIFS(บันทึก!$A$5:$A$1004,บันทึก!$C$5:$C$1004,$A136))</f>
        <v/>
      </c>
    </row>
    <row r="137">
      <c r="A137" s="7">
        <f>IF(สินค้า!B135="","",สินค้า!B135)</f>
        <v/>
      </c>
      <c r="B137" s="7">
        <f>IF($A137="","",สินค้า!A135)</f>
        <v/>
      </c>
      <c r="C137" s="7">
        <f>IF($A137="","",สินค้า!C135)</f>
        <v/>
      </c>
      <c r="D137" s="7">
        <f>IF($A137="","",COUNTIF(บันทึก!$C$5:$C$1004,$A137))</f>
        <v/>
      </c>
      <c r="E137" s="8">
        <f>IF($A137="","",SUMIFS(บันทึก!$G$5:$G$1004,บันทึก!$C$5:$C$1004,$A137))</f>
        <v/>
      </c>
      <c r="F137" s="8">
        <f>IF($A137="","",SUMIFS(บันทึก!$H$5:$H$1004,บันทึก!$C$5:$C$1004,$A137))</f>
        <v/>
      </c>
      <c r="G137" s="7">
        <f>IF($A137="","",สินค้า!D135)</f>
        <v/>
      </c>
      <c r="H137" s="7">
        <f>IF($A137="","",COUNTIFS(บันทึก!$C$5:$C$1004,$A137,บันทึก!$J$5:$J$1004,"Done"))</f>
        <v/>
      </c>
      <c r="I137" s="7">
        <f>IF($A137="","",COUNTIFS(บันทึก!$C$5:$C$1004,$A137,บันทึก!$J$5:$J$1004,"Pending"))</f>
        <v/>
      </c>
      <c r="J137" s="7">
        <f>IF($A137="","",COUNTIFS(บันทึก!$C$5:$C$1004,$A137,บันทึก!$K$5:$K$1004,"Yes"))</f>
        <v/>
      </c>
      <c r="K137" s="9">
        <f>IF(OR($A137="",D137=0),"",H137/D137)</f>
        <v/>
      </c>
      <c r="L137" s="10">
        <f>IF(OR($A137="",D137=0),"",MAXIFS(บันทึก!$A$5:$A$1004,บันทึก!$C$5:$C$1004,$A137))</f>
        <v/>
      </c>
    </row>
    <row r="138">
      <c r="A138" s="7">
        <f>IF(สินค้า!B136="","",สินค้า!B136)</f>
        <v/>
      </c>
      <c r="B138" s="7">
        <f>IF($A138="","",สินค้า!A136)</f>
        <v/>
      </c>
      <c r="C138" s="7">
        <f>IF($A138="","",สินค้า!C136)</f>
        <v/>
      </c>
      <c r="D138" s="7">
        <f>IF($A138="","",COUNTIF(บันทึก!$C$5:$C$1004,$A138))</f>
        <v/>
      </c>
      <c r="E138" s="8">
        <f>IF($A138="","",SUMIFS(บันทึก!$G$5:$G$1004,บันทึก!$C$5:$C$1004,$A138))</f>
        <v/>
      </c>
      <c r="F138" s="8">
        <f>IF($A138="","",SUMIFS(บันทึก!$H$5:$H$1004,บันทึก!$C$5:$C$1004,$A138))</f>
        <v/>
      </c>
      <c r="G138" s="7">
        <f>IF($A138="","",สินค้า!D136)</f>
        <v/>
      </c>
      <c r="H138" s="7">
        <f>IF($A138="","",COUNTIFS(บันทึก!$C$5:$C$1004,$A138,บันทึก!$J$5:$J$1004,"Done"))</f>
        <v/>
      </c>
      <c r="I138" s="7">
        <f>IF($A138="","",COUNTIFS(บันทึก!$C$5:$C$1004,$A138,บันทึก!$J$5:$J$1004,"Pending"))</f>
        <v/>
      </c>
      <c r="J138" s="7">
        <f>IF($A138="","",COUNTIFS(บันทึก!$C$5:$C$1004,$A138,บันทึก!$K$5:$K$1004,"Yes"))</f>
        <v/>
      </c>
      <c r="K138" s="9">
        <f>IF(OR($A138="",D138=0),"",H138/D138)</f>
        <v/>
      </c>
      <c r="L138" s="10">
        <f>IF(OR($A138="",D138=0),"",MAXIFS(บันทึก!$A$5:$A$1004,บันทึก!$C$5:$C$1004,$A138))</f>
        <v/>
      </c>
    </row>
    <row r="139">
      <c r="A139" s="7">
        <f>IF(สินค้า!B137="","",สินค้า!B137)</f>
        <v/>
      </c>
      <c r="B139" s="7">
        <f>IF($A139="","",สินค้า!A137)</f>
        <v/>
      </c>
      <c r="C139" s="7">
        <f>IF($A139="","",สินค้า!C137)</f>
        <v/>
      </c>
      <c r="D139" s="7">
        <f>IF($A139="","",COUNTIF(บันทึก!$C$5:$C$1004,$A139))</f>
        <v/>
      </c>
      <c r="E139" s="8">
        <f>IF($A139="","",SUMIFS(บันทึก!$G$5:$G$1004,บันทึก!$C$5:$C$1004,$A139))</f>
        <v/>
      </c>
      <c r="F139" s="8">
        <f>IF($A139="","",SUMIFS(บันทึก!$H$5:$H$1004,บันทึก!$C$5:$C$1004,$A139))</f>
        <v/>
      </c>
      <c r="G139" s="7">
        <f>IF($A139="","",สินค้า!D137)</f>
        <v/>
      </c>
      <c r="H139" s="7">
        <f>IF($A139="","",COUNTIFS(บันทึก!$C$5:$C$1004,$A139,บันทึก!$J$5:$J$1004,"Done"))</f>
        <v/>
      </c>
      <c r="I139" s="7">
        <f>IF($A139="","",COUNTIFS(บันทึก!$C$5:$C$1004,$A139,บันทึก!$J$5:$J$1004,"Pending"))</f>
        <v/>
      </c>
      <c r="J139" s="7">
        <f>IF($A139="","",COUNTIFS(บันทึก!$C$5:$C$1004,$A139,บันทึก!$K$5:$K$1004,"Yes"))</f>
        <v/>
      </c>
      <c r="K139" s="9">
        <f>IF(OR($A139="",D139=0),"",H139/D139)</f>
        <v/>
      </c>
      <c r="L139" s="10">
        <f>IF(OR($A139="",D139=0),"",MAXIFS(บันทึก!$A$5:$A$1004,บันทึก!$C$5:$C$1004,$A139))</f>
        <v/>
      </c>
    </row>
    <row r="140">
      <c r="A140" s="7">
        <f>IF(สินค้า!B138="","",สินค้า!B138)</f>
        <v/>
      </c>
      <c r="B140" s="7">
        <f>IF($A140="","",สินค้า!A138)</f>
        <v/>
      </c>
      <c r="C140" s="7">
        <f>IF($A140="","",สินค้า!C138)</f>
        <v/>
      </c>
      <c r="D140" s="7">
        <f>IF($A140="","",COUNTIF(บันทึก!$C$5:$C$1004,$A140))</f>
        <v/>
      </c>
      <c r="E140" s="8">
        <f>IF($A140="","",SUMIFS(บันทึก!$G$5:$G$1004,บันทึก!$C$5:$C$1004,$A140))</f>
        <v/>
      </c>
      <c r="F140" s="8">
        <f>IF($A140="","",SUMIFS(บันทึก!$H$5:$H$1004,บันทึก!$C$5:$C$1004,$A140))</f>
        <v/>
      </c>
      <c r="G140" s="7">
        <f>IF($A140="","",สินค้า!D138)</f>
        <v/>
      </c>
      <c r="H140" s="7">
        <f>IF($A140="","",COUNTIFS(บันทึก!$C$5:$C$1004,$A140,บันทึก!$J$5:$J$1004,"Done"))</f>
        <v/>
      </c>
      <c r="I140" s="7">
        <f>IF($A140="","",COUNTIFS(บันทึก!$C$5:$C$1004,$A140,บันทึก!$J$5:$J$1004,"Pending"))</f>
        <v/>
      </c>
      <c r="J140" s="7">
        <f>IF($A140="","",COUNTIFS(บันทึก!$C$5:$C$1004,$A140,บันทึก!$K$5:$K$1004,"Yes"))</f>
        <v/>
      </c>
      <c r="K140" s="9">
        <f>IF(OR($A140="",D140=0),"",H140/D140)</f>
        <v/>
      </c>
      <c r="L140" s="10">
        <f>IF(OR($A140="",D140=0),"",MAXIFS(บันทึก!$A$5:$A$1004,บันทึก!$C$5:$C$1004,$A140))</f>
        <v/>
      </c>
    </row>
    <row r="141">
      <c r="A141" s="7">
        <f>IF(สินค้า!B139="","",สินค้า!B139)</f>
        <v/>
      </c>
      <c r="B141" s="7">
        <f>IF($A141="","",สินค้า!A139)</f>
        <v/>
      </c>
      <c r="C141" s="7">
        <f>IF($A141="","",สินค้า!C139)</f>
        <v/>
      </c>
      <c r="D141" s="7">
        <f>IF($A141="","",COUNTIF(บันทึก!$C$5:$C$1004,$A141))</f>
        <v/>
      </c>
      <c r="E141" s="8">
        <f>IF($A141="","",SUMIFS(บันทึก!$G$5:$G$1004,บันทึก!$C$5:$C$1004,$A141))</f>
        <v/>
      </c>
      <c r="F141" s="8">
        <f>IF($A141="","",SUMIFS(บันทึก!$H$5:$H$1004,บันทึก!$C$5:$C$1004,$A141))</f>
        <v/>
      </c>
      <c r="G141" s="7">
        <f>IF($A141="","",สินค้า!D139)</f>
        <v/>
      </c>
      <c r="H141" s="7">
        <f>IF($A141="","",COUNTIFS(บันทึก!$C$5:$C$1004,$A141,บันทึก!$J$5:$J$1004,"Done"))</f>
        <v/>
      </c>
      <c r="I141" s="7">
        <f>IF($A141="","",COUNTIFS(บันทึก!$C$5:$C$1004,$A141,บันทึก!$J$5:$J$1004,"Pending"))</f>
        <v/>
      </c>
      <c r="J141" s="7">
        <f>IF($A141="","",COUNTIFS(บันทึก!$C$5:$C$1004,$A141,บันทึก!$K$5:$K$1004,"Yes"))</f>
        <v/>
      </c>
      <c r="K141" s="9">
        <f>IF(OR($A141="",D141=0),"",H141/D141)</f>
        <v/>
      </c>
      <c r="L141" s="10">
        <f>IF(OR($A141="",D141=0),"",MAXIFS(บันทึก!$A$5:$A$1004,บันทึก!$C$5:$C$1004,$A141))</f>
        <v/>
      </c>
    </row>
    <row r="142">
      <c r="A142" s="7">
        <f>IF(สินค้า!B140="","",สินค้า!B140)</f>
        <v/>
      </c>
      <c r="B142" s="7">
        <f>IF($A142="","",สินค้า!A140)</f>
        <v/>
      </c>
      <c r="C142" s="7">
        <f>IF($A142="","",สินค้า!C140)</f>
        <v/>
      </c>
      <c r="D142" s="7">
        <f>IF($A142="","",COUNTIF(บันทึก!$C$5:$C$1004,$A142))</f>
        <v/>
      </c>
      <c r="E142" s="8">
        <f>IF($A142="","",SUMIFS(บันทึก!$G$5:$G$1004,บันทึก!$C$5:$C$1004,$A142))</f>
        <v/>
      </c>
      <c r="F142" s="8">
        <f>IF($A142="","",SUMIFS(บันทึก!$H$5:$H$1004,บันทึก!$C$5:$C$1004,$A142))</f>
        <v/>
      </c>
      <c r="G142" s="7">
        <f>IF($A142="","",สินค้า!D140)</f>
        <v/>
      </c>
      <c r="H142" s="7">
        <f>IF($A142="","",COUNTIFS(บันทึก!$C$5:$C$1004,$A142,บันทึก!$J$5:$J$1004,"Done"))</f>
        <v/>
      </c>
      <c r="I142" s="7">
        <f>IF($A142="","",COUNTIFS(บันทึก!$C$5:$C$1004,$A142,บันทึก!$J$5:$J$1004,"Pending"))</f>
        <v/>
      </c>
      <c r="J142" s="7">
        <f>IF($A142="","",COUNTIFS(บันทึก!$C$5:$C$1004,$A142,บันทึก!$K$5:$K$1004,"Yes"))</f>
        <v/>
      </c>
      <c r="K142" s="9">
        <f>IF(OR($A142="",D142=0),"",H142/D142)</f>
        <v/>
      </c>
      <c r="L142" s="10">
        <f>IF(OR($A142="",D142=0),"",MAXIFS(บันทึก!$A$5:$A$1004,บันทึก!$C$5:$C$1004,$A142))</f>
        <v/>
      </c>
    </row>
    <row r="143">
      <c r="A143" s="7">
        <f>IF(สินค้า!B141="","",สินค้า!B141)</f>
        <v/>
      </c>
      <c r="B143" s="7">
        <f>IF($A143="","",สินค้า!A141)</f>
        <v/>
      </c>
      <c r="C143" s="7">
        <f>IF($A143="","",สินค้า!C141)</f>
        <v/>
      </c>
      <c r="D143" s="7">
        <f>IF($A143="","",COUNTIF(บันทึก!$C$5:$C$1004,$A143))</f>
        <v/>
      </c>
      <c r="E143" s="8">
        <f>IF($A143="","",SUMIFS(บันทึก!$G$5:$G$1004,บันทึก!$C$5:$C$1004,$A143))</f>
        <v/>
      </c>
      <c r="F143" s="8">
        <f>IF($A143="","",SUMIFS(บันทึก!$H$5:$H$1004,บันทึก!$C$5:$C$1004,$A143))</f>
        <v/>
      </c>
      <c r="G143" s="7">
        <f>IF($A143="","",สินค้า!D141)</f>
        <v/>
      </c>
      <c r="H143" s="7">
        <f>IF($A143="","",COUNTIFS(บันทึก!$C$5:$C$1004,$A143,บันทึก!$J$5:$J$1004,"Done"))</f>
        <v/>
      </c>
      <c r="I143" s="7">
        <f>IF($A143="","",COUNTIFS(บันทึก!$C$5:$C$1004,$A143,บันทึก!$J$5:$J$1004,"Pending"))</f>
        <v/>
      </c>
      <c r="J143" s="7">
        <f>IF($A143="","",COUNTIFS(บันทึก!$C$5:$C$1004,$A143,บันทึก!$K$5:$K$1004,"Yes"))</f>
        <v/>
      </c>
      <c r="K143" s="9">
        <f>IF(OR($A143="",D143=0),"",H143/D143)</f>
        <v/>
      </c>
      <c r="L143" s="10">
        <f>IF(OR($A143="",D143=0),"",MAXIFS(บันทึก!$A$5:$A$1004,บันทึก!$C$5:$C$1004,$A143))</f>
        <v/>
      </c>
    </row>
    <row r="144">
      <c r="A144" s="7">
        <f>IF(สินค้า!B142="","",สินค้า!B142)</f>
        <v/>
      </c>
      <c r="B144" s="7">
        <f>IF($A144="","",สินค้า!A142)</f>
        <v/>
      </c>
      <c r="C144" s="7">
        <f>IF($A144="","",สินค้า!C142)</f>
        <v/>
      </c>
      <c r="D144" s="7">
        <f>IF($A144="","",COUNTIF(บันทึก!$C$5:$C$1004,$A144))</f>
        <v/>
      </c>
      <c r="E144" s="8">
        <f>IF($A144="","",SUMIFS(บันทึก!$G$5:$G$1004,บันทึก!$C$5:$C$1004,$A144))</f>
        <v/>
      </c>
      <c r="F144" s="8">
        <f>IF($A144="","",SUMIFS(บันทึก!$H$5:$H$1004,บันทึก!$C$5:$C$1004,$A144))</f>
        <v/>
      </c>
      <c r="G144" s="7">
        <f>IF($A144="","",สินค้า!D142)</f>
        <v/>
      </c>
      <c r="H144" s="7">
        <f>IF($A144="","",COUNTIFS(บันทึก!$C$5:$C$1004,$A144,บันทึก!$J$5:$J$1004,"Done"))</f>
        <v/>
      </c>
      <c r="I144" s="7">
        <f>IF($A144="","",COUNTIFS(บันทึก!$C$5:$C$1004,$A144,บันทึก!$J$5:$J$1004,"Pending"))</f>
        <v/>
      </c>
      <c r="J144" s="7">
        <f>IF($A144="","",COUNTIFS(บันทึก!$C$5:$C$1004,$A144,บันทึก!$K$5:$K$1004,"Yes"))</f>
        <v/>
      </c>
      <c r="K144" s="9">
        <f>IF(OR($A144="",D144=0),"",H144/D144)</f>
        <v/>
      </c>
      <c r="L144" s="10">
        <f>IF(OR($A144="",D144=0),"",MAXIFS(บันทึก!$A$5:$A$1004,บันทึก!$C$5:$C$1004,$A144))</f>
        <v/>
      </c>
    </row>
    <row r="145">
      <c r="A145" s="7">
        <f>IF(สินค้า!B143="","",สินค้า!B143)</f>
        <v/>
      </c>
      <c r="B145" s="7">
        <f>IF($A145="","",สินค้า!A143)</f>
        <v/>
      </c>
      <c r="C145" s="7">
        <f>IF($A145="","",สินค้า!C143)</f>
        <v/>
      </c>
      <c r="D145" s="7">
        <f>IF($A145="","",COUNTIF(บันทึก!$C$5:$C$1004,$A145))</f>
        <v/>
      </c>
      <c r="E145" s="8">
        <f>IF($A145="","",SUMIFS(บันทึก!$G$5:$G$1004,บันทึก!$C$5:$C$1004,$A145))</f>
        <v/>
      </c>
      <c r="F145" s="8">
        <f>IF($A145="","",SUMIFS(บันทึก!$H$5:$H$1004,บันทึก!$C$5:$C$1004,$A145))</f>
        <v/>
      </c>
      <c r="G145" s="7">
        <f>IF($A145="","",สินค้า!D143)</f>
        <v/>
      </c>
      <c r="H145" s="7">
        <f>IF($A145="","",COUNTIFS(บันทึก!$C$5:$C$1004,$A145,บันทึก!$J$5:$J$1004,"Done"))</f>
        <v/>
      </c>
      <c r="I145" s="7">
        <f>IF($A145="","",COUNTIFS(บันทึก!$C$5:$C$1004,$A145,บันทึก!$J$5:$J$1004,"Pending"))</f>
        <v/>
      </c>
      <c r="J145" s="7">
        <f>IF($A145="","",COUNTIFS(บันทึก!$C$5:$C$1004,$A145,บันทึก!$K$5:$K$1004,"Yes"))</f>
        <v/>
      </c>
      <c r="K145" s="9">
        <f>IF(OR($A145="",D145=0),"",H145/D145)</f>
        <v/>
      </c>
      <c r="L145" s="10">
        <f>IF(OR($A145="",D145=0),"",MAXIFS(บันทึก!$A$5:$A$1004,บันทึก!$C$5:$C$1004,$A145))</f>
        <v/>
      </c>
    </row>
    <row r="146">
      <c r="A146" s="7">
        <f>IF(สินค้า!B144="","",สินค้า!B144)</f>
        <v/>
      </c>
      <c r="B146" s="7">
        <f>IF($A146="","",สินค้า!A144)</f>
        <v/>
      </c>
      <c r="C146" s="7">
        <f>IF($A146="","",สินค้า!C144)</f>
        <v/>
      </c>
      <c r="D146" s="7">
        <f>IF($A146="","",COUNTIF(บันทึก!$C$5:$C$1004,$A146))</f>
        <v/>
      </c>
      <c r="E146" s="8">
        <f>IF($A146="","",SUMIFS(บันทึก!$G$5:$G$1004,บันทึก!$C$5:$C$1004,$A146))</f>
        <v/>
      </c>
      <c r="F146" s="8">
        <f>IF($A146="","",SUMIFS(บันทึก!$H$5:$H$1004,บันทึก!$C$5:$C$1004,$A146))</f>
        <v/>
      </c>
      <c r="G146" s="7">
        <f>IF($A146="","",สินค้า!D144)</f>
        <v/>
      </c>
      <c r="H146" s="7">
        <f>IF($A146="","",COUNTIFS(บันทึก!$C$5:$C$1004,$A146,บันทึก!$J$5:$J$1004,"Done"))</f>
        <v/>
      </c>
      <c r="I146" s="7">
        <f>IF($A146="","",COUNTIFS(บันทึก!$C$5:$C$1004,$A146,บันทึก!$J$5:$J$1004,"Pending"))</f>
        <v/>
      </c>
      <c r="J146" s="7">
        <f>IF($A146="","",COUNTIFS(บันทึก!$C$5:$C$1004,$A146,บันทึก!$K$5:$K$1004,"Yes"))</f>
        <v/>
      </c>
      <c r="K146" s="9">
        <f>IF(OR($A146="",D146=0),"",H146/D146)</f>
        <v/>
      </c>
      <c r="L146" s="10">
        <f>IF(OR($A146="",D146=0),"",MAXIFS(บันทึก!$A$5:$A$1004,บันทึก!$C$5:$C$1004,$A146))</f>
        <v/>
      </c>
    </row>
    <row r="147">
      <c r="A147" s="7">
        <f>IF(สินค้า!B145="","",สินค้า!B145)</f>
        <v/>
      </c>
      <c r="B147" s="7">
        <f>IF($A147="","",สินค้า!A145)</f>
        <v/>
      </c>
      <c r="C147" s="7">
        <f>IF($A147="","",สินค้า!C145)</f>
        <v/>
      </c>
      <c r="D147" s="7">
        <f>IF($A147="","",COUNTIF(บันทึก!$C$5:$C$1004,$A147))</f>
        <v/>
      </c>
      <c r="E147" s="8">
        <f>IF($A147="","",SUMIFS(บันทึก!$G$5:$G$1004,บันทึก!$C$5:$C$1004,$A147))</f>
        <v/>
      </c>
      <c r="F147" s="8">
        <f>IF($A147="","",SUMIFS(บันทึก!$H$5:$H$1004,บันทึก!$C$5:$C$1004,$A147))</f>
        <v/>
      </c>
      <c r="G147" s="7">
        <f>IF($A147="","",สินค้า!D145)</f>
        <v/>
      </c>
      <c r="H147" s="7">
        <f>IF($A147="","",COUNTIFS(บันทึก!$C$5:$C$1004,$A147,บันทึก!$J$5:$J$1004,"Done"))</f>
        <v/>
      </c>
      <c r="I147" s="7">
        <f>IF($A147="","",COUNTIFS(บันทึก!$C$5:$C$1004,$A147,บันทึก!$J$5:$J$1004,"Pending"))</f>
        <v/>
      </c>
      <c r="J147" s="7">
        <f>IF($A147="","",COUNTIFS(บันทึก!$C$5:$C$1004,$A147,บันทึก!$K$5:$K$1004,"Yes"))</f>
        <v/>
      </c>
      <c r="K147" s="9">
        <f>IF(OR($A147="",D147=0),"",H147/D147)</f>
        <v/>
      </c>
      <c r="L147" s="10">
        <f>IF(OR($A147="",D147=0),"",MAXIFS(บันทึก!$A$5:$A$1004,บันทึก!$C$5:$C$1004,$A147))</f>
        <v/>
      </c>
    </row>
    <row r="148">
      <c r="A148" s="7">
        <f>IF(สินค้า!B146="","",สินค้า!B146)</f>
        <v/>
      </c>
      <c r="B148" s="7">
        <f>IF($A148="","",สินค้า!A146)</f>
        <v/>
      </c>
      <c r="C148" s="7">
        <f>IF($A148="","",สินค้า!C146)</f>
        <v/>
      </c>
      <c r="D148" s="7">
        <f>IF($A148="","",COUNTIF(บันทึก!$C$5:$C$1004,$A148))</f>
        <v/>
      </c>
      <c r="E148" s="8">
        <f>IF($A148="","",SUMIFS(บันทึก!$G$5:$G$1004,บันทึก!$C$5:$C$1004,$A148))</f>
        <v/>
      </c>
      <c r="F148" s="8">
        <f>IF($A148="","",SUMIFS(บันทึก!$H$5:$H$1004,บันทึก!$C$5:$C$1004,$A148))</f>
        <v/>
      </c>
      <c r="G148" s="7">
        <f>IF($A148="","",สินค้า!D146)</f>
        <v/>
      </c>
      <c r="H148" s="7">
        <f>IF($A148="","",COUNTIFS(บันทึก!$C$5:$C$1004,$A148,บันทึก!$J$5:$J$1004,"Done"))</f>
        <v/>
      </c>
      <c r="I148" s="7">
        <f>IF($A148="","",COUNTIFS(บันทึก!$C$5:$C$1004,$A148,บันทึก!$J$5:$J$1004,"Pending"))</f>
        <v/>
      </c>
      <c r="J148" s="7">
        <f>IF($A148="","",COUNTIFS(บันทึก!$C$5:$C$1004,$A148,บันทึก!$K$5:$K$1004,"Yes"))</f>
        <v/>
      </c>
      <c r="K148" s="9">
        <f>IF(OR($A148="",D148=0),"",H148/D148)</f>
        <v/>
      </c>
      <c r="L148" s="10">
        <f>IF(OR($A148="",D148=0),"",MAXIFS(บันทึก!$A$5:$A$1004,บันทึก!$C$5:$C$1004,$A148))</f>
        <v/>
      </c>
    </row>
    <row r="149">
      <c r="A149" s="7">
        <f>IF(สินค้า!B147="","",สินค้า!B147)</f>
        <v/>
      </c>
      <c r="B149" s="7">
        <f>IF($A149="","",สินค้า!A147)</f>
        <v/>
      </c>
      <c r="C149" s="7">
        <f>IF($A149="","",สินค้า!C147)</f>
        <v/>
      </c>
      <c r="D149" s="7">
        <f>IF($A149="","",COUNTIF(บันทึก!$C$5:$C$1004,$A149))</f>
        <v/>
      </c>
      <c r="E149" s="8">
        <f>IF($A149="","",SUMIFS(บันทึก!$G$5:$G$1004,บันทึก!$C$5:$C$1004,$A149))</f>
        <v/>
      </c>
      <c r="F149" s="8">
        <f>IF($A149="","",SUMIFS(บันทึก!$H$5:$H$1004,บันทึก!$C$5:$C$1004,$A149))</f>
        <v/>
      </c>
      <c r="G149" s="7">
        <f>IF($A149="","",สินค้า!D147)</f>
        <v/>
      </c>
      <c r="H149" s="7">
        <f>IF($A149="","",COUNTIFS(บันทึก!$C$5:$C$1004,$A149,บันทึก!$J$5:$J$1004,"Done"))</f>
        <v/>
      </c>
      <c r="I149" s="7">
        <f>IF($A149="","",COUNTIFS(บันทึก!$C$5:$C$1004,$A149,บันทึก!$J$5:$J$1004,"Pending"))</f>
        <v/>
      </c>
      <c r="J149" s="7">
        <f>IF($A149="","",COUNTIFS(บันทึก!$C$5:$C$1004,$A149,บันทึก!$K$5:$K$1004,"Yes"))</f>
        <v/>
      </c>
      <c r="K149" s="9">
        <f>IF(OR($A149="",D149=0),"",H149/D149)</f>
        <v/>
      </c>
      <c r="L149" s="10">
        <f>IF(OR($A149="",D149=0),"",MAXIFS(บันทึก!$A$5:$A$1004,บันทึก!$C$5:$C$1004,$A149))</f>
        <v/>
      </c>
    </row>
    <row r="150">
      <c r="A150" s="7">
        <f>IF(สินค้า!B148="","",สินค้า!B148)</f>
        <v/>
      </c>
      <c r="B150" s="7">
        <f>IF($A150="","",สินค้า!A148)</f>
        <v/>
      </c>
      <c r="C150" s="7">
        <f>IF($A150="","",สินค้า!C148)</f>
        <v/>
      </c>
      <c r="D150" s="7">
        <f>IF($A150="","",COUNTIF(บันทึก!$C$5:$C$1004,$A150))</f>
        <v/>
      </c>
      <c r="E150" s="8">
        <f>IF($A150="","",SUMIFS(บันทึก!$G$5:$G$1004,บันทึก!$C$5:$C$1004,$A150))</f>
        <v/>
      </c>
      <c r="F150" s="8">
        <f>IF($A150="","",SUMIFS(บันทึก!$H$5:$H$1004,บันทึก!$C$5:$C$1004,$A150))</f>
        <v/>
      </c>
      <c r="G150" s="7">
        <f>IF($A150="","",สินค้า!D148)</f>
        <v/>
      </c>
      <c r="H150" s="7">
        <f>IF($A150="","",COUNTIFS(บันทึก!$C$5:$C$1004,$A150,บันทึก!$J$5:$J$1004,"Done"))</f>
        <v/>
      </c>
      <c r="I150" s="7">
        <f>IF($A150="","",COUNTIFS(บันทึก!$C$5:$C$1004,$A150,บันทึก!$J$5:$J$1004,"Pending"))</f>
        <v/>
      </c>
      <c r="J150" s="7">
        <f>IF($A150="","",COUNTIFS(บันทึก!$C$5:$C$1004,$A150,บันทึก!$K$5:$K$1004,"Yes"))</f>
        <v/>
      </c>
      <c r="K150" s="9">
        <f>IF(OR($A150="",D150=0),"",H150/D150)</f>
        <v/>
      </c>
      <c r="L150" s="10">
        <f>IF(OR($A150="",D150=0),"",MAXIFS(บันทึก!$A$5:$A$1004,บันทึก!$C$5:$C$1004,$A150))</f>
        <v/>
      </c>
    </row>
    <row r="151">
      <c r="A151" s="7">
        <f>IF(สินค้า!B149="","",สินค้า!B149)</f>
        <v/>
      </c>
      <c r="B151" s="7">
        <f>IF($A151="","",สินค้า!A149)</f>
        <v/>
      </c>
      <c r="C151" s="7">
        <f>IF($A151="","",สินค้า!C149)</f>
        <v/>
      </c>
      <c r="D151" s="7">
        <f>IF($A151="","",COUNTIF(บันทึก!$C$5:$C$1004,$A151))</f>
        <v/>
      </c>
      <c r="E151" s="8">
        <f>IF($A151="","",SUMIFS(บันทึก!$G$5:$G$1004,บันทึก!$C$5:$C$1004,$A151))</f>
        <v/>
      </c>
      <c r="F151" s="8">
        <f>IF($A151="","",SUMIFS(บันทึก!$H$5:$H$1004,บันทึก!$C$5:$C$1004,$A151))</f>
        <v/>
      </c>
      <c r="G151" s="7">
        <f>IF($A151="","",สินค้า!D149)</f>
        <v/>
      </c>
      <c r="H151" s="7">
        <f>IF($A151="","",COUNTIFS(บันทึก!$C$5:$C$1004,$A151,บันทึก!$J$5:$J$1004,"Done"))</f>
        <v/>
      </c>
      <c r="I151" s="7">
        <f>IF($A151="","",COUNTIFS(บันทึก!$C$5:$C$1004,$A151,บันทึก!$J$5:$J$1004,"Pending"))</f>
        <v/>
      </c>
      <c r="J151" s="7">
        <f>IF($A151="","",COUNTIFS(บันทึก!$C$5:$C$1004,$A151,บันทึก!$K$5:$K$1004,"Yes"))</f>
        <v/>
      </c>
      <c r="K151" s="9">
        <f>IF(OR($A151="",D151=0),"",H151/D151)</f>
        <v/>
      </c>
      <c r="L151" s="10">
        <f>IF(OR($A151="",D151=0),"",MAXIFS(บันทึก!$A$5:$A$1004,บันทึก!$C$5:$C$1004,$A151))</f>
        <v/>
      </c>
    </row>
    <row r="152">
      <c r="A152" s="7">
        <f>IF(สินค้า!B150="","",สินค้า!B150)</f>
        <v/>
      </c>
      <c r="B152" s="7">
        <f>IF($A152="","",สินค้า!A150)</f>
        <v/>
      </c>
      <c r="C152" s="7">
        <f>IF($A152="","",สินค้า!C150)</f>
        <v/>
      </c>
      <c r="D152" s="7">
        <f>IF($A152="","",COUNTIF(บันทึก!$C$5:$C$1004,$A152))</f>
        <v/>
      </c>
      <c r="E152" s="8">
        <f>IF($A152="","",SUMIFS(บันทึก!$G$5:$G$1004,บันทึก!$C$5:$C$1004,$A152))</f>
        <v/>
      </c>
      <c r="F152" s="8">
        <f>IF($A152="","",SUMIFS(บันทึก!$H$5:$H$1004,บันทึก!$C$5:$C$1004,$A152))</f>
        <v/>
      </c>
      <c r="G152" s="7">
        <f>IF($A152="","",สินค้า!D150)</f>
        <v/>
      </c>
      <c r="H152" s="7">
        <f>IF($A152="","",COUNTIFS(บันทึก!$C$5:$C$1004,$A152,บันทึก!$J$5:$J$1004,"Done"))</f>
        <v/>
      </c>
      <c r="I152" s="7">
        <f>IF($A152="","",COUNTIFS(บันทึก!$C$5:$C$1004,$A152,บันทึก!$J$5:$J$1004,"Pending"))</f>
        <v/>
      </c>
      <c r="J152" s="7">
        <f>IF($A152="","",COUNTIFS(บันทึก!$C$5:$C$1004,$A152,บันทึก!$K$5:$K$1004,"Yes"))</f>
        <v/>
      </c>
      <c r="K152" s="9">
        <f>IF(OR($A152="",D152=0),"",H152/D152)</f>
        <v/>
      </c>
      <c r="L152" s="10">
        <f>IF(OR($A152="",D152=0),"",MAXIFS(บันทึก!$A$5:$A$1004,บันทึก!$C$5:$C$1004,$A152))</f>
        <v/>
      </c>
    </row>
    <row r="153">
      <c r="A153" s="7">
        <f>IF(สินค้า!B151="","",สินค้า!B151)</f>
        <v/>
      </c>
      <c r="B153" s="7">
        <f>IF($A153="","",สินค้า!A151)</f>
        <v/>
      </c>
      <c r="C153" s="7">
        <f>IF($A153="","",สินค้า!C151)</f>
        <v/>
      </c>
      <c r="D153" s="7">
        <f>IF($A153="","",COUNTIF(บันทึก!$C$5:$C$1004,$A153))</f>
        <v/>
      </c>
      <c r="E153" s="8">
        <f>IF($A153="","",SUMIFS(บันทึก!$G$5:$G$1004,บันทึก!$C$5:$C$1004,$A153))</f>
        <v/>
      </c>
      <c r="F153" s="8">
        <f>IF($A153="","",SUMIFS(บันทึก!$H$5:$H$1004,บันทึก!$C$5:$C$1004,$A153))</f>
        <v/>
      </c>
      <c r="G153" s="7">
        <f>IF($A153="","",สินค้า!D151)</f>
        <v/>
      </c>
      <c r="H153" s="7">
        <f>IF($A153="","",COUNTIFS(บันทึก!$C$5:$C$1004,$A153,บันทึก!$J$5:$J$1004,"Done"))</f>
        <v/>
      </c>
      <c r="I153" s="7">
        <f>IF($A153="","",COUNTIFS(บันทึก!$C$5:$C$1004,$A153,บันทึก!$J$5:$J$1004,"Pending"))</f>
        <v/>
      </c>
      <c r="J153" s="7">
        <f>IF($A153="","",COUNTIFS(บันทึก!$C$5:$C$1004,$A153,บันทึก!$K$5:$K$1004,"Yes"))</f>
        <v/>
      </c>
      <c r="K153" s="9">
        <f>IF(OR($A153="",D153=0),"",H153/D153)</f>
        <v/>
      </c>
      <c r="L153" s="10">
        <f>IF(OR($A153="",D153=0),"",MAXIFS(บันทึก!$A$5:$A$1004,บันทึก!$C$5:$C$1004,$A153))</f>
        <v/>
      </c>
    </row>
    <row r="154">
      <c r="A154" s="7">
        <f>IF(สินค้า!B152="","",สินค้า!B152)</f>
        <v/>
      </c>
      <c r="B154" s="7">
        <f>IF($A154="","",สินค้า!A152)</f>
        <v/>
      </c>
      <c r="C154" s="7">
        <f>IF($A154="","",สินค้า!C152)</f>
        <v/>
      </c>
      <c r="D154" s="7">
        <f>IF($A154="","",COUNTIF(บันทึก!$C$5:$C$1004,$A154))</f>
        <v/>
      </c>
      <c r="E154" s="8">
        <f>IF($A154="","",SUMIFS(บันทึก!$G$5:$G$1004,บันทึก!$C$5:$C$1004,$A154))</f>
        <v/>
      </c>
      <c r="F154" s="8">
        <f>IF($A154="","",SUMIFS(บันทึก!$H$5:$H$1004,บันทึก!$C$5:$C$1004,$A154))</f>
        <v/>
      </c>
      <c r="G154" s="7">
        <f>IF($A154="","",สินค้า!D152)</f>
        <v/>
      </c>
      <c r="H154" s="7">
        <f>IF($A154="","",COUNTIFS(บันทึก!$C$5:$C$1004,$A154,บันทึก!$J$5:$J$1004,"Done"))</f>
        <v/>
      </c>
      <c r="I154" s="7">
        <f>IF($A154="","",COUNTIFS(บันทึก!$C$5:$C$1004,$A154,บันทึก!$J$5:$J$1004,"Pending"))</f>
        <v/>
      </c>
      <c r="J154" s="7">
        <f>IF($A154="","",COUNTIFS(บันทึก!$C$5:$C$1004,$A154,บันทึก!$K$5:$K$1004,"Yes"))</f>
        <v/>
      </c>
      <c r="K154" s="9">
        <f>IF(OR($A154="",D154=0),"",H154/D154)</f>
        <v/>
      </c>
      <c r="L154" s="10">
        <f>IF(OR($A154="",D154=0),"",MAXIFS(บันทึก!$A$5:$A$1004,บันทึก!$C$5:$C$1004,$A154))</f>
        <v/>
      </c>
    </row>
    <row r="155">
      <c r="A155" s="7">
        <f>IF(สินค้า!B153="","",สินค้า!B153)</f>
        <v/>
      </c>
      <c r="B155" s="7">
        <f>IF($A155="","",สินค้า!A153)</f>
        <v/>
      </c>
      <c r="C155" s="7">
        <f>IF($A155="","",สินค้า!C153)</f>
        <v/>
      </c>
      <c r="D155" s="7">
        <f>IF($A155="","",COUNTIF(บันทึก!$C$5:$C$1004,$A155))</f>
        <v/>
      </c>
      <c r="E155" s="8">
        <f>IF($A155="","",SUMIFS(บันทึก!$G$5:$G$1004,บันทึก!$C$5:$C$1004,$A155))</f>
        <v/>
      </c>
      <c r="F155" s="8">
        <f>IF($A155="","",SUMIFS(บันทึก!$H$5:$H$1004,บันทึก!$C$5:$C$1004,$A155))</f>
        <v/>
      </c>
      <c r="G155" s="7">
        <f>IF($A155="","",สินค้า!D153)</f>
        <v/>
      </c>
      <c r="H155" s="7">
        <f>IF($A155="","",COUNTIFS(บันทึก!$C$5:$C$1004,$A155,บันทึก!$J$5:$J$1004,"Done"))</f>
        <v/>
      </c>
      <c r="I155" s="7">
        <f>IF($A155="","",COUNTIFS(บันทึก!$C$5:$C$1004,$A155,บันทึก!$J$5:$J$1004,"Pending"))</f>
        <v/>
      </c>
      <c r="J155" s="7">
        <f>IF($A155="","",COUNTIFS(บันทึก!$C$5:$C$1004,$A155,บันทึก!$K$5:$K$1004,"Yes"))</f>
        <v/>
      </c>
      <c r="K155" s="9">
        <f>IF(OR($A155="",D155=0),"",H155/D155)</f>
        <v/>
      </c>
      <c r="L155" s="10">
        <f>IF(OR($A155="",D155=0),"",MAXIFS(บันทึก!$A$5:$A$1004,บันทึก!$C$5:$C$1004,$A155))</f>
        <v/>
      </c>
    </row>
    <row r="156">
      <c r="A156" s="7">
        <f>IF(สินค้า!B154="","",สินค้า!B154)</f>
        <v/>
      </c>
      <c r="B156" s="7">
        <f>IF($A156="","",สินค้า!A154)</f>
        <v/>
      </c>
      <c r="C156" s="7">
        <f>IF($A156="","",สินค้า!C154)</f>
        <v/>
      </c>
      <c r="D156" s="7">
        <f>IF($A156="","",COUNTIF(บันทึก!$C$5:$C$1004,$A156))</f>
        <v/>
      </c>
      <c r="E156" s="8">
        <f>IF($A156="","",SUMIFS(บันทึก!$G$5:$G$1004,บันทึก!$C$5:$C$1004,$A156))</f>
        <v/>
      </c>
      <c r="F156" s="8">
        <f>IF($A156="","",SUMIFS(บันทึก!$H$5:$H$1004,บันทึก!$C$5:$C$1004,$A156))</f>
        <v/>
      </c>
      <c r="G156" s="7">
        <f>IF($A156="","",สินค้า!D154)</f>
        <v/>
      </c>
      <c r="H156" s="7">
        <f>IF($A156="","",COUNTIFS(บันทึก!$C$5:$C$1004,$A156,บันทึก!$J$5:$J$1004,"Done"))</f>
        <v/>
      </c>
      <c r="I156" s="7">
        <f>IF($A156="","",COUNTIFS(บันทึก!$C$5:$C$1004,$A156,บันทึก!$J$5:$J$1004,"Pending"))</f>
        <v/>
      </c>
      <c r="J156" s="7">
        <f>IF($A156="","",COUNTIFS(บันทึก!$C$5:$C$1004,$A156,บันทึก!$K$5:$K$1004,"Yes"))</f>
        <v/>
      </c>
      <c r="K156" s="9">
        <f>IF(OR($A156="",D156=0),"",H156/D156)</f>
        <v/>
      </c>
      <c r="L156" s="10">
        <f>IF(OR($A156="",D156=0),"",MAXIFS(บันทึก!$A$5:$A$1004,บันทึก!$C$5:$C$1004,$A156))</f>
        <v/>
      </c>
    </row>
    <row r="157">
      <c r="A157" s="7">
        <f>IF(สินค้า!B155="","",สินค้า!B155)</f>
        <v/>
      </c>
      <c r="B157" s="7">
        <f>IF($A157="","",สินค้า!A155)</f>
        <v/>
      </c>
      <c r="C157" s="7">
        <f>IF($A157="","",สินค้า!C155)</f>
        <v/>
      </c>
      <c r="D157" s="7">
        <f>IF($A157="","",COUNTIF(บันทึก!$C$5:$C$1004,$A157))</f>
        <v/>
      </c>
      <c r="E157" s="8">
        <f>IF($A157="","",SUMIFS(บันทึก!$G$5:$G$1004,บันทึก!$C$5:$C$1004,$A157))</f>
        <v/>
      </c>
      <c r="F157" s="8">
        <f>IF($A157="","",SUMIFS(บันทึก!$H$5:$H$1004,บันทึก!$C$5:$C$1004,$A157))</f>
        <v/>
      </c>
      <c r="G157" s="7">
        <f>IF($A157="","",สินค้า!D155)</f>
        <v/>
      </c>
      <c r="H157" s="7">
        <f>IF($A157="","",COUNTIFS(บันทึก!$C$5:$C$1004,$A157,บันทึก!$J$5:$J$1004,"Done"))</f>
        <v/>
      </c>
      <c r="I157" s="7">
        <f>IF($A157="","",COUNTIFS(บันทึก!$C$5:$C$1004,$A157,บันทึก!$J$5:$J$1004,"Pending"))</f>
        <v/>
      </c>
      <c r="J157" s="7">
        <f>IF($A157="","",COUNTIFS(บันทึก!$C$5:$C$1004,$A157,บันทึก!$K$5:$K$1004,"Yes"))</f>
        <v/>
      </c>
      <c r="K157" s="9">
        <f>IF(OR($A157="",D157=0),"",H157/D157)</f>
        <v/>
      </c>
      <c r="L157" s="10">
        <f>IF(OR($A157="",D157=0),"",MAXIFS(บันทึก!$A$5:$A$1004,บันทึก!$C$5:$C$1004,$A157))</f>
        <v/>
      </c>
    </row>
    <row r="158">
      <c r="A158" s="7">
        <f>IF(สินค้า!B156="","",สินค้า!B156)</f>
        <v/>
      </c>
      <c r="B158" s="7">
        <f>IF($A158="","",สินค้า!A156)</f>
        <v/>
      </c>
      <c r="C158" s="7">
        <f>IF($A158="","",สินค้า!C156)</f>
        <v/>
      </c>
      <c r="D158" s="7">
        <f>IF($A158="","",COUNTIF(บันทึก!$C$5:$C$1004,$A158))</f>
        <v/>
      </c>
      <c r="E158" s="8">
        <f>IF($A158="","",SUMIFS(บันทึก!$G$5:$G$1004,บันทึก!$C$5:$C$1004,$A158))</f>
        <v/>
      </c>
      <c r="F158" s="8">
        <f>IF($A158="","",SUMIFS(บันทึก!$H$5:$H$1004,บันทึก!$C$5:$C$1004,$A158))</f>
        <v/>
      </c>
      <c r="G158" s="7">
        <f>IF($A158="","",สินค้า!D156)</f>
        <v/>
      </c>
      <c r="H158" s="7">
        <f>IF($A158="","",COUNTIFS(บันทึก!$C$5:$C$1004,$A158,บันทึก!$J$5:$J$1004,"Done"))</f>
        <v/>
      </c>
      <c r="I158" s="7">
        <f>IF($A158="","",COUNTIFS(บันทึก!$C$5:$C$1004,$A158,บันทึก!$J$5:$J$1004,"Pending"))</f>
        <v/>
      </c>
      <c r="J158" s="7">
        <f>IF($A158="","",COUNTIFS(บันทึก!$C$5:$C$1004,$A158,บันทึก!$K$5:$K$1004,"Yes"))</f>
        <v/>
      </c>
      <c r="K158" s="9">
        <f>IF(OR($A158="",D158=0),"",H158/D158)</f>
        <v/>
      </c>
      <c r="L158" s="10">
        <f>IF(OR($A158="",D158=0),"",MAXIFS(บันทึก!$A$5:$A$1004,บันทึก!$C$5:$C$1004,$A158))</f>
        <v/>
      </c>
    </row>
    <row r="159">
      <c r="A159" s="7">
        <f>IF(สินค้า!B157="","",สินค้า!B157)</f>
        <v/>
      </c>
      <c r="B159" s="7">
        <f>IF($A159="","",สินค้า!A157)</f>
        <v/>
      </c>
      <c r="C159" s="7">
        <f>IF($A159="","",สินค้า!C157)</f>
        <v/>
      </c>
      <c r="D159" s="7">
        <f>IF($A159="","",COUNTIF(บันทึก!$C$5:$C$1004,$A159))</f>
        <v/>
      </c>
      <c r="E159" s="8">
        <f>IF($A159="","",SUMIFS(บันทึก!$G$5:$G$1004,บันทึก!$C$5:$C$1004,$A159))</f>
        <v/>
      </c>
      <c r="F159" s="8">
        <f>IF($A159="","",SUMIFS(บันทึก!$H$5:$H$1004,บันทึก!$C$5:$C$1004,$A159))</f>
        <v/>
      </c>
      <c r="G159" s="7">
        <f>IF($A159="","",สินค้า!D157)</f>
        <v/>
      </c>
      <c r="H159" s="7">
        <f>IF($A159="","",COUNTIFS(บันทึก!$C$5:$C$1004,$A159,บันทึก!$J$5:$J$1004,"Done"))</f>
        <v/>
      </c>
      <c r="I159" s="7">
        <f>IF($A159="","",COUNTIFS(บันทึก!$C$5:$C$1004,$A159,บันทึก!$J$5:$J$1004,"Pending"))</f>
        <v/>
      </c>
      <c r="J159" s="7">
        <f>IF($A159="","",COUNTIFS(บันทึก!$C$5:$C$1004,$A159,บันทึก!$K$5:$K$1004,"Yes"))</f>
        <v/>
      </c>
      <c r="K159" s="9">
        <f>IF(OR($A159="",D159=0),"",H159/D159)</f>
        <v/>
      </c>
      <c r="L159" s="10">
        <f>IF(OR($A159="",D159=0),"",MAXIFS(บันทึก!$A$5:$A$1004,บันทึก!$C$5:$C$1004,$A159))</f>
        <v/>
      </c>
    </row>
    <row r="160">
      <c r="A160" s="7">
        <f>IF(สินค้า!B158="","",สินค้า!B158)</f>
        <v/>
      </c>
      <c r="B160" s="7">
        <f>IF($A160="","",สินค้า!A158)</f>
        <v/>
      </c>
      <c r="C160" s="7">
        <f>IF($A160="","",สินค้า!C158)</f>
        <v/>
      </c>
      <c r="D160" s="7">
        <f>IF($A160="","",COUNTIF(บันทึก!$C$5:$C$1004,$A160))</f>
        <v/>
      </c>
      <c r="E160" s="8">
        <f>IF($A160="","",SUMIFS(บันทึก!$G$5:$G$1004,บันทึก!$C$5:$C$1004,$A160))</f>
        <v/>
      </c>
      <c r="F160" s="8">
        <f>IF($A160="","",SUMIFS(บันทึก!$H$5:$H$1004,บันทึก!$C$5:$C$1004,$A160))</f>
        <v/>
      </c>
      <c r="G160" s="7">
        <f>IF($A160="","",สินค้า!D158)</f>
        <v/>
      </c>
      <c r="H160" s="7">
        <f>IF($A160="","",COUNTIFS(บันทึก!$C$5:$C$1004,$A160,บันทึก!$J$5:$J$1004,"Done"))</f>
        <v/>
      </c>
      <c r="I160" s="7">
        <f>IF($A160="","",COUNTIFS(บันทึก!$C$5:$C$1004,$A160,บันทึก!$J$5:$J$1004,"Pending"))</f>
        <v/>
      </c>
      <c r="J160" s="7">
        <f>IF($A160="","",COUNTIFS(บันทึก!$C$5:$C$1004,$A160,บันทึก!$K$5:$K$1004,"Yes"))</f>
        <v/>
      </c>
      <c r="K160" s="9">
        <f>IF(OR($A160="",D160=0),"",H160/D160)</f>
        <v/>
      </c>
      <c r="L160" s="10">
        <f>IF(OR($A160="",D160=0),"",MAXIFS(บันทึก!$A$5:$A$1004,บันทึก!$C$5:$C$1004,$A160))</f>
        <v/>
      </c>
    </row>
    <row r="161">
      <c r="A161" s="7">
        <f>IF(สินค้า!B159="","",สินค้า!B159)</f>
        <v/>
      </c>
      <c r="B161" s="7">
        <f>IF($A161="","",สินค้า!A159)</f>
        <v/>
      </c>
      <c r="C161" s="7">
        <f>IF($A161="","",สินค้า!C159)</f>
        <v/>
      </c>
      <c r="D161" s="7">
        <f>IF($A161="","",COUNTIF(บันทึก!$C$5:$C$1004,$A161))</f>
        <v/>
      </c>
      <c r="E161" s="8">
        <f>IF($A161="","",SUMIFS(บันทึก!$G$5:$G$1004,บันทึก!$C$5:$C$1004,$A161))</f>
        <v/>
      </c>
      <c r="F161" s="8">
        <f>IF($A161="","",SUMIFS(บันทึก!$H$5:$H$1004,บันทึก!$C$5:$C$1004,$A161))</f>
        <v/>
      </c>
      <c r="G161" s="7">
        <f>IF($A161="","",สินค้า!D159)</f>
        <v/>
      </c>
      <c r="H161" s="7">
        <f>IF($A161="","",COUNTIFS(บันทึก!$C$5:$C$1004,$A161,บันทึก!$J$5:$J$1004,"Done"))</f>
        <v/>
      </c>
      <c r="I161" s="7">
        <f>IF($A161="","",COUNTIFS(บันทึก!$C$5:$C$1004,$A161,บันทึก!$J$5:$J$1004,"Pending"))</f>
        <v/>
      </c>
      <c r="J161" s="7">
        <f>IF($A161="","",COUNTIFS(บันทึก!$C$5:$C$1004,$A161,บันทึก!$K$5:$K$1004,"Yes"))</f>
        <v/>
      </c>
      <c r="K161" s="9">
        <f>IF(OR($A161="",D161=0),"",H161/D161)</f>
        <v/>
      </c>
      <c r="L161" s="10">
        <f>IF(OR($A161="",D161=0),"",MAXIFS(บันทึก!$A$5:$A$1004,บันทึก!$C$5:$C$1004,$A161))</f>
        <v/>
      </c>
    </row>
    <row r="162">
      <c r="A162" s="7">
        <f>IF(สินค้า!B160="","",สินค้า!B160)</f>
        <v/>
      </c>
      <c r="B162" s="7">
        <f>IF($A162="","",สินค้า!A160)</f>
        <v/>
      </c>
      <c r="C162" s="7">
        <f>IF($A162="","",สินค้า!C160)</f>
        <v/>
      </c>
      <c r="D162" s="7">
        <f>IF($A162="","",COUNTIF(บันทึก!$C$5:$C$1004,$A162))</f>
        <v/>
      </c>
      <c r="E162" s="8">
        <f>IF($A162="","",SUMIFS(บันทึก!$G$5:$G$1004,บันทึก!$C$5:$C$1004,$A162))</f>
        <v/>
      </c>
      <c r="F162" s="8">
        <f>IF($A162="","",SUMIFS(บันทึก!$H$5:$H$1004,บันทึก!$C$5:$C$1004,$A162))</f>
        <v/>
      </c>
      <c r="G162" s="7">
        <f>IF($A162="","",สินค้า!D160)</f>
        <v/>
      </c>
      <c r="H162" s="7">
        <f>IF($A162="","",COUNTIFS(บันทึก!$C$5:$C$1004,$A162,บันทึก!$J$5:$J$1004,"Done"))</f>
        <v/>
      </c>
      <c r="I162" s="7">
        <f>IF($A162="","",COUNTIFS(บันทึก!$C$5:$C$1004,$A162,บันทึก!$J$5:$J$1004,"Pending"))</f>
        <v/>
      </c>
      <c r="J162" s="7">
        <f>IF($A162="","",COUNTIFS(บันทึก!$C$5:$C$1004,$A162,บันทึก!$K$5:$K$1004,"Yes"))</f>
        <v/>
      </c>
      <c r="K162" s="9">
        <f>IF(OR($A162="",D162=0),"",H162/D162)</f>
        <v/>
      </c>
      <c r="L162" s="10">
        <f>IF(OR($A162="",D162=0),"",MAXIFS(บันทึก!$A$5:$A$1004,บันทึก!$C$5:$C$1004,$A162))</f>
        <v/>
      </c>
    </row>
    <row r="163">
      <c r="A163" s="7">
        <f>IF(สินค้า!B161="","",สินค้า!B161)</f>
        <v/>
      </c>
      <c r="B163" s="7">
        <f>IF($A163="","",สินค้า!A161)</f>
        <v/>
      </c>
      <c r="C163" s="7">
        <f>IF($A163="","",สินค้า!C161)</f>
        <v/>
      </c>
      <c r="D163" s="7">
        <f>IF($A163="","",COUNTIF(บันทึก!$C$5:$C$1004,$A163))</f>
        <v/>
      </c>
      <c r="E163" s="8">
        <f>IF($A163="","",SUMIFS(บันทึก!$G$5:$G$1004,บันทึก!$C$5:$C$1004,$A163))</f>
        <v/>
      </c>
      <c r="F163" s="8">
        <f>IF($A163="","",SUMIFS(บันทึก!$H$5:$H$1004,บันทึก!$C$5:$C$1004,$A163))</f>
        <v/>
      </c>
      <c r="G163" s="7">
        <f>IF($A163="","",สินค้า!D161)</f>
        <v/>
      </c>
      <c r="H163" s="7">
        <f>IF($A163="","",COUNTIFS(บันทึก!$C$5:$C$1004,$A163,บันทึก!$J$5:$J$1004,"Done"))</f>
        <v/>
      </c>
      <c r="I163" s="7">
        <f>IF($A163="","",COUNTIFS(บันทึก!$C$5:$C$1004,$A163,บันทึก!$J$5:$J$1004,"Pending"))</f>
        <v/>
      </c>
      <c r="J163" s="7">
        <f>IF($A163="","",COUNTIFS(บันทึก!$C$5:$C$1004,$A163,บันทึก!$K$5:$K$1004,"Yes"))</f>
        <v/>
      </c>
      <c r="K163" s="9">
        <f>IF(OR($A163="",D163=0),"",H163/D163)</f>
        <v/>
      </c>
      <c r="L163" s="10">
        <f>IF(OR($A163="",D163=0),"",MAXIFS(บันทึก!$A$5:$A$1004,บันทึก!$C$5:$C$1004,$A163))</f>
        <v/>
      </c>
    </row>
    <row r="164">
      <c r="A164" s="7">
        <f>IF(สินค้า!B162="","",สินค้า!B162)</f>
        <v/>
      </c>
      <c r="B164" s="7">
        <f>IF($A164="","",สินค้า!A162)</f>
        <v/>
      </c>
      <c r="C164" s="7">
        <f>IF($A164="","",สินค้า!C162)</f>
        <v/>
      </c>
      <c r="D164" s="7">
        <f>IF($A164="","",COUNTIF(บันทึก!$C$5:$C$1004,$A164))</f>
        <v/>
      </c>
      <c r="E164" s="8">
        <f>IF($A164="","",SUMIFS(บันทึก!$G$5:$G$1004,บันทึก!$C$5:$C$1004,$A164))</f>
        <v/>
      </c>
      <c r="F164" s="8">
        <f>IF($A164="","",SUMIFS(บันทึก!$H$5:$H$1004,บันทึก!$C$5:$C$1004,$A164))</f>
        <v/>
      </c>
      <c r="G164" s="7">
        <f>IF($A164="","",สินค้า!D162)</f>
        <v/>
      </c>
      <c r="H164" s="7">
        <f>IF($A164="","",COUNTIFS(บันทึก!$C$5:$C$1004,$A164,บันทึก!$J$5:$J$1004,"Done"))</f>
        <v/>
      </c>
      <c r="I164" s="7">
        <f>IF($A164="","",COUNTIFS(บันทึก!$C$5:$C$1004,$A164,บันทึก!$J$5:$J$1004,"Pending"))</f>
        <v/>
      </c>
      <c r="J164" s="7">
        <f>IF($A164="","",COUNTIFS(บันทึก!$C$5:$C$1004,$A164,บันทึก!$K$5:$K$1004,"Yes"))</f>
        <v/>
      </c>
      <c r="K164" s="9">
        <f>IF(OR($A164="",D164=0),"",H164/D164)</f>
        <v/>
      </c>
      <c r="L164" s="10">
        <f>IF(OR($A164="",D164=0),"",MAXIFS(บันทึก!$A$5:$A$1004,บันทึก!$C$5:$C$1004,$A164))</f>
        <v/>
      </c>
    </row>
    <row r="165">
      <c r="A165" s="7">
        <f>IF(สินค้า!B163="","",สินค้า!B163)</f>
        <v/>
      </c>
      <c r="B165" s="7">
        <f>IF($A165="","",สินค้า!A163)</f>
        <v/>
      </c>
      <c r="C165" s="7">
        <f>IF($A165="","",สินค้า!C163)</f>
        <v/>
      </c>
      <c r="D165" s="7">
        <f>IF($A165="","",COUNTIF(บันทึก!$C$5:$C$1004,$A165))</f>
        <v/>
      </c>
      <c r="E165" s="8">
        <f>IF($A165="","",SUMIFS(บันทึก!$G$5:$G$1004,บันทึก!$C$5:$C$1004,$A165))</f>
        <v/>
      </c>
      <c r="F165" s="8">
        <f>IF($A165="","",SUMIFS(บันทึก!$H$5:$H$1004,บันทึก!$C$5:$C$1004,$A165))</f>
        <v/>
      </c>
      <c r="G165" s="7">
        <f>IF($A165="","",สินค้า!D163)</f>
        <v/>
      </c>
      <c r="H165" s="7">
        <f>IF($A165="","",COUNTIFS(บันทึก!$C$5:$C$1004,$A165,บันทึก!$J$5:$J$1004,"Done"))</f>
        <v/>
      </c>
      <c r="I165" s="7">
        <f>IF($A165="","",COUNTIFS(บันทึก!$C$5:$C$1004,$A165,บันทึก!$J$5:$J$1004,"Pending"))</f>
        <v/>
      </c>
      <c r="J165" s="7">
        <f>IF($A165="","",COUNTIFS(บันทึก!$C$5:$C$1004,$A165,บันทึก!$K$5:$K$1004,"Yes"))</f>
        <v/>
      </c>
      <c r="K165" s="9">
        <f>IF(OR($A165="",D165=0),"",H165/D165)</f>
        <v/>
      </c>
      <c r="L165" s="10">
        <f>IF(OR($A165="",D165=0),"",MAXIFS(บันทึก!$A$5:$A$1004,บันทึก!$C$5:$C$1004,$A165))</f>
        <v/>
      </c>
    </row>
    <row r="166">
      <c r="A166" s="7">
        <f>IF(สินค้า!B164="","",สินค้า!B164)</f>
        <v/>
      </c>
      <c r="B166" s="7">
        <f>IF($A166="","",สินค้า!A164)</f>
        <v/>
      </c>
      <c r="C166" s="7">
        <f>IF($A166="","",สินค้า!C164)</f>
        <v/>
      </c>
      <c r="D166" s="7">
        <f>IF($A166="","",COUNTIF(บันทึก!$C$5:$C$1004,$A166))</f>
        <v/>
      </c>
      <c r="E166" s="8">
        <f>IF($A166="","",SUMIFS(บันทึก!$G$5:$G$1004,บันทึก!$C$5:$C$1004,$A166))</f>
        <v/>
      </c>
      <c r="F166" s="8">
        <f>IF($A166="","",SUMIFS(บันทึก!$H$5:$H$1004,บันทึก!$C$5:$C$1004,$A166))</f>
        <v/>
      </c>
      <c r="G166" s="7">
        <f>IF($A166="","",สินค้า!D164)</f>
        <v/>
      </c>
      <c r="H166" s="7">
        <f>IF($A166="","",COUNTIFS(บันทึก!$C$5:$C$1004,$A166,บันทึก!$J$5:$J$1004,"Done"))</f>
        <v/>
      </c>
      <c r="I166" s="7">
        <f>IF($A166="","",COUNTIFS(บันทึก!$C$5:$C$1004,$A166,บันทึก!$J$5:$J$1004,"Pending"))</f>
        <v/>
      </c>
      <c r="J166" s="7">
        <f>IF($A166="","",COUNTIFS(บันทึก!$C$5:$C$1004,$A166,บันทึก!$K$5:$K$1004,"Yes"))</f>
        <v/>
      </c>
      <c r="K166" s="9">
        <f>IF(OR($A166="",D166=0),"",H166/D166)</f>
        <v/>
      </c>
      <c r="L166" s="10">
        <f>IF(OR($A166="",D166=0),"",MAXIFS(บันทึก!$A$5:$A$1004,บันทึก!$C$5:$C$1004,$A166))</f>
        <v/>
      </c>
    </row>
    <row r="167">
      <c r="A167" s="7">
        <f>IF(สินค้า!B165="","",สินค้า!B165)</f>
        <v/>
      </c>
      <c r="B167" s="7">
        <f>IF($A167="","",สินค้า!A165)</f>
        <v/>
      </c>
      <c r="C167" s="7">
        <f>IF($A167="","",สินค้า!C165)</f>
        <v/>
      </c>
      <c r="D167" s="7">
        <f>IF($A167="","",COUNTIF(บันทึก!$C$5:$C$1004,$A167))</f>
        <v/>
      </c>
      <c r="E167" s="8">
        <f>IF($A167="","",SUMIFS(บันทึก!$G$5:$G$1004,บันทึก!$C$5:$C$1004,$A167))</f>
        <v/>
      </c>
      <c r="F167" s="8">
        <f>IF($A167="","",SUMIFS(บันทึก!$H$5:$H$1004,บันทึก!$C$5:$C$1004,$A167))</f>
        <v/>
      </c>
      <c r="G167" s="7">
        <f>IF($A167="","",สินค้า!D165)</f>
        <v/>
      </c>
      <c r="H167" s="7">
        <f>IF($A167="","",COUNTIFS(บันทึก!$C$5:$C$1004,$A167,บันทึก!$J$5:$J$1004,"Done"))</f>
        <v/>
      </c>
      <c r="I167" s="7">
        <f>IF($A167="","",COUNTIFS(บันทึก!$C$5:$C$1004,$A167,บันทึก!$J$5:$J$1004,"Pending"))</f>
        <v/>
      </c>
      <c r="J167" s="7">
        <f>IF($A167="","",COUNTIFS(บันทึก!$C$5:$C$1004,$A167,บันทึก!$K$5:$K$1004,"Yes"))</f>
        <v/>
      </c>
      <c r="K167" s="9">
        <f>IF(OR($A167="",D167=0),"",H167/D167)</f>
        <v/>
      </c>
      <c r="L167" s="10">
        <f>IF(OR($A167="",D167=0),"",MAXIFS(บันทึก!$A$5:$A$1004,บันทึก!$C$5:$C$1004,$A167))</f>
        <v/>
      </c>
    </row>
    <row r="168">
      <c r="A168" s="7">
        <f>IF(สินค้า!B166="","",สินค้า!B166)</f>
        <v/>
      </c>
      <c r="B168" s="7">
        <f>IF($A168="","",สินค้า!A166)</f>
        <v/>
      </c>
      <c r="C168" s="7">
        <f>IF($A168="","",สินค้า!C166)</f>
        <v/>
      </c>
      <c r="D168" s="7">
        <f>IF($A168="","",COUNTIF(บันทึก!$C$5:$C$1004,$A168))</f>
        <v/>
      </c>
      <c r="E168" s="8">
        <f>IF($A168="","",SUMIFS(บันทึก!$G$5:$G$1004,บันทึก!$C$5:$C$1004,$A168))</f>
        <v/>
      </c>
      <c r="F168" s="8">
        <f>IF($A168="","",SUMIFS(บันทึก!$H$5:$H$1004,บันทึก!$C$5:$C$1004,$A168))</f>
        <v/>
      </c>
      <c r="G168" s="7">
        <f>IF($A168="","",สินค้า!D166)</f>
        <v/>
      </c>
      <c r="H168" s="7">
        <f>IF($A168="","",COUNTIFS(บันทึก!$C$5:$C$1004,$A168,บันทึก!$J$5:$J$1004,"Done"))</f>
        <v/>
      </c>
      <c r="I168" s="7">
        <f>IF($A168="","",COUNTIFS(บันทึก!$C$5:$C$1004,$A168,บันทึก!$J$5:$J$1004,"Pending"))</f>
        <v/>
      </c>
      <c r="J168" s="7">
        <f>IF($A168="","",COUNTIFS(บันทึก!$C$5:$C$1004,$A168,บันทึก!$K$5:$K$1004,"Yes"))</f>
        <v/>
      </c>
      <c r="K168" s="9">
        <f>IF(OR($A168="",D168=0),"",H168/D168)</f>
        <v/>
      </c>
      <c r="L168" s="10">
        <f>IF(OR($A168="",D168=0),"",MAXIFS(บันทึก!$A$5:$A$1004,บันทึก!$C$5:$C$1004,$A168))</f>
        <v/>
      </c>
    </row>
    <row r="169">
      <c r="A169" s="7">
        <f>IF(สินค้า!B167="","",สินค้า!B167)</f>
        <v/>
      </c>
      <c r="B169" s="7">
        <f>IF($A169="","",สินค้า!A167)</f>
        <v/>
      </c>
      <c r="C169" s="7">
        <f>IF($A169="","",สินค้า!C167)</f>
        <v/>
      </c>
      <c r="D169" s="7">
        <f>IF($A169="","",COUNTIF(บันทึก!$C$5:$C$1004,$A169))</f>
        <v/>
      </c>
      <c r="E169" s="8">
        <f>IF($A169="","",SUMIFS(บันทึก!$G$5:$G$1004,บันทึก!$C$5:$C$1004,$A169))</f>
        <v/>
      </c>
      <c r="F169" s="8">
        <f>IF($A169="","",SUMIFS(บันทึก!$H$5:$H$1004,บันทึก!$C$5:$C$1004,$A169))</f>
        <v/>
      </c>
      <c r="G169" s="7">
        <f>IF($A169="","",สินค้า!D167)</f>
        <v/>
      </c>
      <c r="H169" s="7">
        <f>IF($A169="","",COUNTIFS(บันทึก!$C$5:$C$1004,$A169,บันทึก!$J$5:$J$1004,"Done"))</f>
        <v/>
      </c>
      <c r="I169" s="7">
        <f>IF($A169="","",COUNTIFS(บันทึก!$C$5:$C$1004,$A169,บันทึก!$J$5:$J$1004,"Pending"))</f>
        <v/>
      </c>
      <c r="J169" s="7">
        <f>IF($A169="","",COUNTIFS(บันทึก!$C$5:$C$1004,$A169,บันทึก!$K$5:$K$1004,"Yes"))</f>
        <v/>
      </c>
      <c r="K169" s="9">
        <f>IF(OR($A169="",D169=0),"",H169/D169)</f>
        <v/>
      </c>
      <c r="L169" s="10">
        <f>IF(OR($A169="",D169=0),"",MAXIFS(บันทึก!$A$5:$A$1004,บันทึก!$C$5:$C$1004,$A169))</f>
        <v/>
      </c>
    </row>
    <row r="170">
      <c r="A170" s="7">
        <f>IF(สินค้า!B168="","",สินค้า!B168)</f>
        <v/>
      </c>
      <c r="B170" s="7">
        <f>IF($A170="","",สินค้า!A168)</f>
        <v/>
      </c>
      <c r="C170" s="7">
        <f>IF($A170="","",สินค้า!C168)</f>
        <v/>
      </c>
      <c r="D170" s="7">
        <f>IF($A170="","",COUNTIF(บันทึก!$C$5:$C$1004,$A170))</f>
        <v/>
      </c>
      <c r="E170" s="8">
        <f>IF($A170="","",SUMIFS(บันทึก!$G$5:$G$1004,บันทึก!$C$5:$C$1004,$A170))</f>
        <v/>
      </c>
      <c r="F170" s="8">
        <f>IF($A170="","",SUMIFS(บันทึก!$H$5:$H$1004,บันทึก!$C$5:$C$1004,$A170))</f>
        <v/>
      </c>
      <c r="G170" s="7">
        <f>IF($A170="","",สินค้า!D168)</f>
        <v/>
      </c>
      <c r="H170" s="7">
        <f>IF($A170="","",COUNTIFS(บันทึก!$C$5:$C$1004,$A170,บันทึก!$J$5:$J$1004,"Done"))</f>
        <v/>
      </c>
      <c r="I170" s="7">
        <f>IF($A170="","",COUNTIFS(บันทึก!$C$5:$C$1004,$A170,บันทึก!$J$5:$J$1004,"Pending"))</f>
        <v/>
      </c>
      <c r="J170" s="7">
        <f>IF($A170="","",COUNTIFS(บันทึก!$C$5:$C$1004,$A170,บันทึก!$K$5:$K$1004,"Yes"))</f>
        <v/>
      </c>
      <c r="K170" s="9">
        <f>IF(OR($A170="",D170=0),"",H170/D170)</f>
        <v/>
      </c>
      <c r="L170" s="10">
        <f>IF(OR($A170="",D170=0),"",MAXIFS(บันทึก!$A$5:$A$1004,บันทึก!$C$5:$C$1004,$A170))</f>
        <v/>
      </c>
    </row>
    <row r="171">
      <c r="A171" s="7">
        <f>IF(สินค้า!B169="","",สินค้า!B169)</f>
        <v/>
      </c>
      <c r="B171" s="7">
        <f>IF($A171="","",สินค้า!A169)</f>
        <v/>
      </c>
      <c r="C171" s="7">
        <f>IF($A171="","",สินค้า!C169)</f>
        <v/>
      </c>
      <c r="D171" s="7">
        <f>IF($A171="","",COUNTIF(บันทึก!$C$5:$C$1004,$A171))</f>
        <v/>
      </c>
      <c r="E171" s="8">
        <f>IF($A171="","",SUMIFS(บันทึก!$G$5:$G$1004,บันทึก!$C$5:$C$1004,$A171))</f>
        <v/>
      </c>
      <c r="F171" s="8">
        <f>IF($A171="","",SUMIFS(บันทึก!$H$5:$H$1004,บันทึก!$C$5:$C$1004,$A171))</f>
        <v/>
      </c>
      <c r="G171" s="7">
        <f>IF($A171="","",สินค้า!D169)</f>
        <v/>
      </c>
      <c r="H171" s="7">
        <f>IF($A171="","",COUNTIFS(บันทึก!$C$5:$C$1004,$A171,บันทึก!$J$5:$J$1004,"Done"))</f>
        <v/>
      </c>
      <c r="I171" s="7">
        <f>IF($A171="","",COUNTIFS(บันทึก!$C$5:$C$1004,$A171,บันทึก!$J$5:$J$1004,"Pending"))</f>
        <v/>
      </c>
      <c r="J171" s="7">
        <f>IF($A171="","",COUNTIFS(บันทึก!$C$5:$C$1004,$A171,บันทึก!$K$5:$K$1004,"Yes"))</f>
        <v/>
      </c>
      <c r="K171" s="9">
        <f>IF(OR($A171="",D171=0),"",H171/D171)</f>
        <v/>
      </c>
      <c r="L171" s="10">
        <f>IF(OR($A171="",D171=0),"",MAXIFS(บันทึก!$A$5:$A$1004,บันทึก!$C$5:$C$1004,$A171))</f>
        <v/>
      </c>
    </row>
    <row r="172">
      <c r="A172" s="7">
        <f>IF(สินค้า!B170="","",สินค้า!B170)</f>
        <v/>
      </c>
      <c r="B172" s="7">
        <f>IF($A172="","",สินค้า!A170)</f>
        <v/>
      </c>
      <c r="C172" s="7">
        <f>IF($A172="","",สินค้า!C170)</f>
        <v/>
      </c>
      <c r="D172" s="7">
        <f>IF($A172="","",COUNTIF(บันทึก!$C$5:$C$1004,$A172))</f>
        <v/>
      </c>
      <c r="E172" s="8">
        <f>IF($A172="","",SUMIFS(บันทึก!$G$5:$G$1004,บันทึก!$C$5:$C$1004,$A172))</f>
        <v/>
      </c>
      <c r="F172" s="8">
        <f>IF($A172="","",SUMIFS(บันทึก!$H$5:$H$1004,บันทึก!$C$5:$C$1004,$A172))</f>
        <v/>
      </c>
      <c r="G172" s="7">
        <f>IF($A172="","",สินค้า!D170)</f>
        <v/>
      </c>
      <c r="H172" s="7">
        <f>IF($A172="","",COUNTIFS(บันทึก!$C$5:$C$1004,$A172,บันทึก!$J$5:$J$1004,"Done"))</f>
        <v/>
      </c>
      <c r="I172" s="7">
        <f>IF($A172="","",COUNTIFS(บันทึก!$C$5:$C$1004,$A172,บันทึก!$J$5:$J$1004,"Pending"))</f>
        <v/>
      </c>
      <c r="J172" s="7">
        <f>IF($A172="","",COUNTIFS(บันทึก!$C$5:$C$1004,$A172,บันทึก!$K$5:$K$1004,"Yes"))</f>
        <v/>
      </c>
      <c r="K172" s="9">
        <f>IF(OR($A172="",D172=0),"",H172/D172)</f>
        <v/>
      </c>
      <c r="L172" s="10">
        <f>IF(OR($A172="",D172=0),"",MAXIFS(บันทึก!$A$5:$A$1004,บันทึก!$C$5:$C$1004,$A172))</f>
        <v/>
      </c>
    </row>
    <row r="173">
      <c r="A173" s="7">
        <f>IF(สินค้า!B171="","",สินค้า!B171)</f>
        <v/>
      </c>
      <c r="B173" s="7">
        <f>IF($A173="","",สินค้า!A171)</f>
        <v/>
      </c>
      <c r="C173" s="7">
        <f>IF($A173="","",สินค้า!C171)</f>
        <v/>
      </c>
      <c r="D173" s="7">
        <f>IF($A173="","",COUNTIF(บันทึก!$C$5:$C$1004,$A173))</f>
        <v/>
      </c>
      <c r="E173" s="8">
        <f>IF($A173="","",SUMIFS(บันทึก!$G$5:$G$1004,บันทึก!$C$5:$C$1004,$A173))</f>
        <v/>
      </c>
      <c r="F173" s="8">
        <f>IF($A173="","",SUMIFS(บันทึก!$H$5:$H$1004,บันทึก!$C$5:$C$1004,$A173))</f>
        <v/>
      </c>
      <c r="G173" s="7">
        <f>IF($A173="","",สินค้า!D171)</f>
        <v/>
      </c>
      <c r="H173" s="7">
        <f>IF($A173="","",COUNTIFS(บันทึก!$C$5:$C$1004,$A173,บันทึก!$J$5:$J$1004,"Done"))</f>
        <v/>
      </c>
      <c r="I173" s="7">
        <f>IF($A173="","",COUNTIFS(บันทึก!$C$5:$C$1004,$A173,บันทึก!$J$5:$J$1004,"Pending"))</f>
        <v/>
      </c>
      <c r="J173" s="7">
        <f>IF($A173="","",COUNTIFS(บันทึก!$C$5:$C$1004,$A173,บันทึก!$K$5:$K$1004,"Yes"))</f>
        <v/>
      </c>
      <c r="K173" s="9">
        <f>IF(OR($A173="",D173=0),"",H173/D173)</f>
        <v/>
      </c>
      <c r="L173" s="10">
        <f>IF(OR($A173="",D173=0),"",MAXIFS(บันทึก!$A$5:$A$1004,บันทึก!$C$5:$C$1004,$A173))</f>
        <v/>
      </c>
    </row>
    <row r="174">
      <c r="A174" s="7">
        <f>IF(สินค้า!B172="","",สินค้า!B172)</f>
        <v/>
      </c>
      <c r="B174" s="7">
        <f>IF($A174="","",สินค้า!A172)</f>
        <v/>
      </c>
      <c r="C174" s="7">
        <f>IF($A174="","",สินค้า!C172)</f>
        <v/>
      </c>
      <c r="D174" s="7">
        <f>IF($A174="","",COUNTIF(บันทึก!$C$5:$C$1004,$A174))</f>
        <v/>
      </c>
      <c r="E174" s="8">
        <f>IF($A174="","",SUMIFS(บันทึก!$G$5:$G$1004,บันทึก!$C$5:$C$1004,$A174))</f>
        <v/>
      </c>
      <c r="F174" s="8">
        <f>IF($A174="","",SUMIFS(บันทึก!$H$5:$H$1004,บันทึก!$C$5:$C$1004,$A174))</f>
        <v/>
      </c>
      <c r="G174" s="7">
        <f>IF($A174="","",สินค้า!D172)</f>
        <v/>
      </c>
      <c r="H174" s="7">
        <f>IF($A174="","",COUNTIFS(บันทึก!$C$5:$C$1004,$A174,บันทึก!$J$5:$J$1004,"Done"))</f>
        <v/>
      </c>
      <c r="I174" s="7">
        <f>IF($A174="","",COUNTIFS(บันทึก!$C$5:$C$1004,$A174,บันทึก!$J$5:$J$1004,"Pending"))</f>
        <v/>
      </c>
      <c r="J174" s="7">
        <f>IF($A174="","",COUNTIFS(บันทึก!$C$5:$C$1004,$A174,บันทึก!$K$5:$K$1004,"Yes"))</f>
        <v/>
      </c>
      <c r="K174" s="9">
        <f>IF(OR($A174="",D174=0),"",H174/D174)</f>
        <v/>
      </c>
      <c r="L174" s="10">
        <f>IF(OR($A174="",D174=0),"",MAXIFS(บันทึก!$A$5:$A$1004,บันทึก!$C$5:$C$1004,$A174))</f>
        <v/>
      </c>
    </row>
    <row r="175">
      <c r="A175" s="7">
        <f>IF(สินค้า!B173="","",สินค้า!B173)</f>
        <v/>
      </c>
      <c r="B175" s="7">
        <f>IF($A175="","",สินค้า!A173)</f>
        <v/>
      </c>
      <c r="C175" s="7">
        <f>IF($A175="","",สินค้า!C173)</f>
        <v/>
      </c>
      <c r="D175" s="7">
        <f>IF($A175="","",COUNTIF(บันทึก!$C$5:$C$1004,$A175))</f>
        <v/>
      </c>
      <c r="E175" s="8">
        <f>IF($A175="","",SUMIFS(บันทึก!$G$5:$G$1004,บันทึก!$C$5:$C$1004,$A175))</f>
        <v/>
      </c>
      <c r="F175" s="8">
        <f>IF($A175="","",SUMIFS(บันทึก!$H$5:$H$1004,บันทึก!$C$5:$C$1004,$A175))</f>
        <v/>
      </c>
      <c r="G175" s="7">
        <f>IF($A175="","",สินค้า!D173)</f>
        <v/>
      </c>
      <c r="H175" s="7">
        <f>IF($A175="","",COUNTIFS(บันทึก!$C$5:$C$1004,$A175,บันทึก!$J$5:$J$1004,"Done"))</f>
        <v/>
      </c>
      <c r="I175" s="7">
        <f>IF($A175="","",COUNTIFS(บันทึก!$C$5:$C$1004,$A175,บันทึก!$J$5:$J$1004,"Pending"))</f>
        <v/>
      </c>
      <c r="J175" s="7">
        <f>IF($A175="","",COUNTIFS(บันทึก!$C$5:$C$1004,$A175,บันทึก!$K$5:$K$1004,"Yes"))</f>
        <v/>
      </c>
      <c r="K175" s="9">
        <f>IF(OR($A175="",D175=0),"",H175/D175)</f>
        <v/>
      </c>
      <c r="L175" s="10">
        <f>IF(OR($A175="",D175=0),"",MAXIFS(บันทึก!$A$5:$A$1004,บันทึก!$C$5:$C$1004,$A175))</f>
        <v/>
      </c>
    </row>
    <row r="176">
      <c r="A176" s="7">
        <f>IF(สินค้า!B174="","",สินค้า!B174)</f>
        <v/>
      </c>
      <c r="B176" s="7">
        <f>IF($A176="","",สินค้า!A174)</f>
        <v/>
      </c>
      <c r="C176" s="7">
        <f>IF($A176="","",สินค้า!C174)</f>
        <v/>
      </c>
      <c r="D176" s="7">
        <f>IF($A176="","",COUNTIF(บันทึก!$C$5:$C$1004,$A176))</f>
        <v/>
      </c>
      <c r="E176" s="8">
        <f>IF($A176="","",SUMIFS(บันทึก!$G$5:$G$1004,บันทึก!$C$5:$C$1004,$A176))</f>
        <v/>
      </c>
      <c r="F176" s="8">
        <f>IF($A176="","",SUMIFS(บันทึก!$H$5:$H$1004,บันทึก!$C$5:$C$1004,$A176))</f>
        <v/>
      </c>
      <c r="G176" s="7">
        <f>IF($A176="","",สินค้า!D174)</f>
        <v/>
      </c>
      <c r="H176" s="7">
        <f>IF($A176="","",COUNTIFS(บันทึก!$C$5:$C$1004,$A176,บันทึก!$J$5:$J$1004,"Done"))</f>
        <v/>
      </c>
      <c r="I176" s="7">
        <f>IF($A176="","",COUNTIFS(บันทึก!$C$5:$C$1004,$A176,บันทึก!$J$5:$J$1004,"Pending"))</f>
        <v/>
      </c>
      <c r="J176" s="7">
        <f>IF($A176="","",COUNTIFS(บันทึก!$C$5:$C$1004,$A176,บันทึก!$K$5:$K$1004,"Yes"))</f>
        <v/>
      </c>
      <c r="K176" s="9">
        <f>IF(OR($A176="",D176=0),"",H176/D176)</f>
        <v/>
      </c>
      <c r="L176" s="10">
        <f>IF(OR($A176="",D176=0),"",MAXIFS(บันทึก!$A$5:$A$1004,บันทึก!$C$5:$C$1004,$A176))</f>
        <v/>
      </c>
    </row>
    <row r="177">
      <c r="A177" s="7">
        <f>IF(สินค้า!B175="","",สินค้า!B175)</f>
        <v/>
      </c>
      <c r="B177" s="7">
        <f>IF($A177="","",สินค้า!A175)</f>
        <v/>
      </c>
      <c r="C177" s="7">
        <f>IF($A177="","",สินค้า!C175)</f>
        <v/>
      </c>
      <c r="D177" s="7">
        <f>IF($A177="","",COUNTIF(บันทึก!$C$5:$C$1004,$A177))</f>
        <v/>
      </c>
      <c r="E177" s="8">
        <f>IF($A177="","",SUMIFS(บันทึก!$G$5:$G$1004,บันทึก!$C$5:$C$1004,$A177))</f>
        <v/>
      </c>
      <c r="F177" s="8">
        <f>IF($A177="","",SUMIFS(บันทึก!$H$5:$H$1004,บันทึก!$C$5:$C$1004,$A177))</f>
        <v/>
      </c>
      <c r="G177" s="7">
        <f>IF($A177="","",สินค้า!D175)</f>
        <v/>
      </c>
      <c r="H177" s="7">
        <f>IF($A177="","",COUNTIFS(บันทึก!$C$5:$C$1004,$A177,บันทึก!$J$5:$J$1004,"Done"))</f>
        <v/>
      </c>
      <c r="I177" s="7">
        <f>IF($A177="","",COUNTIFS(บันทึก!$C$5:$C$1004,$A177,บันทึก!$J$5:$J$1004,"Pending"))</f>
        <v/>
      </c>
      <c r="J177" s="7">
        <f>IF($A177="","",COUNTIFS(บันทึก!$C$5:$C$1004,$A177,บันทึก!$K$5:$K$1004,"Yes"))</f>
        <v/>
      </c>
      <c r="K177" s="9">
        <f>IF(OR($A177="",D177=0),"",H177/D177)</f>
        <v/>
      </c>
      <c r="L177" s="10">
        <f>IF(OR($A177="",D177=0),"",MAXIFS(บันทึก!$A$5:$A$1004,บันทึก!$C$5:$C$1004,$A177))</f>
        <v/>
      </c>
    </row>
    <row r="178">
      <c r="A178" s="7">
        <f>IF(สินค้า!B176="","",สินค้า!B176)</f>
        <v/>
      </c>
      <c r="B178" s="7">
        <f>IF($A178="","",สินค้า!A176)</f>
        <v/>
      </c>
      <c r="C178" s="7">
        <f>IF($A178="","",สินค้า!C176)</f>
        <v/>
      </c>
      <c r="D178" s="7">
        <f>IF($A178="","",COUNTIF(บันทึก!$C$5:$C$1004,$A178))</f>
        <v/>
      </c>
      <c r="E178" s="8">
        <f>IF($A178="","",SUMIFS(บันทึก!$G$5:$G$1004,บันทึก!$C$5:$C$1004,$A178))</f>
        <v/>
      </c>
      <c r="F178" s="8">
        <f>IF($A178="","",SUMIFS(บันทึก!$H$5:$H$1004,บันทึก!$C$5:$C$1004,$A178))</f>
        <v/>
      </c>
      <c r="G178" s="7">
        <f>IF($A178="","",สินค้า!D176)</f>
        <v/>
      </c>
      <c r="H178" s="7">
        <f>IF($A178="","",COUNTIFS(บันทึก!$C$5:$C$1004,$A178,บันทึก!$J$5:$J$1004,"Done"))</f>
        <v/>
      </c>
      <c r="I178" s="7">
        <f>IF($A178="","",COUNTIFS(บันทึก!$C$5:$C$1004,$A178,บันทึก!$J$5:$J$1004,"Pending"))</f>
        <v/>
      </c>
      <c r="J178" s="7">
        <f>IF($A178="","",COUNTIFS(บันทึก!$C$5:$C$1004,$A178,บันทึก!$K$5:$K$1004,"Yes"))</f>
        <v/>
      </c>
      <c r="K178" s="9">
        <f>IF(OR($A178="",D178=0),"",H178/D178)</f>
        <v/>
      </c>
      <c r="L178" s="10">
        <f>IF(OR($A178="",D178=0),"",MAXIFS(บันทึก!$A$5:$A$1004,บันทึก!$C$5:$C$1004,$A178))</f>
        <v/>
      </c>
    </row>
    <row r="179">
      <c r="A179" s="7">
        <f>IF(สินค้า!B177="","",สินค้า!B177)</f>
        <v/>
      </c>
      <c r="B179" s="7">
        <f>IF($A179="","",สินค้า!A177)</f>
        <v/>
      </c>
      <c r="C179" s="7">
        <f>IF($A179="","",สินค้า!C177)</f>
        <v/>
      </c>
      <c r="D179" s="7">
        <f>IF($A179="","",COUNTIF(บันทึก!$C$5:$C$1004,$A179))</f>
        <v/>
      </c>
      <c r="E179" s="8">
        <f>IF($A179="","",SUMIFS(บันทึก!$G$5:$G$1004,บันทึก!$C$5:$C$1004,$A179))</f>
        <v/>
      </c>
      <c r="F179" s="8">
        <f>IF($A179="","",SUMIFS(บันทึก!$H$5:$H$1004,บันทึก!$C$5:$C$1004,$A179))</f>
        <v/>
      </c>
      <c r="G179" s="7">
        <f>IF($A179="","",สินค้า!D177)</f>
        <v/>
      </c>
      <c r="H179" s="7">
        <f>IF($A179="","",COUNTIFS(บันทึก!$C$5:$C$1004,$A179,บันทึก!$J$5:$J$1004,"Done"))</f>
        <v/>
      </c>
      <c r="I179" s="7">
        <f>IF($A179="","",COUNTIFS(บันทึก!$C$5:$C$1004,$A179,บันทึก!$J$5:$J$1004,"Pending"))</f>
        <v/>
      </c>
      <c r="J179" s="7">
        <f>IF($A179="","",COUNTIFS(บันทึก!$C$5:$C$1004,$A179,บันทึก!$K$5:$K$1004,"Yes"))</f>
        <v/>
      </c>
      <c r="K179" s="9">
        <f>IF(OR($A179="",D179=0),"",H179/D179)</f>
        <v/>
      </c>
      <c r="L179" s="10">
        <f>IF(OR($A179="",D179=0),"",MAXIFS(บันทึก!$A$5:$A$1004,บันทึก!$C$5:$C$1004,$A179))</f>
        <v/>
      </c>
    </row>
    <row r="180">
      <c r="A180" s="7">
        <f>IF(สินค้า!B178="","",สินค้า!B178)</f>
        <v/>
      </c>
      <c r="B180" s="7">
        <f>IF($A180="","",สินค้า!A178)</f>
        <v/>
      </c>
      <c r="C180" s="7">
        <f>IF($A180="","",สินค้า!C178)</f>
        <v/>
      </c>
      <c r="D180" s="7">
        <f>IF($A180="","",COUNTIF(บันทึก!$C$5:$C$1004,$A180))</f>
        <v/>
      </c>
      <c r="E180" s="8">
        <f>IF($A180="","",SUMIFS(บันทึก!$G$5:$G$1004,บันทึก!$C$5:$C$1004,$A180))</f>
        <v/>
      </c>
      <c r="F180" s="8">
        <f>IF($A180="","",SUMIFS(บันทึก!$H$5:$H$1004,บันทึก!$C$5:$C$1004,$A180))</f>
        <v/>
      </c>
      <c r="G180" s="7">
        <f>IF($A180="","",สินค้า!D178)</f>
        <v/>
      </c>
      <c r="H180" s="7">
        <f>IF($A180="","",COUNTIFS(บันทึก!$C$5:$C$1004,$A180,บันทึก!$J$5:$J$1004,"Done"))</f>
        <v/>
      </c>
      <c r="I180" s="7">
        <f>IF($A180="","",COUNTIFS(บันทึก!$C$5:$C$1004,$A180,บันทึก!$J$5:$J$1004,"Pending"))</f>
        <v/>
      </c>
      <c r="J180" s="7">
        <f>IF($A180="","",COUNTIFS(บันทึก!$C$5:$C$1004,$A180,บันทึก!$K$5:$K$1004,"Yes"))</f>
        <v/>
      </c>
      <c r="K180" s="9">
        <f>IF(OR($A180="",D180=0),"",H180/D180)</f>
        <v/>
      </c>
      <c r="L180" s="10">
        <f>IF(OR($A180="",D180=0),"",MAXIFS(บันทึก!$A$5:$A$1004,บันทึก!$C$5:$C$1004,$A180))</f>
        <v/>
      </c>
    </row>
    <row r="181">
      <c r="A181" s="7">
        <f>IF(สินค้า!B179="","",สินค้า!B179)</f>
        <v/>
      </c>
      <c r="B181" s="7">
        <f>IF($A181="","",สินค้า!A179)</f>
        <v/>
      </c>
      <c r="C181" s="7">
        <f>IF($A181="","",สินค้า!C179)</f>
        <v/>
      </c>
      <c r="D181" s="7">
        <f>IF($A181="","",COUNTIF(บันทึก!$C$5:$C$1004,$A181))</f>
        <v/>
      </c>
      <c r="E181" s="8">
        <f>IF($A181="","",SUMIFS(บันทึก!$G$5:$G$1004,บันทึก!$C$5:$C$1004,$A181))</f>
        <v/>
      </c>
      <c r="F181" s="8">
        <f>IF($A181="","",SUMIFS(บันทึก!$H$5:$H$1004,บันทึก!$C$5:$C$1004,$A181))</f>
        <v/>
      </c>
      <c r="G181" s="7">
        <f>IF($A181="","",สินค้า!D179)</f>
        <v/>
      </c>
      <c r="H181" s="7">
        <f>IF($A181="","",COUNTIFS(บันทึก!$C$5:$C$1004,$A181,บันทึก!$J$5:$J$1004,"Done"))</f>
        <v/>
      </c>
      <c r="I181" s="7">
        <f>IF($A181="","",COUNTIFS(บันทึก!$C$5:$C$1004,$A181,บันทึก!$J$5:$J$1004,"Pending"))</f>
        <v/>
      </c>
      <c r="J181" s="7">
        <f>IF($A181="","",COUNTIFS(บันทึก!$C$5:$C$1004,$A181,บันทึก!$K$5:$K$1004,"Yes"))</f>
        <v/>
      </c>
      <c r="K181" s="9">
        <f>IF(OR($A181="",D181=0),"",H181/D181)</f>
        <v/>
      </c>
      <c r="L181" s="10">
        <f>IF(OR($A181="",D181=0),"",MAXIFS(บันทึก!$A$5:$A$1004,บันทึก!$C$5:$C$1004,$A181))</f>
        <v/>
      </c>
    </row>
    <row r="182">
      <c r="A182" s="7">
        <f>IF(สินค้า!B180="","",สินค้า!B180)</f>
        <v/>
      </c>
      <c r="B182" s="7">
        <f>IF($A182="","",สินค้า!A180)</f>
        <v/>
      </c>
      <c r="C182" s="7">
        <f>IF($A182="","",สินค้า!C180)</f>
        <v/>
      </c>
      <c r="D182" s="7">
        <f>IF($A182="","",COUNTIF(บันทึก!$C$5:$C$1004,$A182))</f>
        <v/>
      </c>
      <c r="E182" s="8">
        <f>IF($A182="","",SUMIFS(บันทึก!$G$5:$G$1004,บันทึก!$C$5:$C$1004,$A182))</f>
        <v/>
      </c>
      <c r="F182" s="8">
        <f>IF($A182="","",SUMIFS(บันทึก!$H$5:$H$1004,บันทึก!$C$5:$C$1004,$A182))</f>
        <v/>
      </c>
      <c r="G182" s="7">
        <f>IF($A182="","",สินค้า!D180)</f>
        <v/>
      </c>
      <c r="H182" s="7">
        <f>IF($A182="","",COUNTIFS(บันทึก!$C$5:$C$1004,$A182,บันทึก!$J$5:$J$1004,"Done"))</f>
        <v/>
      </c>
      <c r="I182" s="7">
        <f>IF($A182="","",COUNTIFS(บันทึก!$C$5:$C$1004,$A182,บันทึก!$J$5:$J$1004,"Pending"))</f>
        <v/>
      </c>
      <c r="J182" s="7">
        <f>IF($A182="","",COUNTIFS(บันทึก!$C$5:$C$1004,$A182,บันทึก!$K$5:$K$1004,"Yes"))</f>
        <v/>
      </c>
      <c r="K182" s="9">
        <f>IF(OR($A182="",D182=0),"",H182/D182)</f>
        <v/>
      </c>
      <c r="L182" s="10">
        <f>IF(OR($A182="",D182=0),"",MAXIFS(บันทึก!$A$5:$A$1004,บันทึก!$C$5:$C$1004,$A182))</f>
        <v/>
      </c>
    </row>
    <row r="183">
      <c r="A183" s="7">
        <f>IF(สินค้า!B181="","",สินค้า!B181)</f>
        <v/>
      </c>
      <c r="B183" s="7">
        <f>IF($A183="","",สินค้า!A181)</f>
        <v/>
      </c>
      <c r="C183" s="7">
        <f>IF($A183="","",สินค้า!C181)</f>
        <v/>
      </c>
      <c r="D183" s="7">
        <f>IF($A183="","",COUNTIF(บันทึก!$C$5:$C$1004,$A183))</f>
        <v/>
      </c>
      <c r="E183" s="8">
        <f>IF($A183="","",SUMIFS(บันทึก!$G$5:$G$1004,บันทึก!$C$5:$C$1004,$A183))</f>
        <v/>
      </c>
      <c r="F183" s="8">
        <f>IF($A183="","",SUMIFS(บันทึก!$H$5:$H$1004,บันทึก!$C$5:$C$1004,$A183))</f>
        <v/>
      </c>
      <c r="G183" s="7">
        <f>IF($A183="","",สินค้า!D181)</f>
        <v/>
      </c>
      <c r="H183" s="7">
        <f>IF($A183="","",COUNTIFS(บันทึก!$C$5:$C$1004,$A183,บันทึก!$J$5:$J$1004,"Done"))</f>
        <v/>
      </c>
      <c r="I183" s="7">
        <f>IF($A183="","",COUNTIFS(บันทึก!$C$5:$C$1004,$A183,บันทึก!$J$5:$J$1004,"Pending"))</f>
        <v/>
      </c>
      <c r="J183" s="7">
        <f>IF($A183="","",COUNTIFS(บันทึก!$C$5:$C$1004,$A183,บันทึก!$K$5:$K$1004,"Yes"))</f>
        <v/>
      </c>
      <c r="K183" s="9">
        <f>IF(OR($A183="",D183=0),"",H183/D183)</f>
        <v/>
      </c>
      <c r="L183" s="10">
        <f>IF(OR($A183="",D183=0),"",MAXIFS(บันทึก!$A$5:$A$1004,บันทึก!$C$5:$C$1004,$A183))</f>
        <v/>
      </c>
    </row>
    <row r="184">
      <c r="A184" s="7">
        <f>IF(สินค้า!B182="","",สินค้า!B182)</f>
        <v/>
      </c>
      <c r="B184" s="7">
        <f>IF($A184="","",สินค้า!A182)</f>
        <v/>
      </c>
      <c r="C184" s="7">
        <f>IF($A184="","",สินค้า!C182)</f>
        <v/>
      </c>
      <c r="D184" s="7">
        <f>IF($A184="","",COUNTIF(บันทึก!$C$5:$C$1004,$A184))</f>
        <v/>
      </c>
      <c r="E184" s="8">
        <f>IF($A184="","",SUMIFS(บันทึก!$G$5:$G$1004,บันทึก!$C$5:$C$1004,$A184))</f>
        <v/>
      </c>
      <c r="F184" s="8">
        <f>IF($A184="","",SUMIFS(บันทึก!$H$5:$H$1004,บันทึก!$C$5:$C$1004,$A184))</f>
        <v/>
      </c>
      <c r="G184" s="7">
        <f>IF($A184="","",สินค้า!D182)</f>
        <v/>
      </c>
      <c r="H184" s="7">
        <f>IF($A184="","",COUNTIFS(บันทึก!$C$5:$C$1004,$A184,บันทึก!$J$5:$J$1004,"Done"))</f>
        <v/>
      </c>
      <c r="I184" s="7">
        <f>IF($A184="","",COUNTIFS(บันทึก!$C$5:$C$1004,$A184,บันทึก!$J$5:$J$1004,"Pending"))</f>
        <v/>
      </c>
      <c r="J184" s="7">
        <f>IF($A184="","",COUNTIFS(บันทึก!$C$5:$C$1004,$A184,บันทึก!$K$5:$K$1004,"Yes"))</f>
        <v/>
      </c>
      <c r="K184" s="9">
        <f>IF(OR($A184="",D184=0),"",H184/D184)</f>
        <v/>
      </c>
      <c r="L184" s="10">
        <f>IF(OR($A184="",D184=0),"",MAXIFS(บันทึก!$A$5:$A$1004,บันทึก!$C$5:$C$1004,$A184))</f>
        <v/>
      </c>
    </row>
    <row r="185">
      <c r="A185" s="7">
        <f>IF(สินค้า!B183="","",สินค้า!B183)</f>
        <v/>
      </c>
      <c r="B185" s="7">
        <f>IF($A185="","",สินค้า!A183)</f>
        <v/>
      </c>
      <c r="C185" s="7">
        <f>IF($A185="","",สินค้า!C183)</f>
        <v/>
      </c>
      <c r="D185" s="7">
        <f>IF($A185="","",COUNTIF(บันทึก!$C$5:$C$1004,$A185))</f>
        <v/>
      </c>
      <c r="E185" s="8">
        <f>IF($A185="","",SUMIFS(บันทึก!$G$5:$G$1004,บันทึก!$C$5:$C$1004,$A185))</f>
        <v/>
      </c>
      <c r="F185" s="8">
        <f>IF($A185="","",SUMIFS(บันทึก!$H$5:$H$1004,บันทึก!$C$5:$C$1004,$A185))</f>
        <v/>
      </c>
      <c r="G185" s="7">
        <f>IF($A185="","",สินค้า!D183)</f>
        <v/>
      </c>
      <c r="H185" s="7">
        <f>IF($A185="","",COUNTIFS(บันทึก!$C$5:$C$1004,$A185,บันทึก!$J$5:$J$1004,"Done"))</f>
        <v/>
      </c>
      <c r="I185" s="7">
        <f>IF($A185="","",COUNTIFS(บันทึก!$C$5:$C$1004,$A185,บันทึก!$J$5:$J$1004,"Pending"))</f>
        <v/>
      </c>
      <c r="J185" s="7">
        <f>IF($A185="","",COUNTIFS(บันทึก!$C$5:$C$1004,$A185,บันทึก!$K$5:$K$1004,"Yes"))</f>
        <v/>
      </c>
      <c r="K185" s="9">
        <f>IF(OR($A185="",D185=0),"",H185/D185)</f>
        <v/>
      </c>
      <c r="L185" s="10">
        <f>IF(OR($A185="",D185=0),"",MAXIFS(บันทึก!$A$5:$A$1004,บันทึก!$C$5:$C$1004,$A185))</f>
        <v/>
      </c>
    </row>
    <row r="186">
      <c r="A186" s="7">
        <f>IF(สินค้า!B184="","",สินค้า!B184)</f>
        <v/>
      </c>
      <c r="B186" s="7">
        <f>IF($A186="","",สินค้า!A184)</f>
        <v/>
      </c>
      <c r="C186" s="7">
        <f>IF($A186="","",สินค้า!C184)</f>
        <v/>
      </c>
      <c r="D186" s="7">
        <f>IF($A186="","",COUNTIF(บันทึก!$C$5:$C$1004,$A186))</f>
        <v/>
      </c>
      <c r="E186" s="8">
        <f>IF($A186="","",SUMIFS(บันทึก!$G$5:$G$1004,บันทึก!$C$5:$C$1004,$A186))</f>
        <v/>
      </c>
      <c r="F186" s="8">
        <f>IF($A186="","",SUMIFS(บันทึก!$H$5:$H$1004,บันทึก!$C$5:$C$1004,$A186))</f>
        <v/>
      </c>
      <c r="G186" s="7">
        <f>IF($A186="","",สินค้า!D184)</f>
        <v/>
      </c>
      <c r="H186" s="7">
        <f>IF($A186="","",COUNTIFS(บันทึก!$C$5:$C$1004,$A186,บันทึก!$J$5:$J$1004,"Done"))</f>
        <v/>
      </c>
      <c r="I186" s="7">
        <f>IF($A186="","",COUNTIFS(บันทึก!$C$5:$C$1004,$A186,บันทึก!$J$5:$J$1004,"Pending"))</f>
        <v/>
      </c>
      <c r="J186" s="7">
        <f>IF($A186="","",COUNTIFS(บันทึก!$C$5:$C$1004,$A186,บันทึก!$K$5:$K$1004,"Yes"))</f>
        <v/>
      </c>
      <c r="K186" s="9">
        <f>IF(OR($A186="",D186=0),"",H186/D186)</f>
        <v/>
      </c>
      <c r="L186" s="10">
        <f>IF(OR($A186="",D186=0),"",MAXIFS(บันทึก!$A$5:$A$1004,บันทึก!$C$5:$C$1004,$A186))</f>
        <v/>
      </c>
    </row>
    <row r="187">
      <c r="A187" s="7">
        <f>IF(สินค้า!B185="","",สินค้า!B185)</f>
        <v/>
      </c>
      <c r="B187" s="7">
        <f>IF($A187="","",สินค้า!A185)</f>
        <v/>
      </c>
      <c r="C187" s="7">
        <f>IF($A187="","",สินค้า!C185)</f>
        <v/>
      </c>
      <c r="D187" s="7">
        <f>IF($A187="","",COUNTIF(บันทึก!$C$5:$C$1004,$A187))</f>
        <v/>
      </c>
      <c r="E187" s="8">
        <f>IF($A187="","",SUMIFS(บันทึก!$G$5:$G$1004,บันทึก!$C$5:$C$1004,$A187))</f>
        <v/>
      </c>
      <c r="F187" s="8">
        <f>IF($A187="","",SUMIFS(บันทึก!$H$5:$H$1004,บันทึก!$C$5:$C$1004,$A187))</f>
        <v/>
      </c>
      <c r="G187" s="7">
        <f>IF($A187="","",สินค้า!D185)</f>
        <v/>
      </c>
      <c r="H187" s="7">
        <f>IF($A187="","",COUNTIFS(บันทึก!$C$5:$C$1004,$A187,บันทึก!$J$5:$J$1004,"Done"))</f>
        <v/>
      </c>
      <c r="I187" s="7">
        <f>IF($A187="","",COUNTIFS(บันทึก!$C$5:$C$1004,$A187,บันทึก!$J$5:$J$1004,"Pending"))</f>
        <v/>
      </c>
      <c r="J187" s="7">
        <f>IF($A187="","",COUNTIFS(บันทึก!$C$5:$C$1004,$A187,บันทึก!$K$5:$K$1004,"Yes"))</f>
        <v/>
      </c>
      <c r="K187" s="9">
        <f>IF(OR($A187="",D187=0),"",H187/D187)</f>
        <v/>
      </c>
      <c r="L187" s="10">
        <f>IF(OR($A187="",D187=0),"",MAXIFS(บันทึก!$A$5:$A$1004,บันทึก!$C$5:$C$1004,$A187))</f>
        <v/>
      </c>
    </row>
    <row r="188">
      <c r="A188" s="7">
        <f>IF(สินค้า!B186="","",สินค้า!B186)</f>
        <v/>
      </c>
      <c r="B188" s="7">
        <f>IF($A188="","",สินค้า!A186)</f>
        <v/>
      </c>
      <c r="C188" s="7">
        <f>IF($A188="","",สินค้า!C186)</f>
        <v/>
      </c>
      <c r="D188" s="7">
        <f>IF($A188="","",COUNTIF(บันทึก!$C$5:$C$1004,$A188))</f>
        <v/>
      </c>
      <c r="E188" s="8">
        <f>IF($A188="","",SUMIFS(บันทึก!$G$5:$G$1004,บันทึก!$C$5:$C$1004,$A188))</f>
        <v/>
      </c>
      <c r="F188" s="8">
        <f>IF($A188="","",SUMIFS(บันทึก!$H$5:$H$1004,บันทึก!$C$5:$C$1004,$A188))</f>
        <v/>
      </c>
      <c r="G188" s="7">
        <f>IF($A188="","",สินค้า!D186)</f>
        <v/>
      </c>
      <c r="H188" s="7">
        <f>IF($A188="","",COUNTIFS(บันทึก!$C$5:$C$1004,$A188,บันทึก!$J$5:$J$1004,"Done"))</f>
        <v/>
      </c>
      <c r="I188" s="7">
        <f>IF($A188="","",COUNTIFS(บันทึก!$C$5:$C$1004,$A188,บันทึก!$J$5:$J$1004,"Pending"))</f>
        <v/>
      </c>
      <c r="J188" s="7">
        <f>IF($A188="","",COUNTIFS(บันทึก!$C$5:$C$1004,$A188,บันทึก!$K$5:$K$1004,"Yes"))</f>
        <v/>
      </c>
      <c r="K188" s="9">
        <f>IF(OR($A188="",D188=0),"",H188/D188)</f>
        <v/>
      </c>
      <c r="L188" s="10">
        <f>IF(OR($A188="",D188=0),"",MAXIFS(บันทึก!$A$5:$A$1004,บันทึก!$C$5:$C$1004,$A188))</f>
        <v/>
      </c>
    </row>
    <row r="189">
      <c r="A189" s="7">
        <f>IF(สินค้า!B187="","",สินค้า!B187)</f>
        <v/>
      </c>
      <c r="B189" s="7">
        <f>IF($A189="","",สินค้า!A187)</f>
        <v/>
      </c>
      <c r="C189" s="7">
        <f>IF($A189="","",สินค้า!C187)</f>
        <v/>
      </c>
      <c r="D189" s="7">
        <f>IF($A189="","",COUNTIF(บันทึก!$C$5:$C$1004,$A189))</f>
        <v/>
      </c>
      <c r="E189" s="8">
        <f>IF($A189="","",SUMIFS(บันทึก!$G$5:$G$1004,บันทึก!$C$5:$C$1004,$A189))</f>
        <v/>
      </c>
      <c r="F189" s="8">
        <f>IF($A189="","",SUMIFS(บันทึก!$H$5:$H$1004,บันทึก!$C$5:$C$1004,$A189))</f>
        <v/>
      </c>
      <c r="G189" s="7">
        <f>IF($A189="","",สินค้า!D187)</f>
        <v/>
      </c>
      <c r="H189" s="7">
        <f>IF($A189="","",COUNTIFS(บันทึก!$C$5:$C$1004,$A189,บันทึก!$J$5:$J$1004,"Done"))</f>
        <v/>
      </c>
      <c r="I189" s="7">
        <f>IF($A189="","",COUNTIFS(บันทึก!$C$5:$C$1004,$A189,บันทึก!$J$5:$J$1004,"Pending"))</f>
        <v/>
      </c>
      <c r="J189" s="7">
        <f>IF($A189="","",COUNTIFS(บันทึก!$C$5:$C$1004,$A189,บันทึก!$K$5:$K$1004,"Yes"))</f>
        <v/>
      </c>
      <c r="K189" s="9">
        <f>IF(OR($A189="",D189=0),"",H189/D189)</f>
        <v/>
      </c>
      <c r="L189" s="10">
        <f>IF(OR($A189="",D189=0),"",MAXIFS(บันทึก!$A$5:$A$1004,บันทึก!$C$5:$C$1004,$A189))</f>
        <v/>
      </c>
    </row>
    <row r="190">
      <c r="A190" s="7">
        <f>IF(สินค้า!B188="","",สินค้า!B188)</f>
        <v/>
      </c>
      <c r="B190" s="7">
        <f>IF($A190="","",สินค้า!A188)</f>
        <v/>
      </c>
      <c r="C190" s="7">
        <f>IF($A190="","",สินค้า!C188)</f>
        <v/>
      </c>
      <c r="D190" s="7">
        <f>IF($A190="","",COUNTIF(บันทึก!$C$5:$C$1004,$A190))</f>
        <v/>
      </c>
      <c r="E190" s="8">
        <f>IF($A190="","",SUMIFS(บันทึก!$G$5:$G$1004,บันทึก!$C$5:$C$1004,$A190))</f>
        <v/>
      </c>
      <c r="F190" s="8">
        <f>IF($A190="","",SUMIFS(บันทึก!$H$5:$H$1004,บันทึก!$C$5:$C$1004,$A190))</f>
        <v/>
      </c>
      <c r="G190" s="7">
        <f>IF($A190="","",สินค้า!D188)</f>
        <v/>
      </c>
      <c r="H190" s="7">
        <f>IF($A190="","",COUNTIFS(บันทึก!$C$5:$C$1004,$A190,บันทึก!$J$5:$J$1004,"Done"))</f>
        <v/>
      </c>
      <c r="I190" s="7">
        <f>IF($A190="","",COUNTIFS(บันทึก!$C$5:$C$1004,$A190,บันทึก!$J$5:$J$1004,"Pending"))</f>
        <v/>
      </c>
      <c r="J190" s="7">
        <f>IF($A190="","",COUNTIFS(บันทึก!$C$5:$C$1004,$A190,บันทึก!$K$5:$K$1004,"Yes"))</f>
        <v/>
      </c>
      <c r="K190" s="9">
        <f>IF(OR($A190="",D190=0),"",H190/D190)</f>
        <v/>
      </c>
      <c r="L190" s="10">
        <f>IF(OR($A190="",D190=0),"",MAXIFS(บันทึก!$A$5:$A$1004,บันทึก!$C$5:$C$1004,$A190))</f>
        <v/>
      </c>
    </row>
    <row r="191">
      <c r="A191" s="7">
        <f>IF(สินค้า!B189="","",สินค้า!B189)</f>
        <v/>
      </c>
      <c r="B191" s="7">
        <f>IF($A191="","",สินค้า!A189)</f>
        <v/>
      </c>
      <c r="C191" s="7">
        <f>IF($A191="","",สินค้า!C189)</f>
        <v/>
      </c>
      <c r="D191" s="7">
        <f>IF($A191="","",COUNTIF(บันทึก!$C$5:$C$1004,$A191))</f>
        <v/>
      </c>
      <c r="E191" s="8">
        <f>IF($A191="","",SUMIFS(บันทึก!$G$5:$G$1004,บันทึก!$C$5:$C$1004,$A191))</f>
        <v/>
      </c>
      <c r="F191" s="8">
        <f>IF($A191="","",SUMIFS(บันทึก!$H$5:$H$1004,บันทึก!$C$5:$C$1004,$A191))</f>
        <v/>
      </c>
      <c r="G191" s="7">
        <f>IF($A191="","",สินค้า!D189)</f>
        <v/>
      </c>
      <c r="H191" s="7">
        <f>IF($A191="","",COUNTIFS(บันทึก!$C$5:$C$1004,$A191,บันทึก!$J$5:$J$1004,"Done"))</f>
        <v/>
      </c>
      <c r="I191" s="7">
        <f>IF($A191="","",COUNTIFS(บันทึก!$C$5:$C$1004,$A191,บันทึก!$J$5:$J$1004,"Pending"))</f>
        <v/>
      </c>
      <c r="J191" s="7">
        <f>IF($A191="","",COUNTIFS(บันทึก!$C$5:$C$1004,$A191,บันทึก!$K$5:$K$1004,"Yes"))</f>
        <v/>
      </c>
      <c r="K191" s="9">
        <f>IF(OR($A191="",D191=0),"",H191/D191)</f>
        <v/>
      </c>
      <c r="L191" s="10">
        <f>IF(OR($A191="",D191=0),"",MAXIFS(บันทึก!$A$5:$A$1004,บันทึก!$C$5:$C$1004,$A191))</f>
        <v/>
      </c>
    </row>
    <row r="192">
      <c r="A192" s="7">
        <f>IF(สินค้า!B190="","",สินค้า!B190)</f>
        <v/>
      </c>
      <c r="B192" s="7">
        <f>IF($A192="","",สินค้า!A190)</f>
        <v/>
      </c>
      <c r="C192" s="7">
        <f>IF($A192="","",สินค้า!C190)</f>
        <v/>
      </c>
      <c r="D192" s="7">
        <f>IF($A192="","",COUNTIF(บันทึก!$C$5:$C$1004,$A192))</f>
        <v/>
      </c>
      <c r="E192" s="8">
        <f>IF($A192="","",SUMIFS(บันทึก!$G$5:$G$1004,บันทึก!$C$5:$C$1004,$A192))</f>
        <v/>
      </c>
      <c r="F192" s="8">
        <f>IF($A192="","",SUMIFS(บันทึก!$H$5:$H$1004,บันทึก!$C$5:$C$1004,$A192))</f>
        <v/>
      </c>
      <c r="G192" s="7">
        <f>IF($A192="","",สินค้า!D190)</f>
        <v/>
      </c>
      <c r="H192" s="7">
        <f>IF($A192="","",COUNTIFS(บันทึก!$C$5:$C$1004,$A192,บันทึก!$J$5:$J$1004,"Done"))</f>
        <v/>
      </c>
      <c r="I192" s="7">
        <f>IF($A192="","",COUNTIFS(บันทึก!$C$5:$C$1004,$A192,บันทึก!$J$5:$J$1004,"Pending"))</f>
        <v/>
      </c>
      <c r="J192" s="7">
        <f>IF($A192="","",COUNTIFS(บันทึก!$C$5:$C$1004,$A192,บันทึก!$K$5:$K$1004,"Yes"))</f>
        <v/>
      </c>
      <c r="K192" s="9">
        <f>IF(OR($A192="",D192=0),"",H192/D192)</f>
        <v/>
      </c>
      <c r="L192" s="10">
        <f>IF(OR($A192="",D192=0),"",MAXIFS(บันทึก!$A$5:$A$1004,บันทึก!$C$5:$C$1004,$A192))</f>
        <v/>
      </c>
    </row>
    <row r="193">
      <c r="A193" s="7">
        <f>IF(สินค้า!B191="","",สินค้า!B191)</f>
        <v/>
      </c>
      <c r="B193" s="7">
        <f>IF($A193="","",สินค้า!A191)</f>
        <v/>
      </c>
      <c r="C193" s="7">
        <f>IF($A193="","",สินค้า!C191)</f>
        <v/>
      </c>
      <c r="D193" s="7">
        <f>IF($A193="","",COUNTIF(บันทึก!$C$5:$C$1004,$A193))</f>
        <v/>
      </c>
      <c r="E193" s="8">
        <f>IF($A193="","",SUMIFS(บันทึก!$G$5:$G$1004,บันทึก!$C$5:$C$1004,$A193))</f>
        <v/>
      </c>
      <c r="F193" s="8">
        <f>IF($A193="","",SUMIFS(บันทึก!$H$5:$H$1004,บันทึก!$C$5:$C$1004,$A193))</f>
        <v/>
      </c>
      <c r="G193" s="7">
        <f>IF($A193="","",สินค้า!D191)</f>
        <v/>
      </c>
      <c r="H193" s="7">
        <f>IF($A193="","",COUNTIFS(บันทึก!$C$5:$C$1004,$A193,บันทึก!$J$5:$J$1004,"Done"))</f>
        <v/>
      </c>
      <c r="I193" s="7">
        <f>IF($A193="","",COUNTIFS(บันทึก!$C$5:$C$1004,$A193,บันทึก!$J$5:$J$1004,"Pending"))</f>
        <v/>
      </c>
      <c r="J193" s="7">
        <f>IF($A193="","",COUNTIFS(บันทึก!$C$5:$C$1004,$A193,บันทึก!$K$5:$K$1004,"Yes"))</f>
        <v/>
      </c>
      <c r="K193" s="9">
        <f>IF(OR($A193="",D193=0),"",H193/D193)</f>
        <v/>
      </c>
      <c r="L193" s="10">
        <f>IF(OR($A193="",D193=0),"",MAXIFS(บันทึก!$A$5:$A$1004,บันทึก!$C$5:$C$1004,$A193))</f>
        <v/>
      </c>
    </row>
    <row r="194">
      <c r="A194" s="7">
        <f>IF(สินค้า!B192="","",สินค้า!B192)</f>
        <v/>
      </c>
      <c r="B194" s="7">
        <f>IF($A194="","",สินค้า!A192)</f>
        <v/>
      </c>
      <c r="C194" s="7">
        <f>IF($A194="","",สินค้า!C192)</f>
        <v/>
      </c>
      <c r="D194" s="7">
        <f>IF($A194="","",COUNTIF(บันทึก!$C$5:$C$1004,$A194))</f>
        <v/>
      </c>
      <c r="E194" s="8">
        <f>IF($A194="","",SUMIFS(บันทึก!$G$5:$G$1004,บันทึก!$C$5:$C$1004,$A194))</f>
        <v/>
      </c>
      <c r="F194" s="8">
        <f>IF($A194="","",SUMIFS(บันทึก!$H$5:$H$1004,บันทึก!$C$5:$C$1004,$A194))</f>
        <v/>
      </c>
      <c r="G194" s="7">
        <f>IF($A194="","",สินค้า!D192)</f>
        <v/>
      </c>
      <c r="H194" s="7">
        <f>IF($A194="","",COUNTIFS(บันทึก!$C$5:$C$1004,$A194,บันทึก!$J$5:$J$1004,"Done"))</f>
        <v/>
      </c>
      <c r="I194" s="7">
        <f>IF($A194="","",COUNTIFS(บันทึก!$C$5:$C$1004,$A194,บันทึก!$J$5:$J$1004,"Pending"))</f>
        <v/>
      </c>
      <c r="J194" s="7">
        <f>IF($A194="","",COUNTIFS(บันทึก!$C$5:$C$1004,$A194,บันทึก!$K$5:$K$1004,"Yes"))</f>
        <v/>
      </c>
      <c r="K194" s="9">
        <f>IF(OR($A194="",D194=0),"",H194/D194)</f>
        <v/>
      </c>
      <c r="L194" s="10">
        <f>IF(OR($A194="",D194=0),"",MAXIFS(บันทึก!$A$5:$A$1004,บันทึก!$C$5:$C$1004,$A194))</f>
        <v/>
      </c>
    </row>
    <row r="195">
      <c r="A195" s="7">
        <f>IF(สินค้า!B193="","",สินค้า!B193)</f>
        <v/>
      </c>
      <c r="B195" s="7">
        <f>IF($A195="","",สินค้า!A193)</f>
        <v/>
      </c>
      <c r="C195" s="7">
        <f>IF($A195="","",สินค้า!C193)</f>
        <v/>
      </c>
      <c r="D195" s="7">
        <f>IF($A195="","",COUNTIF(บันทึก!$C$5:$C$1004,$A195))</f>
        <v/>
      </c>
      <c r="E195" s="8">
        <f>IF($A195="","",SUMIFS(บันทึก!$G$5:$G$1004,บันทึก!$C$5:$C$1004,$A195))</f>
        <v/>
      </c>
      <c r="F195" s="8">
        <f>IF($A195="","",SUMIFS(บันทึก!$H$5:$H$1004,บันทึก!$C$5:$C$1004,$A195))</f>
        <v/>
      </c>
      <c r="G195" s="7">
        <f>IF($A195="","",สินค้า!D193)</f>
        <v/>
      </c>
      <c r="H195" s="7">
        <f>IF($A195="","",COUNTIFS(บันทึก!$C$5:$C$1004,$A195,บันทึก!$J$5:$J$1004,"Done"))</f>
        <v/>
      </c>
      <c r="I195" s="7">
        <f>IF($A195="","",COUNTIFS(บันทึก!$C$5:$C$1004,$A195,บันทึก!$J$5:$J$1004,"Pending"))</f>
        <v/>
      </c>
      <c r="J195" s="7">
        <f>IF($A195="","",COUNTIFS(บันทึก!$C$5:$C$1004,$A195,บันทึก!$K$5:$K$1004,"Yes"))</f>
        <v/>
      </c>
      <c r="K195" s="9">
        <f>IF(OR($A195="",D195=0),"",H195/D195)</f>
        <v/>
      </c>
      <c r="L195" s="10">
        <f>IF(OR($A195="",D195=0),"",MAXIFS(บันทึก!$A$5:$A$1004,บันทึก!$C$5:$C$1004,$A195))</f>
        <v/>
      </c>
    </row>
    <row r="196">
      <c r="A196" s="7">
        <f>IF(สินค้า!B194="","",สินค้า!B194)</f>
        <v/>
      </c>
      <c r="B196" s="7">
        <f>IF($A196="","",สินค้า!A194)</f>
        <v/>
      </c>
      <c r="C196" s="7">
        <f>IF($A196="","",สินค้า!C194)</f>
        <v/>
      </c>
      <c r="D196" s="7">
        <f>IF($A196="","",COUNTIF(บันทึก!$C$5:$C$1004,$A196))</f>
        <v/>
      </c>
      <c r="E196" s="8">
        <f>IF($A196="","",SUMIFS(บันทึก!$G$5:$G$1004,บันทึก!$C$5:$C$1004,$A196))</f>
        <v/>
      </c>
      <c r="F196" s="8">
        <f>IF($A196="","",SUMIFS(บันทึก!$H$5:$H$1004,บันทึก!$C$5:$C$1004,$A196))</f>
        <v/>
      </c>
      <c r="G196" s="7">
        <f>IF($A196="","",สินค้า!D194)</f>
        <v/>
      </c>
      <c r="H196" s="7">
        <f>IF($A196="","",COUNTIFS(บันทึก!$C$5:$C$1004,$A196,บันทึก!$J$5:$J$1004,"Done"))</f>
        <v/>
      </c>
      <c r="I196" s="7">
        <f>IF($A196="","",COUNTIFS(บันทึก!$C$5:$C$1004,$A196,บันทึก!$J$5:$J$1004,"Pending"))</f>
        <v/>
      </c>
      <c r="J196" s="7">
        <f>IF($A196="","",COUNTIFS(บันทึก!$C$5:$C$1004,$A196,บันทึก!$K$5:$K$1004,"Yes"))</f>
        <v/>
      </c>
      <c r="K196" s="9">
        <f>IF(OR($A196="",D196=0),"",H196/D196)</f>
        <v/>
      </c>
      <c r="L196" s="10">
        <f>IF(OR($A196="",D196=0),"",MAXIFS(บันทึก!$A$5:$A$1004,บันทึก!$C$5:$C$1004,$A196))</f>
        <v/>
      </c>
    </row>
    <row r="197">
      <c r="A197" s="7">
        <f>IF(สินค้า!B195="","",สินค้า!B195)</f>
        <v/>
      </c>
      <c r="B197" s="7">
        <f>IF($A197="","",สินค้า!A195)</f>
        <v/>
      </c>
      <c r="C197" s="7">
        <f>IF($A197="","",สินค้า!C195)</f>
        <v/>
      </c>
      <c r="D197" s="7">
        <f>IF($A197="","",COUNTIF(บันทึก!$C$5:$C$1004,$A197))</f>
        <v/>
      </c>
      <c r="E197" s="8">
        <f>IF($A197="","",SUMIFS(บันทึก!$G$5:$G$1004,บันทึก!$C$5:$C$1004,$A197))</f>
        <v/>
      </c>
      <c r="F197" s="8">
        <f>IF($A197="","",SUMIFS(บันทึก!$H$5:$H$1004,บันทึก!$C$5:$C$1004,$A197))</f>
        <v/>
      </c>
      <c r="G197" s="7">
        <f>IF($A197="","",สินค้า!D195)</f>
        <v/>
      </c>
      <c r="H197" s="7">
        <f>IF($A197="","",COUNTIFS(บันทึก!$C$5:$C$1004,$A197,บันทึก!$J$5:$J$1004,"Done"))</f>
        <v/>
      </c>
      <c r="I197" s="7">
        <f>IF($A197="","",COUNTIFS(บันทึก!$C$5:$C$1004,$A197,บันทึก!$J$5:$J$1004,"Pending"))</f>
        <v/>
      </c>
      <c r="J197" s="7">
        <f>IF($A197="","",COUNTIFS(บันทึก!$C$5:$C$1004,$A197,บันทึก!$K$5:$K$1004,"Yes"))</f>
        <v/>
      </c>
      <c r="K197" s="9">
        <f>IF(OR($A197="",D197=0),"",H197/D197)</f>
        <v/>
      </c>
      <c r="L197" s="10">
        <f>IF(OR($A197="",D197=0),"",MAXIFS(บันทึก!$A$5:$A$1004,บันทึก!$C$5:$C$1004,$A197))</f>
        <v/>
      </c>
    </row>
    <row r="198">
      <c r="A198" s="7">
        <f>IF(สินค้า!B196="","",สินค้า!B196)</f>
        <v/>
      </c>
      <c r="B198" s="7">
        <f>IF($A198="","",สินค้า!A196)</f>
        <v/>
      </c>
      <c r="C198" s="7">
        <f>IF($A198="","",สินค้า!C196)</f>
        <v/>
      </c>
      <c r="D198" s="7">
        <f>IF($A198="","",COUNTIF(บันทึก!$C$5:$C$1004,$A198))</f>
        <v/>
      </c>
      <c r="E198" s="8">
        <f>IF($A198="","",SUMIFS(บันทึก!$G$5:$G$1004,บันทึก!$C$5:$C$1004,$A198))</f>
        <v/>
      </c>
      <c r="F198" s="8">
        <f>IF($A198="","",SUMIFS(บันทึก!$H$5:$H$1004,บันทึก!$C$5:$C$1004,$A198))</f>
        <v/>
      </c>
      <c r="G198" s="7">
        <f>IF($A198="","",สินค้า!D196)</f>
        <v/>
      </c>
      <c r="H198" s="7">
        <f>IF($A198="","",COUNTIFS(บันทึก!$C$5:$C$1004,$A198,บันทึก!$J$5:$J$1004,"Done"))</f>
        <v/>
      </c>
      <c r="I198" s="7">
        <f>IF($A198="","",COUNTIFS(บันทึก!$C$5:$C$1004,$A198,บันทึก!$J$5:$J$1004,"Pending"))</f>
        <v/>
      </c>
      <c r="J198" s="7">
        <f>IF($A198="","",COUNTIFS(บันทึก!$C$5:$C$1004,$A198,บันทึก!$K$5:$K$1004,"Yes"))</f>
        <v/>
      </c>
      <c r="K198" s="9">
        <f>IF(OR($A198="",D198=0),"",H198/D198)</f>
        <v/>
      </c>
      <c r="L198" s="10">
        <f>IF(OR($A198="",D198=0),"",MAXIFS(บันทึก!$A$5:$A$1004,บันทึก!$C$5:$C$1004,$A198))</f>
        <v/>
      </c>
    </row>
    <row r="199">
      <c r="A199" s="7">
        <f>IF(สินค้า!B197="","",สินค้า!B197)</f>
        <v/>
      </c>
      <c r="B199" s="7">
        <f>IF($A199="","",สินค้า!A197)</f>
        <v/>
      </c>
      <c r="C199" s="7">
        <f>IF($A199="","",สินค้า!C197)</f>
        <v/>
      </c>
      <c r="D199" s="7">
        <f>IF($A199="","",COUNTIF(บันทึก!$C$5:$C$1004,$A199))</f>
        <v/>
      </c>
      <c r="E199" s="8">
        <f>IF($A199="","",SUMIFS(บันทึก!$G$5:$G$1004,บันทึก!$C$5:$C$1004,$A199))</f>
        <v/>
      </c>
      <c r="F199" s="8">
        <f>IF($A199="","",SUMIFS(บันทึก!$H$5:$H$1004,บันทึก!$C$5:$C$1004,$A199))</f>
        <v/>
      </c>
      <c r="G199" s="7">
        <f>IF($A199="","",สินค้า!D197)</f>
        <v/>
      </c>
      <c r="H199" s="7">
        <f>IF($A199="","",COUNTIFS(บันทึก!$C$5:$C$1004,$A199,บันทึก!$J$5:$J$1004,"Done"))</f>
        <v/>
      </c>
      <c r="I199" s="7">
        <f>IF($A199="","",COUNTIFS(บันทึก!$C$5:$C$1004,$A199,บันทึก!$J$5:$J$1004,"Pending"))</f>
        <v/>
      </c>
      <c r="J199" s="7">
        <f>IF($A199="","",COUNTIFS(บันทึก!$C$5:$C$1004,$A199,บันทึก!$K$5:$K$1004,"Yes"))</f>
        <v/>
      </c>
      <c r="K199" s="9">
        <f>IF(OR($A199="",D199=0),"",H199/D199)</f>
        <v/>
      </c>
      <c r="L199" s="10">
        <f>IF(OR($A199="",D199=0),"",MAXIFS(บันทึก!$A$5:$A$1004,บันทึก!$C$5:$C$1004,$A199))</f>
        <v/>
      </c>
    </row>
    <row r="200">
      <c r="A200" s="7">
        <f>IF(สินค้า!B198="","",สินค้า!B198)</f>
        <v/>
      </c>
      <c r="B200" s="7">
        <f>IF($A200="","",สินค้า!A198)</f>
        <v/>
      </c>
      <c r="C200" s="7">
        <f>IF($A200="","",สินค้า!C198)</f>
        <v/>
      </c>
      <c r="D200" s="7">
        <f>IF($A200="","",COUNTIF(บันทึก!$C$5:$C$1004,$A200))</f>
        <v/>
      </c>
      <c r="E200" s="8">
        <f>IF($A200="","",SUMIFS(บันทึก!$G$5:$G$1004,บันทึก!$C$5:$C$1004,$A200))</f>
        <v/>
      </c>
      <c r="F200" s="8">
        <f>IF($A200="","",SUMIFS(บันทึก!$H$5:$H$1004,บันทึก!$C$5:$C$1004,$A200))</f>
        <v/>
      </c>
      <c r="G200" s="7">
        <f>IF($A200="","",สินค้า!D198)</f>
        <v/>
      </c>
      <c r="H200" s="7">
        <f>IF($A200="","",COUNTIFS(บันทึก!$C$5:$C$1004,$A200,บันทึก!$J$5:$J$1004,"Done"))</f>
        <v/>
      </c>
      <c r="I200" s="7">
        <f>IF($A200="","",COUNTIFS(บันทึก!$C$5:$C$1004,$A200,บันทึก!$J$5:$J$1004,"Pending"))</f>
        <v/>
      </c>
      <c r="J200" s="7">
        <f>IF($A200="","",COUNTIFS(บันทึก!$C$5:$C$1004,$A200,บันทึก!$K$5:$K$1004,"Yes"))</f>
        <v/>
      </c>
      <c r="K200" s="9">
        <f>IF(OR($A200="",D200=0),"",H200/D200)</f>
        <v/>
      </c>
      <c r="L200" s="10">
        <f>IF(OR($A200="",D200=0),"",MAXIFS(บันทึก!$A$5:$A$1004,บันทึก!$C$5:$C$1004,$A200))</f>
        <v/>
      </c>
    </row>
    <row r="201">
      <c r="A201" s="7">
        <f>IF(สินค้า!B199="","",สินค้า!B199)</f>
        <v/>
      </c>
      <c r="B201" s="7">
        <f>IF($A201="","",สินค้า!A199)</f>
        <v/>
      </c>
      <c r="C201" s="7">
        <f>IF($A201="","",สินค้า!C199)</f>
        <v/>
      </c>
      <c r="D201" s="7">
        <f>IF($A201="","",COUNTIF(บันทึก!$C$5:$C$1004,$A201))</f>
        <v/>
      </c>
      <c r="E201" s="8">
        <f>IF($A201="","",SUMIFS(บันทึก!$G$5:$G$1004,บันทึก!$C$5:$C$1004,$A201))</f>
        <v/>
      </c>
      <c r="F201" s="8">
        <f>IF($A201="","",SUMIFS(บันทึก!$H$5:$H$1004,บันทึก!$C$5:$C$1004,$A201))</f>
        <v/>
      </c>
      <c r="G201" s="7">
        <f>IF($A201="","",สินค้า!D199)</f>
        <v/>
      </c>
      <c r="H201" s="7">
        <f>IF($A201="","",COUNTIFS(บันทึก!$C$5:$C$1004,$A201,บันทึก!$J$5:$J$1004,"Done"))</f>
        <v/>
      </c>
      <c r="I201" s="7">
        <f>IF($A201="","",COUNTIFS(บันทึก!$C$5:$C$1004,$A201,บันทึก!$J$5:$J$1004,"Pending"))</f>
        <v/>
      </c>
      <c r="J201" s="7">
        <f>IF($A201="","",COUNTIFS(บันทึก!$C$5:$C$1004,$A201,บันทึก!$K$5:$K$1004,"Yes"))</f>
        <v/>
      </c>
      <c r="K201" s="9">
        <f>IF(OR($A201="",D201=0),"",H201/D201)</f>
        <v/>
      </c>
      <c r="L201" s="10">
        <f>IF(OR($A201="",D201=0),"",MAXIFS(บันทึก!$A$5:$A$1004,บันทึก!$C$5:$C$1004,$A201))</f>
        <v/>
      </c>
    </row>
    <row r="202">
      <c r="A202" s="7">
        <f>IF(สินค้า!B200="","",สินค้า!B200)</f>
        <v/>
      </c>
      <c r="B202" s="7">
        <f>IF($A202="","",สินค้า!A200)</f>
        <v/>
      </c>
      <c r="C202" s="7">
        <f>IF($A202="","",สินค้า!C200)</f>
        <v/>
      </c>
      <c r="D202" s="7">
        <f>IF($A202="","",COUNTIF(บันทึก!$C$5:$C$1004,$A202))</f>
        <v/>
      </c>
      <c r="E202" s="8">
        <f>IF($A202="","",SUMIFS(บันทึก!$G$5:$G$1004,บันทึก!$C$5:$C$1004,$A202))</f>
        <v/>
      </c>
      <c r="F202" s="8">
        <f>IF($A202="","",SUMIFS(บันทึก!$H$5:$H$1004,บันทึก!$C$5:$C$1004,$A202))</f>
        <v/>
      </c>
      <c r="G202" s="7">
        <f>IF($A202="","",สินค้า!D200)</f>
        <v/>
      </c>
      <c r="H202" s="7">
        <f>IF($A202="","",COUNTIFS(บันทึก!$C$5:$C$1004,$A202,บันทึก!$J$5:$J$1004,"Done"))</f>
        <v/>
      </c>
      <c r="I202" s="7">
        <f>IF($A202="","",COUNTIFS(บันทึก!$C$5:$C$1004,$A202,บันทึก!$J$5:$J$1004,"Pending"))</f>
        <v/>
      </c>
      <c r="J202" s="7">
        <f>IF($A202="","",COUNTIFS(บันทึก!$C$5:$C$1004,$A202,บันทึก!$K$5:$K$1004,"Yes"))</f>
        <v/>
      </c>
      <c r="K202" s="9">
        <f>IF(OR($A202="",D202=0),"",H202/D202)</f>
        <v/>
      </c>
      <c r="L202" s="10">
        <f>IF(OR($A202="",D202=0),"",MAXIFS(บันทึก!$A$5:$A$1004,บันทึก!$C$5:$C$1004,$A202))</f>
        <v/>
      </c>
    </row>
    <row r="203">
      <c r="A203" s="7">
        <f>IF(สินค้า!B201="","",สินค้า!B201)</f>
        <v/>
      </c>
      <c r="B203" s="7">
        <f>IF($A203="","",สินค้า!A201)</f>
        <v/>
      </c>
      <c r="C203" s="7">
        <f>IF($A203="","",สินค้า!C201)</f>
        <v/>
      </c>
      <c r="D203" s="7">
        <f>IF($A203="","",COUNTIF(บันทึก!$C$5:$C$1004,$A203))</f>
        <v/>
      </c>
      <c r="E203" s="8">
        <f>IF($A203="","",SUMIFS(บันทึก!$G$5:$G$1004,บันทึก!$C$5:$C$1004,$A203))</f>
        <v/>
      </c>
      <c r="F203" s="8">
        <f>IF($A203="","",SUMIFS(บันทึก!$H$5:$H$1004,บันทึก!$C$5:$C$1004,$A203))</f>
        <v/>
      </c>
      <c r="G203" s="7">
        <f>IF($A203="","",สินค้า!D201)</f>
        <v/>
      </c>
      <c r="H203" s="7">
        <f>IF($A203="","",COUNTIFS(บันทึก!$C$5:$C$1004,$A203,บันทึก!$J$5:$J$1004,"Done"))</f>
        <v/>
      </c>
      <c r="I203" s="7">
        <f>IF($A203="","",COUNTIFS(บันทึก!$C$5:$C$1004,$A203,บันทึก!$J$5:$J$1004,"Pending"))</f>
        <v/>
      </c>
      <c r="J203" s="7">
        <f>IF($A203="","",COUNTIFS(บันทึก!$C$5:$C$1004,$A203,บันทึก!$K$5:$K$1004,"Yes"))</f>
        <v/>
      </c>
      <c r="K203" s="9">
        <f>IF(OR($A203="",D203=0),"",H203/D203)</f>
        <v/>
      </c>
      <c r="L203" s="10">
        <f>IF(OR($A203="",D203=0),"",MAXIFS(บันทึก!$A$5:$A$1004,บันทึก!$C$5:$C$1004,$A203))</f>
        <v/>
      </c>
    </row>
    <row r="204">
      <c r="A204" s="7">
        <f>IF(สินค้า!B202="","",สินค้า!B202)</f>
        <v/>
      </c>
      <c r="B204" s="7">
        <f>IF($A204="","",สินค้า!A202)</f>
        <v/>
      </c>
      <c r="C204" s="7">
        <f>IF($A204="","",สินค้า!C202)</f>
        <v/>
      </c>
      <c r="D204" s="7">
        <f>IF($A204="","",COUNTIF(บันทึก!$C$5:$C$1004,$A204))</f>
        <v/>
      </c>
      <c r="E204" s="8">
        <f>IF($A204="","",SUMIFS(บันทึก!$G$5:$G$1004,บันทึก!$C$5:$C$1004,$A204))</f>
        <v/>
      </c>
      <c r="F204" s="8">
        <f>IF($A204="","",SUMIFS(บันทึก!$H$5:$H$1004,บันทึก!$C$5:$C$1004,$A204))</f>
        <v/>
      </c>
      <c r="G204" s="7">
        <f>IF($A204="","",สินค้า!D202)</f>
        <v/>
      </c>
      <c r="H204" s="7">
        <f>IF($A204="","",COUNTIFS(บันทึก!$C$5:$C$1004,$A204,บันทึก!$J$5:$J$1004,"Done"))</f>
        <v/>
      </c>
      <c r="I204" s="7">
        <f>IF($A204="","",COUNTIFS(บันทึก!$C$5:$C$1004,$A204,บันทึก!$J$5:$J$1004,"Pending"))</f>
        <v/>
      </c>
      <c r="J204" s="7">
        <f>IF($A204="","",COUNTIFS(บันทึก!$C$5:$C$1004,$A204,บันทึก!$K$5:$K$1004,"Yes"))</f>
        <v/>
      </c>
      <c r="K204" s="9">
        <f>IF(OR($A204="",D204=0),"",H204/D204)</f>
        <v/>
      </c>
      <c r="L204" s="10">
        <f>IF(OR($A204="",D204=0),"",MAXIFS(บันทึก!$A$5:$A$1004,บันทึก!$C$5:$C$1004,$A204))</f>
        <v/>
      </c>
    </row>
    <row r="205">
      <c r="A205" s="7">
        <f>IF(สินค้า!B203="","",สินค้า!B203)</f>
        <v/>
      </c>
      <c r="B205" s="7">
        <f>IF($A205="","",สินค้า!A203)</f>
        <v/>
      </c>
      <c r="C205" s="7">
        <f>IF($A205="","",สินค้า!C203)</f>
        <v/>
      </c>
      <c r="D205" s="7">
        <f>IF($A205="","",COUNTIF(บันทึก!$C$5:$C$1004,$A205))</f>
        <v/>
      </c>
      <c r="E205" s="8">
        <f>IF($A205="","",SUMIFS(บันทึก!$G$5:$G$1004,บันทึก!$C$5:$C$1004,$A205))</f>
        <v/>
      </c>
      <c r="F205" s="8">
        <f>IF($A205="","",SUMIFS(บันทึก!$H$5:$H$1004,บันทึก!$C$5:$C$1004,$A205))</f>
        <v/>
      </c>
      <c r="G205" s="7">
        <f>IF($A205="","",สินค้า!D203)</f>
        <v/>
      </c>
      <c r="H205" s="7">
        <f>IF($A205="","",COUNTIFS(บันทึก!$C$5:$C$1004,$A205,บันทึก!$J$5:$J$1004,"Done"))</f>
        <v/>
      </c>
      <c r="I205" s="7">
        <f>IF($A205="","",COUNTIFS(บันทึก!$C$5:$C$1004,$A205,บันทึก!$J$5:$J$1004,"Pending"))</f>
        <v/>
      </c>
      <c r="J205" s="7">
        <f>IF($A205="","",COUNTIFS(บันทึก!$C$5:$C$1004,$A205,บันทึก!$K$5:$K$1004,"Yes"))</f>
        <v/>
      </c>
      <c r="K205" s="9">
        <f>IF(OR($A205="",D205=0),"",H205/D205)</f>
        <v/>
      </c>
      <c r="L205" s="10">
        <f>IF(OR($A205="",D205=0),"",MAXIFS(บันทึก!$A$5:$A$1004,บันทึก!$C$5:$C$1004,$A205))</f>
        <v/>
      </c>
    </row>
    <row r="206">
      <c r="A206" s="7">
        <f>IF(สินค้า!B204="","",สินค้า!B204)</f>
        <v/>
      </c>
      <c r="B206" s="7">
        <f>IF($A206="","",สินค้า!A204)</f>
        <v/>
      </c>
      <c r="C206" s="7">
        <f>IF($A206="","",สินค้า!C204)</f>
        <v/>
      </c>
      <c r="D206" s="7">
        <f>IF($A206="","",COUNTIF(บันทึก!$C$5:$C$1004,$A206))</f>
        <v/>
      </c>
      <c r="E206" s="8">
        <f>IF($A206="","",SUMIFS(บันทึก!$G$5:$G$1004,บันทึก!$C$5:$C$1004,$A206))</f>
        <v/>
      </c>
      <c r="F206" s="8">
        <f>IF($A206="","",SUMIFS(บันทึก!$H$5:$H$1004,บันทึก!$C$5:$C$1004,$A206))</f>
        <v/>
      </c>
      <c r="G206" s="7">
        <f>IF($A206="","",สินค้า!D204)</f>
        <v/>
      </c>
      <c r="H206" s="7">
        <f>IF($A206="","",COUNTIFS(บันทึก!$C$5:$C$1004,$A206,บันทึก!$J$5:$J$1004,"Done"))</f>
        <v/>
      </c>
      <c r="I206" s="7">
        <f>IF($A206="","",COUNTIFS(บันทึก!$C$5:$C$1004,$A206,บันทึก!$J$5:$J$1004,"Pending"))</f>
        <v/>
      </c>
      <c r="J206" s="7">
        <f>IF($A206="","",COUNTIFS(บันทึก!$C$5:$C$1004,$A206,บันทึก!$K$5:$K$1004,"Yes"))</f>
        <v/>
      </c>
      <c r="K206" s="9">
        <f>IF(OR($A206="",D206=0),"",H206/D206)</f>
        <v/>
      </c>
      <c r="L206" s="10">
        <f>IF(OR($A206="",D206=0),"",MAXIFS(บันทึก!$A$5:$A$1004,บันทึก!$C$5:$C$1004,$A206))</f>
        <v/>
      </c>
    </row>
    <row r="207">
      <c r="A207" s="11" t="inlineStr">
        <is>
          <t>รวมทั้งหมด</t>
        </is>
      </c>
      <c r="B207" s="11" t="n"/>
      <c r="C207" s="11" t="n"/>
      <c r="D207" s="12">
        <f>SUM(D7:D206)</f>
        <v/>
      </c>
      <c r="E207" s="12">
        <f>SUM(E7:E206)</f>
        <v/>
      </c>
      <c r="F207" s="12">
        <f>SUM(F7:F206)</f>
        <v/>
      </c>
      <c r="G207" s="11" t="n"/>
      <c r="H207" s="12">
        <f>SUM(H7:H206)</f>
        <v/>
      </c>
      <c r="I207" s="12">
        <f>SUM(I7:I206)</f>
        <v/>
      </c>
      <c r="J207" s="12">
        <f>SUM(J7:J206)</f>
        <v/>
      </c>
      <c r="K207" s="11" t="n"/>
      <c r="L207" s="11" t="n"/>
    </row>
  </sheetData>
  <conditionalFormatting sqref="I7:I206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สรุปรายเดือน (อัตโนมัติ)</t>
        </is>
      </c>
    </row>
    <row r="2">
      <c r="A2" s="2" t="inlineStr">
        <is>
          <t>เปลี่ยนปีที่ช่อง B3 ได้</t>
        </is>
      </c>
    </row>
    <row r="3">
      <c r="A3" t="inlineStr">
        <is>
          <t>ปี (ค.ศ.)</t>
        </is>
      </c>
      <c r="B3" s="13" t="n">
        <v>2026</v>
      </c>
    </row>
    <row r="5" ht="32" customHeight="1">
      <c r="A5" s="6" t="inlineStr">
        <is>
          <t>เดือน</t>
        </is>
      </c>
      <c r="B5" s="6" t="inlineStr">
        <is>
          <t>จำนวนครั้ง</t>
        </is>
      </c>
      <c r="C5" s="6" t="inlineStr">
        <is>
          <t>Done</t>
        </is>
      </c>
      <c r="D5" s="6" t="inlineStr">
        <is>
          <t>Pending</t>
        </is>
      </c>
      <c r="E5" s="6" t="inlineStr">
        <is>
          <t>รวมที่ส่งตรวจ</t>
        </is>
      </c>
    </row>
    <row r="6">
      <c r="A6" s="7">
        <f>TEXT(DATE($B$3,1,1),"yyyy-mm")</f>
        <v/>
      </c>
      <c r="B6" s="7">
        <f>COUNTIF(บันทึก!$L$5:$L$1004,$A6)</f>
        <v/>
      </c>
      <c r="C6" s="7">
        <f>COUNTIFS(บันทึก!$L$5:$L$1004,$A6,บันทึก!$J$5:$J$1004,"Done")</f>
        <v/>
      </c>
      <c r="D6" s="7">
        <f>COUNTIFS(บันทึก!$L$5:$L$1004,$A6,บันทึก!$J$5:$J$1004,"Pending")</f>
        <v/>
      </c>
      <c r="E6" s="7">
        <f>SUMIFS(บันทึก!$H$5:$H$1004,บันทึก!$L$5:$L$1004,$A6)</f>
        <v/>
      </c>
    </row>
    <row r="7">
      <c r="A7" s="7">
        <f>TEXT(DATE($B$3,2,1),"yyyy-mm")</f>
        <v/>
      </c>
      <c r="B7" s="7">
        <f>COUNTIF(บันทึก!$L$5:$L$1004,$A7)</f>
        <v/>
      </c>
      <c r="C7" s="7">
        <f>COUNTIFS(บันทึก!$L$5:$L$1004,$A7,บันทึก!$J$5:$J$1004,"Done")</f>
        <v/>
      </c>
      <c r="D7" s="7">
        <f>COUNTIFS(บันทึก!$L$5:$L$1004,$A7,บันทึก!$J$5:$J$1004,"Pending")</f>
        <v/>
      </c>
      <c r="E7" s="7">
        <f>SUMIFS(บันทึก!$H$5:$H$1004,บันทึก!$L$5:$L$1004,$A7)</f>
        <v/>
      </c>
    </row>
    <row r="8">
      <c r="A8" s="7">
        <f>TEXT(DATE($B$3,3,1),"yyyy-mm")</f>
        <v/>
      </c>
      <c r="B8" s="7">
        <f>COUNTIF(บันทึก!$L$5:$L$1004,$A8)</f>
        <v/>
      </c>
      <c r="C8" s="7">
        <f>COUNTIFS(บันทึก!$L$5:$L$1004,$A8,บันทึก!$J$5:$J$1004,"Done")</f>
        <v/>
      </c>
      <c r="D8" s="7">
        <f>COUNTIFS(บันทึก!$L$5:$L$1004,$A8,บันทึก!$J$5:$J$1004,"Pending")</f>
        <v/>
      </c>
      <c r="E8" s="7">
        <f>SUMIFS(บันทึก!$H$5:$H$1004,บันทึก!$L$5:$L$1004,$A8)</f>
        <v/>
      </c>
    </row>
    <row r="9">
      <c r="A9" s="7">
        <f>TEXT(DATE($B$3,4,1),"yyyy-mm")</f>
        <v/>
      </c>
      <c r="B9" s="7">
        <f>COUNTIF(บันทึก!$L$5:$L$1004,$A9)</f>
        <v/>
      </c>
      <c r="C9" s="7">
        <f>COUNTIFS(บันทึก!$L$5:$L$1004,$A9,บันทึก!$J$5:$J$1004,"Done")</f>
        <v/>
      </c>
      <c r="D9" s="7">
        <f>COUNTIFS(บันทึก!$L$5:$L$1004,$A9,บันทึก!$J$5:$J$1004,"Pending")</f>
        <v/>
      </c>
      <c r="E9" s="7">
        <f>SUMIFS(บันทึก!$H$5:$H$1004,บันทึก!$L$5:$L$1004,$A9)</f>
        <v/>
      </c>
    </row>
    <row r="10">
      <c r="A10" s="7">
        <f>TEXT(DATE($B$3,5,1),"yyyy-mm")</f>
        <v/>
      </c>
      <c r="B10" s="7">
        <f>COUNTIF(บันทึก!$L$5:$L$1004,$A10)</f>
        <v/>
      </c>
      <c r="C10" s="7">
        <f>COUNTIFS(บันทึก!$L$5:$L$1004,$A10,บันทึก!$J$5:$J$1004,"Done")</f>
        <v/>
      </c>
      <c r="D10" s="7">
        <f>COUNTIFS(บันทึก!$L$5:$L$1004,$A10,บันทึก!$J$5:$J$1004,"Pending")</f>
        <v/>
      </c>
      <c r="E10" s="7">
        <f>SUMIFS(บันทึก!$H$5:$H$1004,บันทึก!$L$5:$L$1004,$A10)</f>
        <v/>
      </c>
    </row>
    <row r="11">
      <c r="A11" s="7">
        <f>TEXT(DATE($B$3,6,1),"yyyy-mm")</f>
        <v/>
      </c>
      <c r="B11" s="7">
        <f>COUNTIF(บันทึก!$L$5:$L$1004,$A11)</f>
        <v/>
      </c>
      <c r="C11" s="7">
        <f>COUNTIFS(บันทึก!$L$5:$L$1004,$A11,บันทึก!$J$5:$J$1004,"Done")</f>
        <v/>
      </c>
      <c r="D11" s="7">
        <f>COUNTIFS(บันทึก!$L$5:$L$1004,$A11,บันทึก!$J$5:$J$1004,"Pending")</f>
        <v/>
      </c>
      <c r="E11" s="7">
        <f>SUMIFS(บันทึก!$H$5:$H$1004,บันทึก!$L$5:$L$1004,$A11)</f>
        <v/>
      </c>
    </row>
    <row r="12">
      <c r="A12" s="7">
        <f>TEXT(DATE($B$3,7,1),"yyyy-mm")</f>
        <v/>
      </c>
      <c r="B12" s="7">
        <f>COUNTIF(บันทึก!$L$5:$L$1004,$A12)</f>
        <v/>
      </c>
      <c r="C12" s="7">
        <f>COUNTIFS(บันทึก!$L$5:$L$1004,$A12,บันทึก!$J$5:$J$1004,"Done")</f>
        <v/>
      </c>
      <c r="D12" s="7">
        <f>COUNTIFS(บันทึก!$L$5:$L$1004,$A12,บันทึก!$J$5:$J$1004,"Pending")</f>
        <v/>
      </c>
      <c r="E12" s="7">
        <f>SUMIFS(บันทึก!$H$5:$H$1004,บันทึก!$L$5:$L$1004,$A12)</f>
        <v/>
      </c>
    </row>
    <row r="13">
      <c r="A13" s="7">
        <f>TEXT(DATE($B$3,8,1),"yyyy-mm")</f>
        <v/>
      </c>
      <c r="B13" s="7">
        <f>COUNTIF(บันทึก!$L$5:$L$1004,$A13)</f>
        <v/>
      </c>
      <c r="C13" s="7">
        <f>COUNTIFS(บันทึก!$L$5:$L$1004,$A13,บันทึก!$J$5:$J$1004,"Done")</f>
        <v/>
      </c>
      <c r="D13" s="7">
        <f>COUNTIFS(บันทึก!$L$5:$L$1004,$A13,บันทึก!$J$5:$J$1004,"Pending")</f>
        <v/>
      </c>
      <c r="E13" s="7">
        <f>SUMIFS(บันทึก!$H$5:$H$1004,บันทึก!$L$5:$L$1004,$A13)</f>
        <v/>
      </c>
    </row>
    <row r="14">
      <c r="A14" s="7">
        <f>TEXT(DATE($B$3,9,1),"yyyy-mm")</f>
        <v/>
      </c>
      <c r="B14" s="7">
        <f>COUNTIF(บันทึก!$L$5:$L$1004,$A14)</f>
        <v/>
      </c>
      <c r="C14" s="7">
        <f>COUNTIFS(บันทึก!$L$5:$L$1004,$A14,บันทึก!$J$5:$J$1004,"Done")</f>
        <v/>
      </c>
      <c r="D14" s="7">
        <f>COUNTIFS(บันทึก!$L$5:$L$1004,$A14,บันทึก!$J$5:$J$1004,"Pending")</f>
        <v/>
      </c>
      <c r="E14" s="7">
        <f>SUMIFS(บันทึก!$H$5:$H$1004,บันทึก!$L$5:$L$1004,$A14)</f>
        <v/>
      </c>
    </row>
    <row r="15">
      <c r="A15" s="7">
        <f>TEXT(DATE($B$3,10,1),"yyyy-mm")</f>
        <v/>
      </c>
      <c r="B15" s="7">
        <f>COUNTIF(บันทึก!$L$5:$L$1004,$A15)</f>
        <v/>
      </c>
      <c r="C15" s="7">
        <f>COUNTIFS(บันทึก!$L$5:$L$1004,$A15,บันทึก!$J$5:$J$1004,"Done")</f>
        <v/>
      </c>
      <c r="D15" s="7">
        <f>COUNTIFS(บันทึก!$L$5:$L$1004,$A15,บันทึก!$J$5:$J$1004,"Pending")</f>
        <v/>
      </c>
      <c r="E15" s="7">
        <f>SUMIFS(บันทึก!$H$5:$H$1004,บันทึก!$L$5:$L$1004,$A15)</f>
        <v/>
      </c>
    </row>
    <row r="16">
      <c r="A16" s="7">
        <f>TEXT(DATE($B$3,11,1),"yyyy-mm")</f>
        <v/>
      </c>
      <c r="B16" s="7">
        <f>COUNTIF(บันทึก!$L$5:$L$1004,$A16)</f>
        <v/>
      </c>
      <c r="C16" s="7">
        <f>COUNTIFS(บันทึก!$L$5:$L$1004,$A16,บันทึก!$J$5:$J$1004,"Done")</f>
        <v/>
      </c>
      <c r="D16" s="7">
        <f>COUNTIFS(บันทึก!$L$5:$L$1004,$A16,บันทึก!$J$5:$J$1004,"Pending")</f>
        <v/>
      </c>
      <c r="E16" s="7">
        <f>SUMIFS(บันทึก!$H$5:$H$1004,บันทึก!$L$5:$L$1004,$A16)</f>
        <v/>
      </c>
    </row>
    <row r="17">
      <c r="A17" s="7">
        <f>TEXT(DATE($B$3,12,1),"yyyy-mm")</f>
        <v/>
      </c>
      <c r="B17" s="7">
        <f>COUNTIF(บันทึก!$L$5:$L$1004,$A17)</f>
        <v/>
      </c>
      <c r="C17" s="7">
        <f>COUNTIFS(บันทึก!$L$5:$L$1004,$A17,บันทึก!$J$5:$J$1004,"Done")</f>
        <v/>
      </c>
      <c r="D17" s="7">
        <f>COUNTIFS(บันทึก!$L$5:$L$1004,$A17,บันทึก!$J$5:$J$1004,"Pending")</f>
        <v/>
      </c>
      <c r="E17" s="7">
        <f>SUMIFS(บันทึก!$H$5:$H$1004,บันทึก!$L$5:$L$1004,$A17)</f>
        <v/>
      </c>
    </row>
    <row r="18">
      <c r="A18" s="14" t="inlineStr">
        <is>
          <t>รวม</t>
        </is>
      </c>
      <c r="B18" s="14">
        <f>SUM(B6:B17)</f>
        <v/>
      </c>
      <c r="C18" s="14">
        <f>SUM(C6:C17)</f>
        <v/>
      </c>
      <c r="D18" s="14">
        <f>SUM(D6:D17)</f>
        <v/>
      </c>
      <c r="E18" s="14">
        <f>SUM(E6:E17)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0" customWidth="1" min="4" max="4"/>
  </cols>
  <sheetData>
    <row r="1">
      <c r="A1" s="1" t="inlineStr">
        <is>
          <t>ทะเบียนสินค้า (Master)</t>
        </is>
      </c>
    </row>
    <row r="2">
      <c r="A2" s="2" t="inlineStr">
        <is>
          <t>กรอกเฉพาะช่องสีเหลือง — เพิ่มสินค้าใหม่ที่นี่ แล้วชื่อจะขึ้นใน dropdown และตารางสรุปอัตโนมัติ</t>
        </is>
      </c>
    </row>
    <row r="4" ht="32" customHeight="1">
      <c r="A4" s="6" t="inlineStr">
        <is>
          <t>SKU</t>
        </is>
      </c>
      <c r="B4" s="6" t="inlineStr">
        <is>
          <t>ชื่อสินค้า</t>
        </is>
      </c>
      <c r="C4" s="6" t="inlineStr">
        <is>
          <t>หมวด</t>
        </is>
      </c>
      <c r="D4" s="6" t="inlineStr">
        <is>
          <t>หน่วย</t>
        </is>
      </c>
    </row>
    <row r="5">
      <c r="A5" s="15" t="inlineStr">
        <is>
          <t>SZ-1000032688</t>
        </is>
      </c>
      <c r="B5" s="15" t="inlineStr">
        <is>
          <t>VEG-FROZEN BROCCOLI-1KG/BAG-10BAG/CASE</t>
        </is>
      </c>
      <c r="C5" s="15" t="inlineStr">
        <is>
          <t>Veg</t>
        </is>
      </c>
      <c r="D5" s="15" t="inlineStr">
        <is>
          <t>BAG</t>
        </is>
      </c>
    </row>
    <row r="6">
      <c r="A6" s="15" t="inlineStr">
        <is>
          <t>SZ-1000031958</t>
        </is>
      </c>
      <c r="B6" s="15" t="inlineStr">
        <is>
          <t>FRENCH FRIES-XLF 10MM SKIN OFF-2.5 KG/BAG-5BAG/CASE</t>
        </is>
      </c>
      <c r="C6" s="15" t="inlineStr">
        <is>
          <t>Potato</t>
        </is>
      </c>
      <c r="D6" s="15" t="inlineStr">
        <is>
          <t>CS</t>
        </is>
      </c>
    </row>
    <row r="7">
      <c r="A7" s="15" t="inlineStr">
        <is>
          <t>SZ-1000037051</t>
        </is>
      </c>
      <c r="B7" s="15" t="inlineStr">
        <is>
          <t>HASH BROWN-1KG/BAG-10BAG/CASE-CASE</t>
        </is>
      </c>
      <c r="C7" s="15" t="inlineStr">
        <is>
          <t>Potato</t>
        </is>
      </c>
      <c r="D7" s="15" t="inlineStr">
        <is>
          <t>CS</t>
        </is>
      </c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  <row r="201">
      <c r="A201" s="15" t="n"/>
      <c r="B201" s="15" t="n"/>
      <c r="C201" s="15" t="n"/>
      <c r="D201" s="15" t="n"/>
    </row>
    <row r="202">
      <c r="A202" s="15" t="n"/>
      <c r="B202" s="15" t="n"/>
      <c r="C202" s="15" t="n"/>
      <c r="D202" s="15" t="n"/>
    </row>
    <row r="203">
      <c r="A203" s="15" t="n"/>
      <c r="B203" s="15" t="n"/>
      <c r="C203" s="15" t="n"/>
      <c r="D203" s="15" t="n"/>
    </row>
    <row r="204">
      <c r="A204" s="15" t="n"/>
      <c r="B204" s="15" t="n"/>
      <c r="C204" s="15" t="n"/>
      <c r="D204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16" customWidth="1" min="4" max="4"/>
    <col width="10" customWidth="1" min="5" max="5"/>
    <col width="8" customWidth="1" min="6" max="6"/>
    <col width="14" customWidth="1" min="7" max="7"/>
    <col width="14" customWidth="1" min="8" max="8"/>
    <col width="12" customWidth="1" min="9" max="9"/>
    <col width="12" customWidth="1" min="10" max="10"/>
    <col width="8" customWidth="1" min="11" max="11"/>
    <col width="10" customWidth="1" min="12" max="12"/>
    <col width="10" customWidth="1" min="13" max="13"/>
  </cols>
  <sheetData>
    <row r="1">
      <c r="A1" s="1" t="inlineStr">
        <is>
          <t>บันทึกการส่งตรวจ</t>
        </is>
      </c>
    </row>
    <row r="2">
      <c r="A2" s="2" t="inlineStr">
        <is>
          <t>เลือกชื่อสินค้าจาก dropdown (ช่องเหลือง) → ช่องฟ้าคำนวณเองทั้งหมด</t>
        </is>
      </c>
    </row>
    <row r="4" ht="32" customHeight="1">
      <c r="A4" s="6" t="inlineStr">
        <is>
          <t>วันที่ส่ง</t>
        </is>
      </c>
      <c r="B4" s="6" t="inlineStr">
        <is>
          <t>PO</t>
        </is>
      </c>
      <c r="C4" s="6" t="inlineStr">
        <is>
          <t>ชื่อสินค้า</t>
        </is>
      </c>
      <c r="D4" s="6" t="inlineStr">
        <is>
          <t>SKU
(auto)</t>
        </is>
      </c>
      <c r="E4" s="6" t="inlineStr">
        <is>
          <t>หมวด
(auto)</t>
        </is>
      </c>
      <c r="F4" s="6" t="inlineStr">
        <is>
          <t>หน่วย
(auto)</t>
        </is>
      </c>
      <c r="G4" s="6" t="inlineStr">
        <is>
          <t>จำนวนที่มาทั้งหมด</t>
        </is>
      </c>
      <c r="H4" s="6" t="inlineStr">
        <is>
          <t>จำนวนที่ส่งตรวจ</t>
        </is>
      </c>
      <c r="I4" s="6" t="inlineStr">
        <is>
          <t>% ที่สุ่มตรวจ
(auto)</t>
        </is>
      </c>
      <c r="J4" s="6" t="inlineStr">
        <is>
          <t>สถานะ QA</t>
        </is>
      </c>
      <c r="K4" s="6" t="inlineStr">
        <is>
          <t>COA</t>
        </is>
      </c>
      <c r="L4" s="6" t="inlineStr">
        <is>
          <t>เดือน
(auto)</t>
        </is>
      </c>
      <c r="M4" s="6" t="inlineStr">
        <is>
          <t>วันที่ค้าง
(auto)</t>
        </is>
      </c>
    </row>
    <row r="5">
      <c r="A5" s="16" t="n">
        <v>46028</v>
      </c>
      <c r="B5" s="15" t="inlineStr">
        <is>
          <t>C102-00003267</t>
        </is>
      </c>
      <c r="C5" s="15" t="inlineStr">
        <is>
          <t>VEG-FROZEN BROCCOLI-1KG/BAG-10BAG/CASE</t>
        </is>
      </c>
      <c r="D5" s="17">
        <f>IF($C5="","",IFERROR(INDEX(สินค้า!$A$5:$A$204,MATCH($C5,สินค้า!$B$5:$B$204,0)),"ไม่พบสินค้า"))</f>
        <v/>
      </c>
      <c r="E5" s="17">
        <f>IF($C5="","",IFERROR(INDEX(สินค้า!$C$5:$C$204,MATCH($C5,สินค้า!$B$5:$B$204,0)),"ไม่พบสินค้า"))</f>
        <v/>
      </c>
      <c r="F5" s="17">
        <f>IF($C5="","",IFERROR(INDEX(สินค้า!$D$5:$D$204,MATCH($C5,สินค้า!$B$5:$B$204,0)),"ไม่พบสินค้า"))</f>
        <v/>
      </c>
      <c r="G5" s="15" t="n">
        <v>7700</v>
      </c>
      <c r="H5" s="15" t="n">
        <v>10</v>
      </c>
      <c r="I5" s="18">
        <f>IF(AND(ISNUMBER(G5),ISNUMBER(H5),G5&gt;0),H5/G5,"")</f>
        <v/>
      </c>
      <c r="J5" s="15" t="inlineStr">
        <is>
          <t>Done</t>
        </is>
      </c>
      <c r="K5" s="15" t="inlineStr">
        <is>
          <t>Yes</t>
        </is>
      </c>
      <c r="L5" s="17">
        <f>IF(A5="","",TEXT(A5,"yyyy-mm"))</f>
        <v/>
      </c>
      <c r="M5" s="17">
        <f>IF(AND(A5&lt;&gt;"",J5="Pending"),TODAY()-A5,"")</f>
        <v/>
      </c>
    </row>
    <row r="6">
      <c r="A6" s="16" t="n">
        <v>46029</v>
      </c>
      <c r="B6" s="15" t="inlineStr">
        <is>
          <t>F106-00073060</t>
        </is>
      </c>
      <c r="C6" s="15" t="inlineStr">
        <is>
          <t>FRENCH FRIES-XLF 10MM SKIN OFF-2.5 KG/BAG-5BAG/CASE</t>
        </is>
      </c>
      <c r="D6" s="17">
        <f>IF($C6="","",IFERROR(INDEX(สินค้า!$A$5:$A$204,MATCH($C6,สินค้า!$B$5:$B$204,0)),"ไม่พบสินค้า"))</f>
        <v/>
      </c>
      <c r="E6" s="17">
        <f>IF($C6="","",IFERROR(INDEX(สินค้า!$C$5:$C$204,MATCH($C6,สินค้า!$B$5:$B$204,0)),"ไม่พบสินค้า"))</f>
        <v/>
      </c>
      <c r="F6" s="17">
        <f>IF($C6="","",IFERROR(INDEX(สินค้า!$D$5:$D$204,MATCH($C6,สินค้า!$B$5:$B$204,0)),"ไม่พบสินค้า"))</f>
        <v/>
      </c>
      <c r="G6" s="15" t="n">
        <v>1820</v>
      </c>
      <c r="H6" s="15" t="n">
        <v>3</v>
      </c>
      <c r="I6" s="18">
        <f>IF(AND(ISNUMBER(G6),ISNUMBER(H6),G6&gt;0),H6/G6,"")</f>
        <v/>
      </c>
      <c r="J6" s="15" t="inlineStr">
        <is>
          <t>Done</t>
        </is>
      </c>
      <c r="K6" s="15" t="inlineStr">
        <is>
          <t>Yes</t>
        </is>
      </c>
      <c r="L6" s="17">
        <f>IF(A6="","",TEXT(A6,"yyyy-mm"))</f>
        <v/>
      </c>
      <c r="M6" s="17">
        <f>IF(AND(A6&lt;&gt;"",J6="Pending"),TODAY()-A6,"")</f>
        <v/>
      </c>
    </row>
    <row r="7">
      <c r="A7" s="16" t="n">
        <v>46056</v>
      </c>
      <c r="B7" s="15" t="inlineStr">
        <is>
          <t>F106-00074001</t>
        </is>
      </c>
      <c r="C7" s="15" t="inlineStr">
        <is>
          <t>FRENCH FRIES-XLF 10MM SKIN OFF-2.5 KG/BAG-5BAG/CASE</t>
        </is>
      </c>
      <c r="D7" s="17">
        <f>IF($C7="","",IFERROR(INDEX(สินค้า!$A$5:$A$204,MATCH($C7,สินค้า!$B$5:$B$204,0)),"ไม่พบสินค้า"))</f>
        <v/>
      </c>
      <c r="E7" s="17">
        <f>IF($C7="","",IFERROR(INDEX(สินค้า!$C$5:$C$204,MATCH($C7,สินค้า!$B$5:$B$204,0)),"ไม่พบสินค้า"))</f>
        <v/>
      </c>
      <c r="F7" s="17">
        <f>IF($C7="","",IFERROR(INDEX(สินค้า!$D$5:$D$204,MATCH($C7,สินค้า!$B$5:$B$204,0)),"ไม่พบสินค้า"))</f>
        <v/>
      </c>
      <c r="G7" s="15" t="n">
        <v>900</v>
      </c>
      <c r="H7" s="15" t="n">
        <v>1</v>
      </c>
      <c r="I7" s="18">
        <f>IF(AND(ISNUMBER(G7),ISNUMBER(H7),G7&gt;0),H7/G7,"")</f>
        <v/>
      </c>
      <c r="J7" s="15" t="inlineStr">
        <is>
          <t>Pending</t>
        </is>
      </c>
      <c r="K7" s="15" t="inlineStr">
        <is>
          <t>No</t>
        </is>
      </c>
      <c r="L7" s="17">
        <f>IF(A7="","",TEXT(A7,"yyyy-mm"))</f>
        <v/>
      </c>
      <c r="M7" s="17">
        <f>IF(AND(A7&lt;&gt;"",J7="Pending"),TODAY()-A7,"")</f>
        <v/>
      </c>
    </row>
    <row r="8">
      <c r="A8" s="16" t="n">
        <v>46063</v>
      </c>
      <c r="B8" s="15" t="inlineStr">
        <is>
          <t>H101-00005511</t>
        </is>
      </c>
      <c r="C8" s="15" t="inlineStr">
        <is>
          <t>HASH BROWN-1KG/BAG-10BAG/CASE-CASE</t>
        </is>
      </c>
      <c r="D8" s="17">
        <f>IF($C8="","",IFERROR(INDEX(สินค้า!$A$5:$A$204,MATCH($C8,สินค้า!$B$5:$B$204,0)),"ไม่พบสินค้า"))</f>
        <v/>
      </c>
      <c r="E8" s="17">
        <f>IF($C8="","",IFERROR(INDEX(สินค้า!$C$5:$C$204,MATCH($C8,สินค้า!$B$5:$B$204,0)),"ไม่พบสินค้า"))</f>
        <v/>
      </c>
      <c r="F8" s="17">
        <f>IF($C8="","",IFERROR(INDEX(สินค้า!$D$5:$D$204,MATCH($C8,สินค้า!$B$5:$B$204,0)),"ไม่พบสินค้า"))</f>
        <v/>
      </c>
      <c r="G8" s="15" t="n">
        <v>2000</v>
      </c>
      <c r="H8" s="15" t="n">
        <v>2</v>
      </c>
      <c r="I8" s="18">
        <f>IF(AND(ISNUMBER(G8),ISNUMBER(H8),G8&gt;0),H8/G8,"")</f>
        <v/>
      </c>
      <c r="J8" s="15" t="inlineStr">
        <is>
          <t>Pending</t>
        </is>
      </c>
      <c r="K8" s="15" t="inlineStr">
        <is>
          <t>No</t>
        </is>
      </c>
      <c r="L8" s="17">
        <f>IF(A8="","",TEXT(A8,"yyyy-mm"))</f>
        <v/>
      </c>
      <c r="M8" s="17">
        <f>IF(AND(A8&lt;&gt;"",J8="Pending"),TODAY()-A8,"")</f>
        <v/>
      </c>
    </row>
    <row r="9">
      <c r="A9" s="16" t="n"/>
      <c r="B9" s="15" t="n"/>
      <c r="C9" s="15" t="n"/>
      <c r="D9" s="17">
        <f>IF($C9="","",IFERROR(INDEX(สินค้า!$A$5:$A$204,MATCH($C9,สินค้า!$B$5:$B$204,0)),"ไม่พบสินค้า"))</f>
        <v/>
      </c>
      <c r="E9" s="17">
        <f>IF($C9="","",IFERROR(INDEX(สินค้า!$C$5:$C$204,MATCH($C9,สินค้า!$B$5:$B$204,0)),"ไม่พบสินค้า"))</f>
        <v/>
      </c>
      <c r="F9" s="17">
        <f>IF($C9="","",IFERROR(INDEX(สินค้า!$D$5:$D$204,MATCH($C9,สินค้า!$B$5:$B$204,0)),"ไม่พบสินค้า"))</f>
        <v/>
      </c>
      <c r="G9" s="15" t="n"/>
      <c r="H9" s="15" t="n"/>
      <c r="I9" s="18">
        <f>IF(AND(ISNUMBER(G9),ISNUMBER(H9),G9&gt;0),H9/G9,"")</f>
        <v/>
      </c>
      <c r="J9" s="15" t="n"/>
      <c r="K9" s="15" t="n"/>
      <c r="L9" s="17">
        <f>IF(A9="","",TEXT(A9,"yyyy-mm"))</f>
        <v/>
      </c>
      <c r="M9" s="17">
        <f>IF(AND(A9&lt;&gt;"",J9="Pending"),TODAY()-A9,"")</f>
        <v/>
      </c>
    </row>
    <row r="10">
      <c r="A10" s="16" t="n"/>
      <c r="B10" s="15" t="n"/>
      <c r="C10" s="15" t="n"/>
      <c r="D10" s="17">
        <f>IF($C10="","",IFERROR(INDEX(สินค้า!$A$5:$A$204,MATCH($C10,สินค้า!$B$5:$B$204,0)),"ไม่พบสินค้า"))</f>
        <v/>
      </c>
      <c r="E10" s="17">
        <f>IF($C10="","",IFERROR(INDEX(สินค้า!$C$5:$C$204,MATCH($C10,สินค้า!$B$5:$B$204,0)),"ไม่พบสินค้า"))</f>
        <v/>
      </c>
      <c r="F10" s="17">
        <f>IF($C10="","",IFERROR(INDEX(สินค้า!$D$5:$D$204,MATCH($C10,สินค้า!$B$5:$B$204,0)),"ไม่พบสินค้า"))</f>
        <v/>
      </c>
      <c r="G10" s="15" t="n"/>
      <c r="H10" s="15" t="n"/>
      <c r="I10" s="18">
        <f>IF(AND(ISNUMBER(G10),ISNUMBER(H10),G10&gt;0),H10/G10,"")</f>
        <v/>
      </c>
      <c r="J10" s="15" t="n"/>
      <c r="K10" s="15" t="n"/>
      <c r="L10" s="17">
        <f>IF(A10="","",TEXT(A10,"yyyy-mm"))</f>
        <v/>
      </c>
      <c r="M10" s="17">
        <f>IF(AND(A10&lt;&gt;"",J10="Pending"),TODAY()-A10,"")</f>
        <v/>
      </c>
    </row>
    <row r="11">
      <c r="A11" s="16" t="n"/>
      <c r="B11" s="15" t="n"/>
      <c r="C11" s="15" t="n"/>
      <c r="D11" s="17">
        <f>IF($C11="","",IFERROR(INDEX(สินค้า!$A$5:$A$204,MATCH($C11,สินค้า!$B$5:$B$204,0)),"ไม่พบสินค้า"))</f>
        <v/>
      </c>
      <c r="E11" s="17">
        <f>IF($C11="","",IFERROR(INDEX(สินค้า!$C$5:$C$204,MATCH($C11,สินค้า!$B$5:$B$204,0)),"ไม่พบสินค้า"))</f>
        <v/>
      </c>
      <c r="F11" s="17">
        <f>IF($C11="","",IFERROR(INDEX(สินค้า!$D$5:$D$204,MATCH($C11,สินค้า!$B$5:$B$204,0)),"ไม่พบสินค้า"))</f>
        <v/>
      </c>
      <c r="G11" s="15" t="n"/>
      <c r="H11" s="15" t="n"/>
      <c r="I11" s="18">
        <f>IF(AND(ISNUMBER(G11),ISNUMBER(H11),G11&gt;0),H11/G11,"")</f>
        <v/>
      </c>
      <c r="J11" s="15" t="n"/>
      <c r="K11" s="15" t="n"/>
      <c r="L11" s="17">
        <f>IF(A11="","",TEXT(A11,"yyyy-mm"))</f>
        <v/>
      </c>
      <c r="M11" s="17">
        <f>IF(AND(A11&lt;&gt;"",J11="Pending"),TODAY()-A11,"")</f>
        <v/>
      </c>
    </row>
    <row r="12">
      <c r="A12" s="16" t="n"/>
      <c r="B12" s="15" t="n"/>
      <c r="C12" s="15" t="n"/>
      <c r="D12" s="17">
        <f>IF($C12="","",IFERROR(INDEX(สินค้า!$A$5:$A$204,MATCH($C12,สินค้า!$B$5:$B$204,0)),"ไม่พบสินค้า"))</f>
        <v/>
      </c>
      <c r="E12" s="17">
        <f>IF($C12="","",IFERROR(INDEX(สินค้า!$C$5:$C$204,MATCH($C12,สินค้า!$B$5:$B$204,0)),"ไม่พบสินค้า"))</f>
        <v/>
      </c>
      <c r="F12" s="17">
        <f>IF($C12="","",IFERROR(INDEX(สินค้า!$D$5:$D$204,MATCH($C12,สินค้า!$B$5:$B$204,0)),"ไม่พบสินค้า"))</f>
        <v/>
      </c>
      <c r="G12" s="15" t="n"/>
      <c r="H12" s="15" t="n"/>
      <c r="I12" s="18">
        <f>IF(AND(ISNUMBER(G12),ISNUMBER(H12),G12&gt;0),H12/G12,"")</f>
        <v/>
      </c>
      <c r="J12" s="15" t="n"/>
      <c r="K12" s="15" t="n"/>
      <c r="L12" s="17">
        <f>IF(A12="","",TEXT(A12,"yyyy-mm"))</f>
        <v/>
      </c>
      <c r="M12" s="17">
        <f>IF(AND(A12&lt;&gt;"",J12="Pending"),TODAY()-A12,"")</f>
        <v/>
      </c>
    </row>
    <row r="13">
      <c r="A13" s="16" t="n"/>
      <c r="B13" s="15" t="n"/>
      <c r="C13" s="15" t="n"/>
      <c r="D13" s="17">
        <f>IF($C13="","",IFERROR(INDEX(สินค้า!$A$5:$A$204,MATCH($C13,สินค้า!$B$5:$B$204,0)),"ไม่พบสินค้า"))</f>
        <v/>
      </c>
      <c r="E13" s="17">
        <f>IF($C13="","",IFERROR(INDEX(สินค้า!$C$5:$C$204,MATCH($C13,สินค้า!$B$5:$B$204,0)),"ไม่พบสินค้า"))</f>
        <v/>
      </c>
      <c r="F13" s="17">
        <f>IF($C13="","",IFERROR(INDEX(สินค้า!$D$5:$D$204,MATCH($C13,สินค้า!$B$5:$B$204,0)),"ไม่พบสินค้า"))</f>
        <v/>
      </c>
      <c r="G13" s="15" t="n"/>
      <c r="H13" s="15" t="n"/>
      <c r="I13" s="18">
        <f>IF(AND(ISNUMBER(G13),ISNUMBER(H13),G13&gt;0),H13/G13,"")</f>
        <v/>
      </c>
      <c r="J13" s="15" t="n"/>
      <c r="K13" s="15" t="n"/>
      <c r="L13" s="17">
        <f>IF(A13="","",TEXT(A13,"yyyy-mm"))</f>
        <v/>
      </c>
      <c r="M13" s="17">
        <f>IF(AND(A13&lt;&gt;"",J13="Pending"),TODAY()-A13,"")</f>
        <v/>
      </c>
    </row>
    <row r="14">
      <c r="A14" s="16" t="n"/>
      <c r="B14" s="15" t="n"/>
      <c r="C14" s="15" t="n"/>
      <c r="D14" s="17">
        <f>IF($C14="","",IFERROR(INDEX(สินค้า!$A$5:$A$204,MATCH($C14,สินค้า!$B$5:$B$204,0)),"ไม่พบสินค้า"))</f>
        <v/>
      </c>
      <c r="E14" s="17">
        <f>IF($C14="","",IFERROR(INDEX(สินค้า!$C$5:$C$204,MATCH($C14,สินค้า!$B$5:$B$204,0)),"ไม่พบสินค้า"))</f>
        <v/>
      </c>
      <c r="F14" s="17">
        <f>IF($C14="","",IFERROR(INDEX(สินค้า!$D$5:$D$204,MATCH($C14,สินค้า!$B$5:$B$204,0)),"ไม่พบสินค้า"))</f>
        <v/>
      </c>
      <c r="G14" s="15" t="n"/>
      <c r="H14" s="15" t="n"/>
      <c r="I14" s="18">
        <f>IF(AND(ISNUMBER(G14),ISNUMBER(H14),G14&gt;0),H14/G14,"")</f>
        <v/>
      </c>
      <c r="J14" s="15" t="n"/>
      <c r="K14" s="15" t="n"/>
      <c r="L14" s="17">
        <f>IF(A14="","",TEXT(A14,"yyyy-mm"))</f>
        <v/>
      </c>
      <c r="M14" s="17">
        <f>IF(AND(A14&lt;&gt;"",J14="Pending"),TODAY()-A14,"")</f>
        <v/>
      </c>
    </row>
    <row r="15">
      <c r="A15" s="16" t="n"/>
      <c r="B15" s="15" t="n"/>
      <c r="C15" s="15" t="n"/>
      <c r="D15" s="17">
        <f>IF($C15="","",IFERROR(INDEX(สินค้า!$A$5:$A$204,MATCH($C15,สินค้า!$B$5:$B$204,0)),"ไม่พบสินค้า"))</f>
        <v/>
      </c>
      <c r="E15" s="17">
        <f>IF($C15="","",IFERROR(INDEX(สินค้า!$C$5:$C$204,MATCH($C15,สินค้า!$B$5:$B$204,0)),"ไม่พบสินค้า"))</f>
        <v/>
      </c>
      <c r="F15" s="17">
        <f>IF($C15="","",IFERROR(INDEX(สินค้า!$D$5:$D$204,MATCH($C15,สินค้า!$B$5:$B$204,0)),"ไม่พบสินค้า"))</f>
        <v/>
      </c>
      <c r="G15" s="15" t="n"/>
      <c r="H15" s="15" t="n"/>
      <c r="I15" s="18">
        <f>IF(AND(ISNUMBER(G15),ISNUMBER(H15),G15&gt;0),H15/G15,"")</f>
        <v/>
      </c>
      <c r="J15" s="15" t="n"/>
      <c r="K15" s="15" t="n"/>
      <c r="L15" s="17">
        <f>IF(A15="","",TEXT(A15,"yyyy-mm"))</f>
        <v/>
      </c>
      <c r="M15" s="17">
        <f>IF(AND(A15&lt;&gt;"",J15="Pending"),TODAY()-A15,"")</f>
        <v/>
      </c>
    </row>
    <row r="16">
      <c r="A16" s="16" t="n"/>
      <c r="B16" s="15" t="n"/>
      <c r="C16" s="15" t="n"/>
      <c r="D16" s="17">
        <f>IF($C16="","",IFERROR(INDEX(สินค้า!$A$5:$A$204,MATCH($C16,สินค้า!$B$5:$B$204,0)),"ไม่พบสินค้า"))</f>
        <v/>
      </c>
      <c r="E16" s="17">
        <f>IF($C16="","",IFERROR(INDEX(สินค้า!$C$5:$C$204,MATCH($C16,สินค้า!$B$5:$B$204,0)),"ไม่พบสินค้า"))</f>
        <v/>
      </c>
      <c r="F16" s="17">
        <f>IF($C16="","",IFERROR(INDEX(สินค้า!$D$5:$D$204,MATCH($C16,สินค้า!$B$5:$B$204,0)),"ไม่พบสินค้า"))</f>
        <v/>
      </c>
      <c r="G16" s="15" t="n"/>
      <c r="H16" s="15" t="n"/>
      <c r="I16" s="18">
        <f>IF(AND(ISNUMBER(G16),ISNUMBER(H16),G16&gt;0),H16/G16,"")</f>
        <v/>
      </c>
      <c r="J16" s="15" t="n"/>
      <c r="K16" s="15" t="n"/>
      <c r="L16" s="17">
        <f>IF(A16="","",TEXT(A16,"yyyy-mm"))</f>
        <v/>
      </c>
      <c r="M16" s="17">
        <f>IF(AND(A16&lt;&gt;"",J16="Pending"),TODAY()-A16,"")</f>
        <v/>
      </c>
    </row>
    <row r="17">
      <c r="A17" s="16" t="n"/>
      <c r="B17" s="15" t="n"/>
      <c r="C17" s="15" t="n"/>
      <c r="D17" s="17">
        <f>IF($C17="","",IFERROR(INDEX(สินค้า!$A$5:$A$204,MATCH($C17,สินค้า!$B$5:$B$204,0)),"ไม่พบสินค้า"))</f>
        <v/>
      </c>
      <c r="E17" s="17">
        <f>IF($C17="","",IFERROR(INDEX(สินค้า!$C$5:$C$204,MATCH($C17,สินค้า!$B$5:$B$204,0)),"ไม่พบสินค้า"))</f>
        <v/>
      </c>
      <c r="F17" s="17">
        <f>IF($C17="","",IFERROR(INDEX(สินค้า!$D$5:$D$204,MATCH($C17,สินค้า!$B$5:$B$204,0)),"ไม่พบสินค้า"))</f>
        <v/>
      </c>
      <c r="G17" s="15" t="n"/>
      <c r="H17" s="15" t="n"/>
      <c r="I17" s="18">
        <f>IF(AND(ISNUMBER(G17),ISNUMBER(H17),G17&gt;0),H17/G17,"")</f>
        <v/>
      </c>
      <c r="J17" s="15" t="n"/>
      <c r="K17" s="15" t="n"/>
      <c r="L17" s="17">
        <f>IF(A17="","",TEXT(A17,"yyyy-mm"))</f>
        <v/>
      </c>
      <c r="M17" s="17">
        <f>IF(AND(A17&lt;&gt;"",J17="Pending"),TODAY()-A17,"")</f>
        <v/>
      </c>
    </row>
    <row r="18">
      <c r="A18" s="16" t="n"/>
      <c r="B18" s="15" t="n"/>
      <c r="C18" s="15" t="n"/>
      <c r="D18" s="17">
        <f>IF($C18="","",IFERROR(INDEX(สินค้า!$A$5:$A$204,MATCH($C18,สินค้า!$B$5:$B$204,0)),"ไม่พบสินค้า"))</f>
        <v/>
      </c>
      <c r="E18" s="17">
        <f>IF($C18="","",IFERROR(INDEX(สินค้า!$C$5:$C$204,MATCH($C18,สินค้า!$B$5:$B$204,0)),"ไม่พบสินค้า"))</f>
        <v/>
      </c>
      <c r="F18" s="17">
        <f>IF($C18="","",IFERROR(INDEX(สินค้า!$D$5:$D$204,MATCH($C18,สินค้า!$B$5:$B$204,0)),"ไม่พบสินค้า"))</f>
        <v/>
      </c>
      <c r="G18" s="15" t="n"/>
      <c r="H18" s="15" t="n"/>
      <c r="I18" s="18">
        <f>IF(AND(ISNUMBER(G18),ISNUMBER(H18),G18&gt;0),H18/G18,"")</f>
        <v/>
      </c>
      <c r="J18" s="15" t="n"/>
      <c r="K18" s="15" t="n"/>
      <c r="L18" s="17">
        <f>IF(A18="","",TEXT(A18,"yyyy-mm"))</f>
        <v/>
      </c>
      <c r="M18" s="17">
        <f>IF(AND(A18&lt;&gt;"",J18="Pending"),TODAY()-A18,"")</f>
        <v/>
      </c>
    </row>
    <row r="19">
      <c r="A19" s="16" t="n"/>
      <c r="B19" s="15" t="n"/>
      <c r="C19" s="15" t="n"/>
      <c r="D19" s="17">
        <f>IF($C19="","",IFERROR(INDEX(สินค้า!$A$5:$A$204,MATCH($C19,สินค้า!$B$5:$B$204,0)),"ไม่พบสินค้า"))</f>
        <v/>
      </c>
      <c r="E19" s="17">
        <f>IF($C19="","",IFERROR(INDEX(สินค้า!$C$5:$C$204,MATCH($C19,สินค้า!$B$5:$B$204,0)),"ไม่พบสินค้า"))</f>
        <v/>
      </c>
      <c r="F19" s="17">
        <f>IF($C19="","",IFERROR(INDEX(สินค้า!$D$5:$D$204,MATCH($C19,สินค้า!$B$5:$B$204,0)),"ไม่พบสินค้า"))</f>
        <v/>
      </c>
      <c r="G19" s="15" t="n"/>
      <c r="H19" s="15" t="n"/>
      <c r="I19" s="18">
        <f>IF(AND(ISNUMBER(G19),ISNUMBER(H19),G19&gt;0),H19/G19,"")</f>
        <v/>
      </c>
      <c r="J19" s="15" t="n"/>
      <c r="K19" s="15" t="n"/>
      <c r="L19" s="17">
        <f>IF(A19="","",TEXT(A19,"yyyy-mm"))</f>
        <v/>
      </c>
      <c r="M19" s="17">
        <f>IF(AND(A19&lt;&gt;"",J19="Pending"),TODAY()-A19,"")</f>
        <v/>
      </c>
    </row>
    <row r="20">
      <c r="A20" s="16" t="n"/>
      <c r="B20" s="15" t="n"/>
      <c r="C20" s="15" t="n"/>
      <c r="D20" s="17">
        <f>IF($C20="","",IFERROR(INDEX(สินค้า!$A$5:$A$204,MATCH($C20,สินค้า!$B$5:$B$204,0)),"ไม่พบสินค้า"))</f>
        <v/>
      </c>
      <c r="E20" s="17">
        <f>IF($C20="","",IFERROR(INDEX(สินค้า!$C$5:$C$204,MATCH($C20,สินค้า!$B$5:$B$204,0)),"ไม่พบสินค้า"))</f>
        <v/>
      </c>
      <c r="F20" s="17">
        <f>IF($C20="","",IFERROR(INDEX(สินค้า!$D$5:$D$204,MATCH($C20,สินค้า!$B$5:$B$204,0)),"ไม่พบสินค้า"))</f>
        <v/>
      </c>
      <c r="G20" s="15" t="n"/>
      <c r="H20" s="15" t="n"/>
      <c r="I20" s="18">
        <f>IF(AND(ISNUMBER(G20),ISNUMBER(H20),G20&gt;0),H20/G20,"")</f>
        <v/>
      </c>
      <c r="J20" s="15" t="n"/>
      <c r="K20" s="15" t="n"/>
      <c r="L20" s="17">
        <f>IF(A20="","",TEXT(A20,"yyyy-mm"))</f>
        <v/>
      </c>
      <c r="M20" s="17">
        <f>IF(AND(A20&lt;&gt;"",J20="Pending"),TODAY()-A20,"")</f>
        <v/>
      </c>
    </row>
    <row r="21">
      <c r="A21" s="16" t="n"/>
      <c r="B21" s="15" t="n"/>
      <c r="C21" s="15" t="n"/>
      <c r="D21" s="17">
        <f>IF($C21="","",IFERROR(INDEX(สินค้า!$A$5:$A$204,MATCH($C21,สินค้า!$B$5:$B$204,0)),"ไม่พบสินค้า"))</f>
        <v/>
      </c>
      <c r="E21" s="17">
        <f>IF($C21="","",IFERROR(INDEX(สินค้า!$C$5:$C$204,MATCH($C21,สินค้า!$B$5:$B$204,0)),"ไม่พบสินค้า"))</f>
        <v/>
      </c>
      <c r="F21" s="17">
        <f>IF($C21="","",IFERROR(INDEX(สินค้า!$D$5:$D$204,MATCH($C21,สินค้า!$B$5:$B$204,0)),"ไม่พบสินค้า"))</f>
        <v/>
      </c>
      <c r="G21" s="15" t="n"/>
      <c r="H21" s="15" t="n"/>
      <c r="I21" s="18">
        <f>IF(AND(ISNUMBER(G21),ISNUMBER(H21),G21&gt;0),H21/G21,"")</f>
        <v/>
      </c>
      <c r="J21" s="15" t="n"/>
      <c r="K21" s="15" t="n"/>
      <c r="L21" s="17">
        <f>IF(A21="","",TEXT(A21,"yyyy-mm"))</f>
        <v/>
      </c>
      <c r="M21" s="17">
        <f>IF(AND(A21&lt;&gt;"",J21="Pending"),TODAY()-A21,"")</f>
        <v/>
      </c>
    </row>
    <row r="22">
      <c r="A22" s="16" t="n"/>
      <c r="B22" s="15" t="n"/>
      <c r="C22" s="15" t="n"/>
      <c r="D22" s="17">
        <f>IF($C22="","",IFERROR(INDEX(สินค้า!$A$5:$A$204,MATCH($C22,สินค้า!$B$5:$B$204,0)),"ไม่พบสินค้า"))</f>
        <v/>
      </c>
      <c r="E22" s="17">
        <f>IF($C22="","",IFERROR(INDEX(สินค้า!$C$5:$C$204,MATCH($C22,สินค้า!$B$5:$B$204,0)),"ไม่พบสินค้า"))</f>
        <v/>
      </c>
      <c r="F22" s="17">
        <f>IF($C22="","",IFERROR(INDEX(สินค้า!$D$5:$D$204,MATCH($C22,สินค้า!$B$5:$B$204,0)),"ไม่พบสินค้า"))</f>
        <v/>
      </c>
      <c r="G22" s="15" t="n"/>
      <c r="H22" s="15" t="n"/>
      <c r="I22" s="18">
        <f>IF(AND(ISNUMBER(G22),ISNUMBER(H22),G22&gt;0),H22/G22,"")</f>
        <v/>
      </c>
      <c r="J22" s="15" t="n"/>
      <c r="K22" s="15" t="n"/>
      <c r="L22" s="17">
        <f>IF(A22="","",TEXT(A22,"yyyy-mm"))</f>
        <v/>
      </c>
      <c r="M22" s="17">
        <f>IF(AND(A22&lt;&gt;"",J22="Pending"),TODAY()-A22,"")</f>
        <v/>
      </c>
    </row>
    <row r="23">
      <c r="A23" s="16" t="n"/>
      <c r="B23" s="15" t="n"/>
      <c r="C23" s="15" t="n"/>
      <c r="D23" s="17">
        <f>IF($C23="","",IFERROR(INDEX(สินค้า!$A$5:$A$204,MATCH($C23,สินค้า!$B$5:$B$204,0)),"ไม่พบสินค้า"))</f>
        <v/>
      </c>
      <c r="E23" s="17">
        <f>IF($C23="","",IFERROR(INDEX(สินค้า!$C$5:$C$204,MATCH($C23,สินค้า!$B$5:$B$204,0)),"ไม่พบสินค้า"))</f>
        <v/>
      </c>
      <c r="F23" s="17">
        <f>IF($C23="","",IFERROR(INDEX(สินค้า!$D$5:$D$204,MATCH($C23,สินค้า!$B$5:$B$204,0)),"ไม่พบสินค้า"))</f>
        <v/>
      </c>
      <c r="G23" s="15" t="n"/>
      <c r="H23" s="15" t="n"/>
      <c r="I23" s="18">
        <f>IF(AND(ISNUMBER(G23),ISNUMBER(H23),G23&gt;0),H23/G23,"")</f>
        <v/>
      </c>
      <c r="J23" s="15" t="n"/>
      <c r="K23" s="15" t="n"/>
      <c r="L23" s="17">
        <f>IF(A23="","",TEXT(A23,"yyyy-mm"))</f>
        <v/>
      </c>
      <c r="M23" s="17">
        <f>IF(AND(A23&lt;&gt;"",J23="Pending"),TODAY()-A23,"")</f>
        <v/>
      </c>
    </row>
    <row r="24">
      <c r="A24" s="16" t="n"/>
      <c r="B24" s="15" t="n"/>
      <c r="C24" s="15" t="n"/>
      <c r="D24" s="17">
        <f>IF($C24="","",IFERROR(INDEX(สินค้า!$A$5:$A$204,MATCH($C24,สินค้า!$B$5:$B$204,0)),"ไม่พบสินค้า"))</f>
        <v/>
      </c>
      <c r="E24" s="17">
        <f>IF($C24="","",IFERROR(INDEX(สินค้า!$C$5:$C$204,MATCH($C24,สินค้า!$B$5:$B$204,0)),"ไม่พบสินค้า"))</f>
        <v/>
      </c>
      <c r="F24" s="17">
        <f>IF($C24="","",IFERROR(INDEX(สินค้า!$D$5:$D$204,MATCH($C24,สินค้า!$B$5:$B$204,0)),"ไม่พบสินค้า"))</f>
        <v/>
      </c>
      <c r="G24" s="15" t="n"/>
      <c r="H24" s="15" t="n"/>
      <c r="I24" s="18">
        <f>IF(AND(ISNUMBER(G24),ISNUMBER(H24),G24&gt;0),H24/G24,"")</f>
        <v/>
      </c>
      <c r="J24" s="15" t="n"/>
      <c r="K24" s="15" t="n"/>
      <c r="L24" s="17">
        <f>IF(A24="","",TEXT(A24,"yyyy-mm"))</f>
        <v/>
      </c>
      <c r="M24" s="17">
        <f>IF(AND(A24&lt;&gt;"",J24="Pending"),TODAY()-A24,"")</f>
        <v/>
      </c>
    </row>
    <row r="25">
      <c r="A25" s="16" t="n"/>
      <c r="B25" s="15" t="n"/>
      <c r="C25" s="15" t="n"/>
      <c r="D25" s="17">
        <f>IF($C25="","",IFERROR(INDEX(สินค้า!$A$5:$A$204,MATCH($C25,สินค้า!$B$5:$B$204,0)),"ไม่พบสินค้า"))</f>
        <v/>
      </c>
      <c r="E25" s="17">
        <f>IF($C25="","",IFERROR(INDEX(สินค้า!$C$5:$C$204,MATCH($C25,สินค้า!$B$5:$B$204,0)),"ไม่พบสินค้า"))</f>
        <v/>
      </c>
      <c r="F25" s="17">
        <f>IF($C25="","",IFERROR(INDEX(สินค้า!$D$5:$D$204,MATCH($C25,สินค้า!$B$5:$B$204,0)),"ไม่พบสินค้า"))</f>
        <v/>
      </c>
      <c r="G25" s="15" t="n"/>
      <c r="H25" s="15" t="n"/>
      <c r="I25" s="18">
        <f>IF(AND(ISNUMBER(G25),ISNUMBER(H25),G25&gt;0),H25/G25,"")</f>
        <v/>
      </c>
      <c r="J25" s="15" t="n"/>
      <c r="K25" s="15" t="n"/>
      <c r="L25" s="17">
        <f>IF(A25="","",TEXT(A25,"yyyy-mm"))</f>
        <v/>
      </c>
      <c r="M25" s="17">
        <f>IF(AND(A25&lt;&gt;"",J25="Pending"),TODAY()-A25,"")</f>
        <v/>
      </c>
    </row>
    <row r="26">
      <c r="A26" s="16" t="n"/>
      <c r="B26" s="15" t="n"/>
      <c r="C26" s="15" t="n"/>
      <c r="D26" s="17">
        <f>IF($C26="","",IFERROR(INDEX(สินค้า!$A$5:$A$204,MATCH($C26,สินค้า!$B$5:$B$204,0)),"ไม่พบสินค้า"))</f>
        <v/>
      </c>
      <c r="E26" s="17">
        <f>IF($C26="","",IFERROR(INDEX(สินค้า!$C$5:$C$204,MATCH($C26,สินค้า!$B$5:$B$204,0)),"ไม่พบสินค้า"))</f>
        <v/>
      </c>
      <c r="F26" s="17">
        <f>IF($C26="","",IFERROR(INDEX(สินค้า!$D$5:$D$204,MATCH($C26,สินค้า!$B$5:$B$204,0)),"ไม่พบสินค้า"))</f>
        <v/>
      </c>
      <c r="G26" s="15" t="n"/>
      <c r="H26" s="15" t="n"/>
      <c r="I26" s="18">
        <f>IF(AND(ISNUMBER(G26),ISNUMBER(H26),G26&gt;0),H26/G26,"")</f>
        <v/>
      </c>
      <c r="J26" s="15" t="n"/>
      <c r="K26" s="15" t="n"/>
      <c r="L26" s="17">
        <f>IF(A26="","",TEXT(A26,"yyyy-mm"))</f>
        <v/>
      </c>
      <c r="M26" s="17">
        <f>IF(AND(A26&lt;&gt;"",J26="Pending"),TODAY()-A26,"")</f>
        <v/>
      </c>
    </row>
    <row r="27">
      <c r="A27" s="16" t="n"/>
      <c r="B27" s="15" t="n"/>
      <c r="C27" s="15" t="n"/>
      <c r="D27" s="17">
        <f>IF($C27="","",IFERROR(INDEX(สินค้า!$A$5:$A$204,MATCH($C27,สินค้า!$B$5:$B$204,0)),"ไม่พบสินค้า"))</f>
        <v/>
      </c>
      <c r="E27" s="17">
        <f>IF($C27="","",IFERROR(INDEX(สินค้า!$C$5:$C$204,MATCH($C27,สินค้า!$B$5:$B$204,0)),"ไม่พบสินค้า"))</f>
        <v/>
      </c>
      <c r="F27" s="17">
        <f>IF($C27="","",IFERROR(INDEX(สินค้า!$D$5:$D$204,MATCH($C27,สินค้า!$B$5:$B$204,0)),"ไม่พบสินค้า"))</f>
        <v/>
      </c>
      <c r="G27" s="15" t="n"/>
      <c r="H27" s="15" t="n"/>
      <c r="I27" s="18">
        <f>IF(AND(ISNUMBER(G27),ISNUMBER(H27),G27&gt;0),H27/G27,"")</f>
        <v/>
      </c>
      <c r="J27" s="15" t="n"/>
      <c r="K27" s="15" t="n"/>
      <c r="L27" s="17">
        <f>IF(A27="","",TEXT(A27,"yyyy-mm"))</f>
        <v/>
      </c>
      <c r="M27" s="17">
        <f>IF(AND(A27&lt;&gt;"",J27="Pending"),TODAY()-A27,"")</f>
        <v/>
      </c>
    </row>
    <row r="28">
      <c r="A28" s="16" t="n"/>
      <c r="B28" s="15" t="n"/>
      <c r="C28" s="15" t="n"/>
      <c r="D28" s="17">
        <f>IF($C28="","",IFERROR(INDEX(สินค้า!$A$5:$A$204,MATCH($C28,สินค้า!$B$5:$B$204,0)),"ไม่พบสินค้า"))</f>
        <v/>
      </c>
      <c r="E28" s="17">
        <f>IF($C28="","",IFERROR(INDEX(สินค้า!$C$5:$C$204,MATCH($C28,สินค้า!$B$5:$B$204,0)),"ไม่พบสินค้า"))</f>
        <v/>
      </c>
      <c r="F28" s="17">
        <f>IF($C28="","",IFERROR(INDEX(สินค้า!$D$5:$D$204,MATCH($C28,สินค้า!$B$5:$B$204,0)),"ไม่พบสินค้า"))</f>
        <v/>
      </c>
      <c r="G28" s="15" t="n"/>
      <c r="H28" s="15" t="n"/>
      <c r="I28" s="18">
        <f>IF(AND(ISNUMBER(G28),ISNUMBER(H28),G28&gt;0),H28/G28,"")</f>
        <v/>
      </c>
      <c r="J28" s="15" t="n"/>
      <c r="K28" s="15" t="n"/>
      <c r="L28" s="17">
        <f>IF(A28="","",TEXT(A28,"yyyy-mm"))</f>
        <v/>
      </c>
      <c r="M28" s="17">
        <f>IF(AND(A28&lt;&gt;"",J28="Pending"),TODAY()-A28,"")</f>
        <v/>
      </c>
    </row>
    <row r="29">
      <c r="A29" s="16" t="n"/>
      <c r="B29" s="15" t="n"/>
      <c r="C29" s="15" t="n"/>
      <c r="D29" s="17">
        <f>IF($C29="","",IFERROR(INDEX(สินค้า!$A$5:$A$204,MATCH($C29,สินค้า!$B$5:$B$204,0)),"ไม่พบสินค้า"))</f>
        <v/>
      </c>
      <c r="E29" s="17">
        <f>IF($C29="","",IFERROR(INDEX(สินค้า!$C$5:$C$204,MATCH($C29,สินค้า!$B$5:$B$204,0)),"ไม่พบสินค้า"))</f>
        <v/>
      </c>
      <c r="F29" s="17">
        <f>IF($C29="","",IFERROR(INDEX(สินค้า!$D$5:$D$204,MATCH($C29,สินค้า!$B$5:$B$204,0)),"ไม่พบสินค้า"))</f>
        <v/>
      </c>
      <c r="G29" s="15" t="n"/>
      <c r="H29" s="15" t="n"/>
      <c r="I29" s="18">
        <f>IF(AND(ISNUMBER(G29),ISNUMBER(H29),G29&gt;0),H29/G29,"")</f>
        <v/>
      </c>
      <c r="J29" s="15" t="n"/>
      <c r="K29" s="15" t="n"/>
      <c r="L29" s="17">
        <f>IF(A29="","",TEXT(A29,"yyyy-mm"))</f>
        <v/>
      </c>
      <c r="M29" s="17">
        <f>IF(AND(A29&lt;&gt;"",J29="Pending"),TODAY()-A29,"")</f>
        <v/>
      </c>
    </row>
    <row r="30">
      <c r="A30" s="16" t="n"/>
      <c r="B30" s="15" t="n"/>
      <c r="C30" s="15" t="n"/>
      <c r="D30" s="17">
        <f>IF($C30="","",IFERROR(INDEX(สินค้า!$A$5:$A$204,MATCH($C30,สินค้า!$B$5:$B$204,0)),"ไม่พบสินค้า"))</f>
        <v/>
      </c>
      <c r="E30" s="17">
        <f>IF($C30="","",IFERROR(INDEX(สินค้า!$C$5:$C$204,MATCH($C30,สินค้า!$B$5:$B$204,0)),"ไม่พบสินค้า"))</f>
        <v/>
      </c>
      <c r="F30" s="17">
        <f>IF($C30="","",IFERROR(INDEX(สินค้า!$D$5:$D$204,MATCH($C30,สินค้า!$B$5:$B$204,0)),"ไม่พบสินค้า"))</f>
        <v/>
      </c>
      <c r="G30" s="15" t="n"/>
      <c r="H30" s="15" t="n"/>
      <c r="I30" s="18">
        <f>IF(AND(ISNUMBER(G30),ISNUMBER(H30),G30&gt;0),H30/G30,"")</f>
        <v/>
      </c>
      <c r="J30" s="15" t="n"/>
      <c r="K30" s="15" t="n"/>
      <c r="L30" s="17">
        <f>IF(A30="","",TEXT(A30,"yyyy-mm"))</f>
        <v/>
      </c>
      <c r="M30" s="17">
        <f>IF(AND(A30&lt;&gt;"",J30="Pending"),TODAY()-A30,"")</f>
        <v/>
      </c>
    </row>
    <row r="31">
      <c r="A31" s="16" t="n"/>
      <c r="B31" s="15" t="n"/>
      <c r="C31" s="15" t="n"/>
      <c r="D31" s="17">
        <f>IF($C31="","",IFERROR(INDEX(สินค้า!$A$5:$A$204,MATCH($C31,สินค้า!$B$5:$B$204,0)),"ไม่พบสินค้า"))</f>
        <v/>
      </c>
      <c r="E31" s="17">
        <f>IF($C31="","",IFERROR(INDEX(สินค้า!$C$5:$C$204,MATCH($C31,สินค้า!$B$5:$B$204,0)),"ไม่พบสินค้า"))</f>
        <v/>
      </c>
      <c r="F31" s="17">
        <f>IF($C31="","",IFERROR(INDEX(สินค้า!$D$5:$D$204,MATCH($C31,สินค้า!$B$5:$B$204,0)),"ไม่พบสินค้า"))</f>
        <v/>
      </c>
      <c r="G31" s="15" t="n"/>
      <c r="H31" s="15" t="n"/>
      <c r="I31" s="18">
        <f>IF(AND(ISNUMBER(G31),ISNUMBER(H31),G31&gt;0),H31/G31,"")</f>
        <v/>
      </c>
      <c r="J31" s="15" t="n"/>
      <c r="K31" s="15" t="n"/>
      <c r="L31" s="17">
        <f>IF(A31="","",TEXT(A31,"yyyy-mm"))</f>
        <v/>
      </c>
      <c r="M31" s="17">
        <f>IF(AND(A31&lt;&gt;"",J31="Pending"),TODAY()-A31,"")</f>
        <v/>
      </c>
    </row>
    <row r="32">
      <c r="A32" s="16" t="n"/>
      <c r="B32" s="15" t="n"/>
      <c r="C32" s="15" t="n"/>
      <c r="D32" s="17">
        <f>IF($C32="","",IFERROR(INDEX(สินค้า!$A$5:$A$204,MATCH($C32,สินค้า!$B$5:$B$204,0)),"ไม่พบสินค้า"))</f>
        <v/>
      </c>
      <c r="E32" s="17">
        <f>IF($C32="","",IFERROR(INDEX(สินค้า!$C$5:$C$204,MATCH($C32,สินค้า!$B$5:$B$204,0)),"ไม่พบสินค้า"))</f>
        <v/>
      </c>
      <c r="F32" s="17">
        <f>IF($C32="","",IFERROR(INDEX(สินค้า!$D$5:$D$204,MATCH($C32,สินค้า!$B$5:$B$204,0)),"ไม่พบสินค้า"))</f>
        <v/>
      </c>
      <c r="G32" s="15" t="n"/>
      <c r="H32" s="15" t="n"/>
      <c r="I32" s="18">
        <f>IF(AND(ISNUMBER(G32),ISNUMBER(H32),G32&gt;0),H32/G32,"")</f>
        <v/>
      </c>
      <c r="J32" s="15" t="n"/>
      <c r="K32" s="15" t="n"/>
      <c r="L32" s="17">
        <f>IF(A32="","",TEXT(A32,"yyyy-mm"))</f>
        <v/>
      </c>
      <c r="M32" s="17">
        <f>IF(AND(A32&lt;&gt;"",J32="Pending"),TODAY()-A32,"")</f>
        <v/>
      </c>
    </row>
    <row r="33">
      <c r="A33" s="16" t="n"/>
      <c r="B33" s="15" t="n"/>
      <c r="C33" s="15" t="n"/>
      <c r="D33" s="17">
        <f>IF($C33="","",IFERROR(INDEX(สินค้า!$A$5:$A$204,MATCH($C33,สินค้า!$B$5:$B$204,0)),"ไม่พบสินค้า"))</f>
        <v/>
      </c>
      <c r="E33" s="17">
        <f>IF($C33="","",IFERROR(INDEX(สินค้า!$C$5:$C$204,MATCH($C33,สินค้า!$B$5:$B$204,0)),"ไม่พบสินค้า"))</f>
        <v/>
      </c>
      <c r="F33" s="17">
        <f>IF($C33="","",IFERROR(INDEX(สินค้า!$D$5:$D$204,MATCH($C33,สินค้า!$B$5:$B$204,0)),"ไม่พบสินค้า"))</f>
        <v/>
      </c>
      <c r="G33" s="15" t="n"/>
      <c r="H33" s="15" t="n"/>
      <c r="I33" s="18">
        <f>IF(AND(ISNUMBER(G33),ISNUMBER(H33),G33&gt;0),H33/G33,"")</f>
        <v/>
      </c>
      <c r="J33" s="15" t="n"/>
      <c r="K33" s="15" t="n"/>
      <c r="L33" s="17">
        <f>IF(A33="","",TEXT(A33,"yyyy-mm"))</f>
        <v/>
      </c>
      <c r="M33" s="17">
        <f>IF(AND(A33&lt;&gt;"",J33="Pending"),TODAY()-A33,"")</f>
        <v/>
      </c>
    </row>
    <row r="34">
      <c r="A34" s="16" t="n"/>
      <c r="B34" s="15" t="n"/>
      <c r="C34" s="15" t="n"/>
      <c r="D34" s="17">
        <f>IF($C34="","",IFERROR(INDEX(สินค้า!$A$5:$A$204,MATCH($C34,สินค้า!$B$5:$B$204,0)),"ไม่พบสินค้า"))</f>
        <v/>
      </c>
      <c r="E34" s="17">
        <f>IF($C34="","",IFERROR(INDEX(สินค้า!$C$5:$C$204,MATCH($C34,สินค้า!$B$5:$B$204,0)),"ไม่พบสินค้า"))</f>
        <v/>
      </c>
      <c r="F34" s="17">
        <f>IF($C34="","",IFERROR(INDEX(สินค้า!$D$5:$D$204,MATCH($C34,สินค้า!$B$5:$B$204,0)),"ไม่พบสินค้า"))</f>
        <v/>
      </c>
      <c r="G34" s="15" t="n"/>
      <c r="H34" s="15" t="n"/>
      <c r="I34" s="18">
        <f>IF(AND(ISNUMBER(G34),ISNUMBER(H34),G34&gt;0),H34/G34,"")</f>
        <v/>
      </c>
      <c r="J34" s="15" t="n"/>
      <c r="K34" s="15" t="n"/>
      <c r="L34" s="17">
        <f>IF(A34="","",TEXT(A34,"yyyy-mm"))</f>
        <v/>
      </c>
      <c r="M34" s="17">
        <f>IF(AND(A34&lt;&gt;"",J34="Pending"),TODAY()-A34,"")</f>
        <v/>
      </c>
    </row>
    <row r="35">
      <c r="A35" s="16" t="n"/>
      <c r="B35" s="15" t="n"/>
      <c r="C35" s="15" t="n"/>
      <c r="D35" s="17">
        <f>IF($C35="","",IFERROR(INDEX(สินค้า!$A$5:$A$204,MATCH($C35,สินค้า!$B$5:$B$204,0)),"ไม่พบสินค้า"))</f>
        <v/>
      </c>
      <c r="E35" s="17">
        <f>IF($C35="","",IFERROR(INDEX(สินค้า!$C$5:$C$204,MATCH($C35,สินค้า!$B$5:$B$204,0)),"ไม่พบสินค้า"))</f>
        <v/>
      </c>
      <c r="F35" s="17">
        <f>IF($C35="","",IFERROR(INDEX(สินค้า!$D$5:$D$204,MATCH($C35,สินค้า!$B$5:$B$204,0)),"ไม่พบสินค้า"))</f>
        <v/>
      </c>
      <c r="G35" s="15" t="n"/>
      <c r="H35" s="15" t="n"/>
      <c r="I35" s="18">
        <f>IF(AND(ISNUMBER(G35),ISNUMBER(H35),G35&gt;0),H35/G35,"")</f>
        <v/>
      </c>
      <c r="J35" s="15" t="n"/>
      <c r="K35" s="15" t="n"/>
      <c r="L35" s="17">
        <f>IF(A35="","",TEXT(A35,"yyyy-mm"))</f>
        <v/>
      </c>
      <c r="M35" s="17">
        <f>IF(AND(A35&lt;&gt;"",J35="Pending"),TODAY()-A35,"")</f>
        <v/>
      </c>
    </row>
    <row r="36">
      <c r="A36" s="16" t="n"/>
      <c r="B36" s="15" t="n"/>
      <c r="C36" s="15" t="n"/>
      <c r="D36" s="17">
        <f>IF($C36="","",IFERROR(INDEX(สินค้า!$A$5:$A$204,MATCH($C36,สินค้า!$B$5:$B$204,0)),"ไม่พบสินค้า"))</f>
        <v/>
      </c>
      <c r="E36" s="17">
        <f>IF($C36="","",IFERROR(INDEX(สินค้า!$C$5:$C$204,MATCH($C36,สินค้า!$B$5:$B$204,0)),"ไม่พบสินค้า"))</f>
        <v/>
      </c>
      <c r="F36" s="17">
        <f>IF($C36="","",IFERROR(INDEX(สินค้า!$D$5:$D$204,MATCH($C36,สินค้า!$B$5:$B$204,0)),"ไม่พบสินค้า"))</f>
        <v/>
      </c>
      <c r="G36" s="15" t="n"/>
      <c r="H36" s="15" t="n"/>
      <c r="I36" s="18">
        <f>IF(AND(ISNUMBER(G36),ISNUMBER(H36),G36&gt;0),H36/G36,"")</f>
        <v/>
      </c>
      <c r="J36" s="15" t="n"/>
      <c r="K36" s="15" t="n"/>
      <c r="L36" s="17">
        <f>IF(A36="","",TEXT(A36,"yyyy-mm"))</f>
        <v/>
      </c>
      <c r="M36" s="17">
        <f>IF(AND(A36&lt;&gt;"",J36="Pending"),TODAY()-A36,"")</f>
        <v/>
      </c>
    </row>
    <row r="37">
      <c r="A37" s="16" t="n"/>
      <c r="B37" s="15" t="n"/>
      <c r="C37" s="15" t="n"/>
      <c r="D37" s="17">
        <f>IF($C37="","",IFERROR(INDEX(สินค้า!$A$5:$A$204,MATCH($C37,สินค้า!$B$5:$B$204,0)),"ไม่พบสินค้า"))</f>
        <v/>
      </c>
      <c r="E37" s="17">
        <f>IF($C37="","",IFERROR(INDEX(สินค้า!$C$5:$C$204,MATCH($C37,สินค้า!$B$5:$B$204,0)),"ไม่พบสินค้า"))</f>
        <v/>
      </c>
      <c r="F37" s="17">
        <f>IF($C37="","",IFERROR(INDEX(สินค้า!$D$5:$D$204,MATCH($C37,สินค้า!$B$5:$B$204,0)),"ไม่พบสินค้า"))</f>
        <v/>
      </c>
      <c r="G37" s="15" t="n"/>
      <c r="H37" s="15" t="n"/>
      <c r="I37" s="18">
        <f>IF(AND(ISNUMBER(G37),ISNUMBER(H37),G37&gt;0),H37/G37,"")</f>
        <v/>
      </c>
      <c r="J37" s="15" t="n"/>
      <c r="K37" s="15" t="n"/>
      <c r="L37" s="17">
        <f>IF(A37="","",TEXT(A37,"yyyy-mm"))</f>
        <v/>
      </c>
      <c r="M37" s="17">
        <f>IF(AND(A37&lt;&gt;"",J37="Pending"),TODAY()-A37,"")</f>
        <v/>
      </c>
    </row>
    <row r="38">
      <c r="A38" s="16" t="n"/>
      <c r="B38" s="15" t="n"/>
      <c r="C38" s="15" t="n"/>
      <c r="D38" s="17">
        <f>IF($C38="","",IFERROR(INDEX(สินค้า!$A$5:$A$204,MATCH($C38,สินค้า!$B$5:$B$204,0)),"ไม่พบสินค้า"))</f>
        <v/>
      </c>
      <c r="E38" s="17">
        <f>IF($C38="","",IFERROR(INDEX(สินค้า!$C$5:$C$204,MATCH($C38,สินค้า!$B$5:$B$204,0)),"ไม่พบสินค้า"))</f>
        <v/>
      </c>
      <c r="F38" s="17">
        <f>IF($C38="","",IFERROR(INDEX(สินค้า!$D$5:$D$204,MATCH($C38,สินค้า!$B$5:$B$204,0)),"ไม่พบสินค้า"))</f>
        <v/>
      </c>
      <c r="G38" s="15" t="n"/>
      <c r="H38" s="15" t="n"/>
      <c r="I38" s="18">
        <f>IF(AND(ISNUMBER(G38),ISNUMBER(H38),G38&gt;0),H38/G38,"")</f>
        <v/>
      </c>
      <c r="J38" s="15" t="n"/>
      <c r="K38" s="15" t="n"/>
      <c r="L38" s="17">
        <f>IF(A38="","",TEXT(A38,"yyyy-mm"))</f>
        <v/>
      </c>
      <c r="M38" s="17">
        <f>IF(AND(A38&lt;&gt;"",J38="Pending"),TODAY()-A38,"")</f>
        <v/>
      </c>
    </row>
    <row r="39">
      <c r="A39" s="16" t="n"/>
      <c r="B39" s="15" t="n"/>
      <c r="C39" s="15" t="n"/>
      <c r="D39" s="17">
        <f>IF($C39="","",IFERROR(INDEX(สินค้า!$A$5:$A$204,MATCH($C39,สินค้า!$B$5:$B$204,0)),"ไม่พบสินค้า"))</f>
        <v/>
      </c>
      <c r="E39" s="17">
        <f>IF($C39="","",IFERROR(INDEX(สินค้า!$C$5:$C$204,MATCH($C39,สินค้า!$B$5:$B$204,0)),"ไม่พบสินค้า"))</f>
        <v/>
      </c>
      <c r="F39" s="17">
        <f>IF($C39="","",IFERROR(INDEX(สินค้า!$D$5:$D$204,MATCH($C39,สินค้า!$B$5:$B$204,0)),"ไม่พบสินค้า"))</f>
        <v/>
      </c>
      <c r="G39" s="15" t="n"/>
      <c r="H39" s="15" t="n"/>
      <c r="I39" s="18">
        <f>IF(AND(ISNUMBER(G39),ISNUMBER(H39),G39&gt;0),H39/G39,"")</f>
        <v/>
      </c>
      <c r="J39" s="15" t="n"/>
      <c r="K39" s="15" t="n"/>
      <c r="L39" s="17">
        <f>IF(A39="","",TEXT(A39,"yyyy-mm"))</f>
        <v/>
      </c>
      <c r="M39" s="17">
        <f>IF(AND(A39&lt;&gt;"",J39="Pending"),TODAY()-A39,"")</f>
        <v/>
      </c>
    </row>
    <row r="40">
      <c r="A40" s="16" t="n"/>
      <c r="B40" s="15" t="n"/>
      <c r="C40" s="15" t="n"/>
      <c r="D40" s="17">
        <f>IF($C40="","",IFERROR(INDEX(สินค้า!$A$5:$A$204,MATCH($C40,สินค้า!$B$5:$B$204,0)),"ไม่พบสินค้า"))</f>
        <v/>
      </c>
      <c r="E40" s="17">
        <f>IF($C40="","",IFERROR(INDEX(สินค้า!$C$5:$C$204,MATCH($C40,สินค้า!$B$5:$B$204,0)),"ไม่พบสินค้า"))</f>
        <v/>
      </c>
      <c r="F40" s="17">
        <f>IF($C40="","",IFERROR(INDEX(สินค้า!$D$5:$D$204,MATCH($C40,สินค้า!$B$5:$B$204,0)),"ไม่พบสินค้า"))</f>
        <v/>
      </c>
      <c r="G40" s="15" t="n"/>
      <c r="H40" s="15" t="n"/>
      <c r="I40" s="18">
        <f>IF(AND(ISNUMBER(G40),ISNUMBER(H40),G40&gt;0),H40/G40,"")</f>
        <v/>
      </c>
      <c r="J40" s="15" t="n"/>
      <c r="K40" s="15" t="n"/>
      <c r="L40" s="17">
        <f>IF(A40="","",TEXT(A40,"yyyy-mm"))</f>
        <v/>
      </c>
      <c r="M40" s="17">
        <f>IF(AND(A40&lt;&gt;"",J40="Pending"),TODAY()-A40,"")</f>
        <v/>
      </c>
    </row>
    <row r="41">
      <c r="A41" s="16" t="n"/>
      <c r="B41" s="15" t="n"/>
      <c r="C41" s="15" t="n"/>
      <c r="D41" s="17">
        <f>IF($C41="","",IFERROR(INDEX(สินค้า!$A$5:$A$204,MATCH($C41,สินค้า!$B$5:$B$204,0)),"ไม่พบสินค้า"))</f>
        <v/>
      </c>
      <c r="E41" s="17">
        <f>IF($C41="","",IFERROR(INDEX(สินค้า!$C$5:$C$204,MATCH($C41,สินค้า!$B$5:$B$204,0)),"ไม่พบสินค้า"))</f>
        <v/>
      </c>
      <c r="F41" s="17">
        <f>IF($C41="","",IFERROR(INDEX(สินค้า!$D$5:$D$204,MATCH($C41,สินค้า!$B$5:$B$204,0)),"ไม่พบสินค้า"))</f>
        <v/>
      </c>
      <c r="G41" s="15" t="n"/>
      <c r="H41" s="15" t="n"/>
      <c r="I41" s="18">
        <f>IF(AND(ISNUMBER(G41),ISNUMBER(H41),G41&gt;0),H41/G41,"")</f>
        <v/>
      </c>
      <c r="J41" s="15" t="n"/>
      <c r="K41" s="15" t="n"/>
      <c r="L41" s="17">
        <f>IF(A41="","",TEXT(A41,"yyyy-mm"))</f>
        <v/>
      </c>
      <c r="M41" s="17">
        <f>IF(AND(A41&lt;&gt;"",J41="Pending"),TODAY()-A41,"")</f>
        <v/>
      </c>
    </row>
    <row r="42">
      <c r="A42" s="16" t="n"/>
      <c r="B42" s="15" t="n"/>
      <c r="C42" s="15" t="n"/>
      <c r="D42" s="17">
        <f>IF($C42="","",IFERROR(INDEX(สินค้า!$A$5:$A$204,MATCH($C42,สินค้า!$B$5:$B$204,0)),"ไม่พบสินค้า"))</f>
        <v/>
      </c>
      <c r="E42" s="17">
        <f>IF($C42="","",IFERROR(INDEX(สินค้า!$C$5:$C$204,MATCH($C42,สินค้า!$B$5:$B$204,0)),"ไม่พบสินค้า"))</f>
        <v/>
      </c>
      <c r="F42" s="17">
        <f>IF($C42="","",IFERROR(INDEX(สินค้า!$D$5:$D$204,MATCH($C42,สินค้า!$B$5:$B$204,0)),"ไม่พบสินค้า"))</f>
        <v/>
      </c>
      <c r="G42" s="15" t="n"/>
      <c r="H42" s="15" t="n"/>
      <c r="I42" s="18">
        <f>IF(AND(ISNUMBER(G42),ISNUMBER(H42),G42&gt;0),H42/G42,"")</f>
        <v/>
      </c>
      <c r="J42" s="15" t="n"/>
      <c r="K42" s="15" t="n"/>
      <c r="L42" s="17">
        <f>IF(A42="","",TEXT(A42,"yyyy-mm"))</f>
        <v/>
      </c>
      <c r="M42" s="17">
        <f>IF(AND(A42&lt;&gt;"",J42="Pending"),TODAY()-A42,"")</f>
        <v/>
      </c>
    </row>
    <row r="43">
      <c r="A43" s="16" t="n"/>
      <c r="B43" s="15" t="n"/>
      <c r="C43" s="15" t="n"/>
      <c r="D43" s="17">
        <f>IF($C43="","",IFERROR(INDEX(สินค้า!$A$5:$A$204,MATCH($C43,สินค้า!$B$5:$B$204,0)),"ไม่พบสินค้า"))</f>
        <v/>
      </c>
      <c r="E43" s="17">
        <f>IF($C43="","",IFERROR(INDEX(สินค้า!$C$5:$C$204,MATCH($C43,สินค้า!$B$5:$B$204,0)),"ไม่พบสินค้า"))</f>
        <v/>
      </c>
      <c r="F43" s="17">
        <f>IF($C43="","",IFERROR(INDEX(สินค้า!$D$5:$D$204,MATCH($C43,สินค้า!$B$5:$B$204,0)),"ไม่พบสินค้า"))</f>
        <v/>
      </c>
      <c r="G43" s="15" t="n"/>
      <c r="H43" s="15" t="n"/>
      <c r="I43" s="18">
        <f>IF(AND(ISNUMBER(G43),ISNUMBER(H43),G43&gt;0),H43/G43,"")</f>
        <v/>
      </c>
      <c r="J43" s="15" t="n"/>
      <c r="K43" s="15" t="n"/>
      <c r="L43" s="17">
        <f>IF(A43="","",TEXT(A43,"yyyy-mm"))</f>
        <v/>
      </c>
      <c r="M43" s="17">
        <f>IF(AND(A43&lt;&gt;"",J43="Pending"),TODAY()-A43,"")</f>
        <v/>
      </c>
    </row>
    <row r="44">
      <c r="A44" s="16" t="n"/>
      <c r="B44" s="15" t="n"/>
      <c r="C44" s="15" t="n"/>
      <c r="D44" s="17">
        <f>IF($C44="","",IFERROR(INDEX(สินค้า!$A$5:$A$204,MATCH($C44,สินค้า!$B$5:$B$204,0)),"ไม่พบสินค้า"))</f>
        <v/>
      </c>
      <c r="E44" s="17">
        <f>IF($C44="","",IFERROR(INDEX(สินค้า!$C$5:$C$204,MATCH($C44,สินค้า!$B$5:$B$204,0)),"ไม่พบสินค้า"))</f>
        <v/>
      </c>
      <c r="F44" s="17">
        <f>IF($C44="","",IFERROR(INDEX(สินค้า!$D$5:$D$204,MATCH($C44,สินค้า!$B$5:$B$204,0)),"ไม่พบสินค้า"))</f>
        <v/>
      </c>
      <c r="G44" s="15" t="n"/>
      <c r="H44" s="15" t="n"/>
      <c r="I44" s="18">
        <f>IF(AND(ISNUMBER(G44),ISNUMBER(H44),G44&gt;0),H44/G44,"")</f>
        <v/>
      </c>
      <c r="J44" s="15" t="n"/>
      <c r="K44" s="15" t="n"/>
      <c r="L44" s="17">
        <f>IF(A44="","",TEXT(A44,"yyyy-mm"))</f>
        <v/>
      </c>
      <c r="M44" s="17">
        <f>IF(AND(A44&lt;&gt;"",J44="Pending"),TODAY()-A44,"")</f>
        <v/>
      </c>
    </row>
    <row r="45">
      <c r="A45" s="16" t="n"/>
      <c r="B45" s="15" t="n"/>
      <c r="C45" s="15" t="n"/>
      <c r="D45" s="17">
        <f>IF($C45="","",IFERROR(INDEX(สินค้า!$A$5:$A$204,MATCH($C45,สินค้า!$B$5:$B$204,0)),"ไม่พบสินค้า"))</f>
        <v/>
      </c>
      <c r="E45" s="17">
        <f>IF($C45="","",IFERROR(INDEX(สินค้า!$C$5:$C$204,MATCH($C45,สินค้า!$B$5:$B$204,0)),"ไม่พบสินค้า"))</f>
        <v/>
      </c>
      <c r="F45" s="17">
        <f>IF($C45="","",IFERROR(INDEX(สินค้า!$D$5:$D$204,MATCH($C45,สินค้า!$B$5:$B$204,0)),"ไม่พบสินค้า"))</f>
        <v/>
      </c>
      <c r="G45" s="15" t="n"/>
      <c r="H45" s="15" t="n"/>
      <c r="I45" s="18">
        <f>IF(AND(ISNUMBER(G45),ISNUMBER(H45),G45&gt;0),H45/G45,"")</f>
        <v/>
      </c>
      <c r="J45" s="15" t="n"/>
      <c r="K45" s="15" t="n"/>
      <c r="L45" s="17">
        <f>IF(A45="","",TEXT(A45,"yyyy-mm"))</f>
        <v/>
      </c>
      <c r="M45" s="17">
        <f>IF(AND(A45&lt;&gt;"",J45="Pending"),TODAY()-A45,"")</f>
        <v/>
      </c>
    </row>
    <row r="46">
      <c r="A46" s="16" t="n"/>
      <c r="B46" s="15" t="n"/>
      <c r="C46" s="15" t="n"/>
      <c r="D46" s="17">
        <f>IF($C46="","",IFERROR(INDEX(สินค้า!$A$5:$A$204,MATCH($C46,สินค้า!$B$5:$B$204,0)),"ไม่พบสินค้า"))</f>
        <v/>
      </c>
      <c r="E46" s="17">
        <f>IF($C46="","",IFERROR(INDEX(สินค้า!$C$5:$C$204,MATCH($C46,สินค้า!$B$5:$B$204,0)),"ไม่พบสินค้า"))</f>
        <v/>
      </c>
      <c r="F46" s="17">
        <f>IF($C46="","",IFERROR(INDEX(สินค้า!$D$5:$D$204,MATCH($C46,สินค้า!$B$5:$B$204,0)),"ไม่พบสินค้า"))</f>
        <v/>
      </c>
      <c r="G46" s="15" t="n"/>
      <c r="H46" s="15" t="n"/>
      <c r="I46" s="18">
        <f>IF(AND(ISNUMBER(G46),ISNUMBER(H46),G46&gt;0),H46/G46,"")</f>
        <v/>
      </c>
      <c r="J46" s="15" t="n"/>
      <c r="K46" s="15" t="n"/>
      <c r="L46" s="17">
        <f>IF(A46="","",TEXT(A46,"yyyy-mm"))</f>
        <v/>
      </c>
      <c r="M46" s="17">
        <f>IF(AND(A46&lt;&gt;"",J46="Pending"),TODAY()-A46,"")</f>
        <v/>
      </c>
    </row>
    <row r="47">
      <c r="A47" s="16" t="n"/>
      <c r="B47" s="15" t="n"/>
      <c r="C47" s="15" t="n"/>
      <c r="D47" s="17">
        <f>IF($C47="","",IFERROR(INDEX(สินค้า!$A$5:$A$204,MATCH($C47,สินค้า!$B$5:$B$204,0)),"ไม่พบสินค้า"))</f>
        <v/>
      </c>
      <c r="E47" s="17">
        <f>IF($C47="","",IFERROR(INDEX(สินค้า!$C$5:$C$204,MATCH($C47,สินค้า!$B$5:$B$204,0)),"ไม่พบสินค้า"))</f>
        <v/>
      </c>
      <c r="F47" s="17">
        <f>IF($C47="","",IFERROR(INDEX(สินค้า!$D$5:$D$204,MATCH($C47,สินค้า!$B$5:$B$204,0)),"ไม่พบสินค้า"))</f>
        <v/>
      </c>
      <c r="G47" s="15" t="n"/>
      <c r="H47" s="15" t="n"/>
      <c r="I47" s="18">
        <f>IF(AND(ISNUMBER(G47),ISNUMBER(H47),G47&gt;0),H47/G47,"")</f>
        <v/>
      </c>
      <c r="J47" s="15" t="n"/>
      <c r="K47" s="15" t="n"/>
      <c r="L47" s="17">
        <f>IF(A47="","",TEXT(A47,"yyyy-mm"))</f>
        <v/>
      </c>
      <c r="M47" s="17">
        <f>IF(AND(A47&lt;&gt;"",J47="Pending"),TODAY()-A47,"")</f>
        <v/>
      </c>
    </row>
    <row r="48">
      <c r="A48" s="16" t="n"/>
      <c r="B48" s="15" t="n"/>
      <c r="C48" s="15" t="n"/>
      <c r="D48" s="17">
        <f>IF($C48="","",IFERROR(INDEX(สินค้า!$A$5:$A$204,MATCH($C48,สินค้า!$B$5:$B$204,0)),"ไม่พบสินค้า"))</f>
        <v/>
      </c>
      <c r="E48" s="17">
        <f>IF($C48="","",IFERROR(INDEX(สินค้า!$C$5:$C$204,MATCH($C48,สินค้า!$B$5:$B$204,0)),"ไม่พบสินค้า"))</f>
        <v/>
      </c>
      <c r="F48" s="17">
        <f>IF($C48="","",IFERROR(INDEX(สินค้า!$D$5:$D$204,MATCH($C48,สินค้า!$B$5:$B$204,0)),"ไม่พบสินค้า"))</f>
        <v/>
      </c>
      <c r="G48" s="15" t="n"/>
      <c r="H48" s="15" t="n"/>
      <c r="I48" s="18">
        <f>IF(AND(ISNUMBER(G48),ISNUMBER(H48),G48&gt;0),H48/G48,"")</f>
        <v/>
      </c>
      <c r="J48" s="15" t="n"/>
      <c r="K48" s="15" t="n"/>
      <c r="L48" s="17">
        <f>IF(A48="","",TEXT(A48,"yyyy-mm"))</f>
        <v/>
      </c>
      <c r="M48" s="17">
        <f>IF(AND(A48&lt;&gt;"",J48="Pending"),TODAY()-A48,"")</f>
        <v/>
      </c>
    </row>
    <row r="49">
      <c r="A49" s="16" t="n"/>
      <c r="B49" s="15" t="n"/>
      <c r="C49" s="15" t="n"/>
      <c r="D49" s="17">
        <f>IF($C49="","",IFERROR(INDEX(สินค้า!$A$5:$A$204,MATCH($C49,สินค้า!$B$5:$B$204,0)),"ไม่พบสินค้า"))</f>
        <v/>
      </c>
      <c r="E49" s="17">
        <f>IF($C49="","",IFERROR(INDEX(สินค้า!$C$5:$C$204,MATCH($C49,สินค้า!$B$5:$B$204,0)),"ไม่พบสินค้า"))</f>
        <v/>
      </c>
      <c r="F49" s="17">
        <f>IF($C49="","",IFERROR(INDEX(สินค้า!$D$5:$D$204,MATCH($C49,สินค้า!$B$5:$B$204,0)),"ไม่พบสินค้า"))</f>
        <v/>
      </c>
      <c r="G49" s="15" t="n"/>
      <c r="H49" s="15" t="n"/>
      <c r="I49" s="18">
        <f>IF(AND(ISNUMBER(G49),ISNUMBER(H49),G49&gt;0),H49/G49,"")</f>
        <v/>
      </c>
      <c r="J49" s="15" t="n"/>
      <c r="K49" s="15" t="n"/>
      <c r="L49" s="17">
        <f>IF(A49="","",TEXT(A49,"yyyy-mm"))</f>
        <v/>
      </c>
      <c r="M49" s="17">
        <f>IF(AND(A49&lt;&gt;"",J49="Pending"),TODAY()-A49,"")</f>
        <v/>
      </c>
    </row>
    <row r="50">
      <c r="A50" s="16" t="n"/>
      <c r="B50" s="15" t="n"/>
      <c r="C50" s="15" t="n"/>
      <c r="D50" s="17">
        <f>IF($C50="","",IFERROR(INDEX(สินค้า!$A$5:$A$204,MATCH($C50,สินค้า!$B$5:$B$204,0)),"ไม่พบสินค้า"))</f>
        <v/>
      </c>
      <c r="E50" s="17">
        <f>IF($C50="","",IFERROR(INDEX(สินค้า!$C$5:$C$204,MATCH($C50,สินค้า!$B$5:$B$204,0)),"ไม่พบสินค้า"))</f>
        <v/>
      </c>
      <c r="F50" s="17">
        <f>IF($C50="","",IFERROR(INDEX(สินค้า!$D$5:$D$204,MATCH($C50,สินค้า!$B$5:$B$204,0)),"ไม่พบสินค้า"))</f>
        <v/>
      </c>
      <c r="G50" s="15" t="n"/>
      <c r="H50" s="15" t="n"/>
      <c r="I50" s="18">
        <f>IF(AND(ISNUMBER(G50),ISNUMBER(H50),G50&gt;0),H50/G50,"")</f>
        <v/>
      </c>
      <c r="J50" s="15" t="n"/>
      <c r="K50" s="15" t="n"/>
      <c r="L50" s="17">
        <f>IF(A50="","",TEXT(A50,"yyyy-mm"))</f>
        <v/>
      </c>
      <c r="M50" s="17">
        <f>IF(AND(A50&lt;&gt;"",J50="Pending"),TODAY()-A50,"")</f>
        <v/>
      </c>
    </row>
    <row r="51">
      <c r="A51" s="16" t="n"/>
      <c r="B51" s="15" t="n"/>
      <c r="C51" s="15" t="n"/>
      <c r="D51" s="17">
        <f>IF($C51="","",IFERROR(INDEX(สินค้า!$A$5:$A$204,MATCH($C51,สินค้า!$B$5:$B$204,0)),"ไม่พบสินค้า"))</f>
        <v/>
      </c>
      <c r="E51" s="17">
        <f>IF($C51="","",IFERROR(INDEX(สินค้า!$C$5:$C$204,MATCH($C51,สินค้า!$B$5:$B$204,0)),"ไม่พบสินค้า"))</f>
        <v/>
      </c>
      <c r="F51" s="17">
        <f>IF($C51="","",IFERROR(INDEX(สินค้า!$D$5:$D$204,MATCH($C51,สินค้า!$B$5:$B$204,0)),"ไม่พบสินค้า"))</f>
        <v/>
      </c>
      <c r="G51" s="15" t="n"/>
      <c r="H51" s="15" t="n"/>
      <c r="I51" s="18">
        <f>IF(AND(ISNUMBER(G51),ISNUMBER(H51),G51&gt;0),H51/G51,"")</f>
        <v/>
      </c>
      <c r="J51" s="15" t="n"/>
      <c r="K51" s="15" t="n"/>
      <c r="L51" s="17">
        <f>IF(A51="","",TEXT(A51,"yyyy-mm"))</f>
        <v/>
      </c>
      <c r="M51" s="17">
        <f>IF(AND(A51&lt;&gt;"",J51="Pending"),TODAY()-A51,"")</f>
        <v/>
      </c>
    </row>
    <row r="52">
      <c r="A52" s="16" t="n"/>
      <c r="B52" s="15" t="n"/>
      <c r="C52" s="15" t="n"/>
      <c r="D52" s="17">
        <f>IF($C52="","",IFERROR(INDEX(สินค้า!$A$5:$A$204,MATCH($C52,สินค้า!$B$5:$B$204,0)),"ไม่พบสินค้า"))</f>
        <v/>
      </c>
      <c r="E52" s="17">
        <f>IF($C52="","",IFERROR(INDEX(สินค้า!$C$5:$C$204,MATCH($C52,สินค้า!$B$5:$B$204,0)),"ไม่พบสินค้า"))</f>
        <v/>
      </c>
      <c r="F52" s="17">
        <f>IF($C52="","",IFERROR(INDEX(สินค้า!$D$5:$D$204,MATCH($C52,สินค้า!$B$5:$B$204,0)),"ไม่พบสินค้า"))</f>
        <v/>
      </c>
      <c r="G52" s="15" t="n"/>
      <c r="H52" s="15" t="n"/>
      <c r="I52" s="18">
        <f>IF(AND(ISNUMBER(G52),ISNUMBER(H52),G52&gt;0),H52/G52,"")</f>
        <v/>
      </c>
      <c r="J52" s="15" t="n"/>
      <c r="K52" s="15" t="n"/>
      <c r="L52" s="17">
        <f>IF(A52="","",TEXT(A52,"yyyy-mm"))</f>
        <v/>
      </c>
      <c r="M52" s="17">
        <f>IF(AND(A52&lt;&gt;"",J52="Pending"),TODAY()-A52,"")</f>
        <v/>
      </c>
    </row>
    <row r="53">
      <c r="A53" s="16" t="n"/>
      <c r="B53" s="15" t="n"/>
      <c r="C53" s="15" t="n"/>
      <c r="D53" s="17">
        <f>IF($C53="","",IFERROR(INDEX(สินค้า!$A$5:$A$204,MATCH($C53,สินค้า!$B$5:$B$204,0)),"ไม่พบสินค้า"))</f>
        <v/>
      </c>
      <c r="E53" s="17">
        <f>IF($C53="","",IFERROR(INDEX(สินค้า!$C$5:$C$204,MATCH($C53,สินค้า!$B$5:$B$204,0)),"ไม่พบสินค้า"))</f>
        <v/>
      </c>
      <c r="F53" s="17">
        <f>IF($C53="","",IFERROR(INDEX(สินค้า!$D$5:$D$204,MATCH($C53,สินค้า!$B$5:$B$204,0)),"ไม่พบสินค้า"))</f>
        <v/>
      </c>
      <c r="G53" s="15" t="n"/>
      <c r="H53" s="15" t="n"/>
      <c r="I53" s="18">
        <f>IF(AND(ISNUMBER(G53),ISNUMBER(H53),G53&gt;0),H53/G53,"")</f>
        <v/>
      </c>
      <c r="J53" s="15" t="n"/>
      <c r="K53" s="15" t="n"/>
      <c r="L53" s="17">
        <f>IF(A53="","",TEXT(A53,"yyyy-mm"))</f>
        <v/>
      </c>
      <c r="M53" s="17">
        <f>IF(AND(A53&lt;&gt;"",J53="Pending"),TODAY()-A53,"")</f>
        <v/>
      </c>
    </row>
    <row r="54">
      <c r="A54" s="16" t="n"/>
      <c r="B54" s="15" t="n"/>
      <c r="C54" s="15" t="n"/>
      <c r="D54" s="17">
        <f>IF($C54="","",IFERROR(INDEX(สินค้า!$A$5:$A$204,MATCH($C54,สินค้า!$B$5:$B$204,0)),"ไม่พบสินค้า"))</f>
        <v/>
      </c>
      <c r="E54" s="17">
        <f>IF($C54="","",IFERROR(INDEX(สินค้า!$C$5:$C$204,MATCH($C54,สินค้า!$B$5:$B$204,0)),"ไม่พบสินค้า"))</f>
        <v/>
      </c>
      <c r="F54" s="17">
        <f>IF($C54="","",IFERROR(INDEX(สินค้า!$D$5:$D$204,MATCH($C54,สินค้า!$B$5:$B$204,0)),"ไม่พบสินค้า"))</f>
        <v/>
      </c>
      <c r="G54" s="15" t="n"/>
      <c r="H54" s="15" t="n"/>
      <c r="I54" s="18">
        <f>IF(AND(ISNUMBER(G54),ISNUMBER(H54),G54&gt;0),H54/G54,"")</f>
        <v/>
      </c>
      <c r="J54" s="15" t="n"/>
      <c r="K54" s="15" t="n"/>
      <c r="L54" s="17">
        <f>IF(A54="","",TEXT(A54,"yyyy-mm"))</f>
        <v/>
      </c>
      <c r="M54" s="17">
        <f>IF(AND(A54&lt;&gt;"",J54="Pending"),TODAY()-A54,"")</f>
        <v/>
      </c>
    </row>
    <row r="55">
      <c r="A55" s="16" t="n"/>
      <c r="B55" s="15" t="n"/>
      <c r="C55" s="15" t="n"/>
      <c r="D55" s="17">
        <f>IF($C55="","",IFERROR(INDEX(สินค้า!$A$5:$A$204,MATCH($C55,สินค้า!$B$5:$B$204,0)),"ไม่พบสินค้า"))</f>
        <v/>
      </c>
      <c r="E55" s="17">
        <f>IF($C55="","",IFERROR(INDEX(สินค้า!$C$5:$C$204,MATCH($C55,สินค้า!$B$5:$B$204,0)),"ไม่พบสินค้า"))</f>
        <v/>
      </c>
      <c r="F55" s="17">
        <f>IF($C55="","",IFERROR(INDEX(สินค้า!$D$5:$D$204,MATCH($C55,สินค้า!$B$5:$B$204,0)),"ไม่พบสินค้า"))</f>
        <v/>
      </c>
      <c r="G55" s="15" t="n"/>
      <c r="H55" s="15" t="n"/>
      <c r="I55" s="18">
        <f>IF(AND(ISNUMBER(G55),ISNUMBER(H55),G55&gt;0),H55/G55,"")</f>
        <v/>
      </c>
      <c r="J55" s="15" t="n"/>
      <c r="K55" s="15" t="n"/>
      <c r="L55" s="17">
        <f>IF(A55="","",TEXT(A55,"yyyy-mm"))</f>
        <v/>
      </c>
      <c r="M55" s="17">
        <f>IF(AND(A55&lt;&gt;"",J55="Pending"),TODAY()-A55,"")</f>
        <v/>
      </c>
    </row>
    <row r="56">
      <c r="A56" s="16" t="n"/>
      <c r="B56" s="15" t="n"/>
      <c r="C56" s="15" t="n"/>
      <c r="D56" s="17">
        <f>IF($C56="","",IFERROR(INDEX(สินค้า!$A$5:$A$204,MATCH($C56,สินค้า!$B$5:$B$204,0)),"ไม่พบสินค้า"))</f>
        <v/>
      </c>
      <c r="E56" s="17">
        <f>IF($C56="","",IFERROR(INDEX(สินค้า!$C$5:$C$204,MATCH($C56,สินค้า!$B$5:$B$204,0)),"ไม่พบสินค้า"))</f>
        <v/>
      </c>
      <c r="F56" s="17">
        <f>IF($C56="","",IFERROR(INDEX(สินค้า!$D$5:$D$204,MATCH($C56,สินค้า!$B$5:$B$204,0)),"ไม่พบสินค้า"))</f>
        <v/>
      </c>
      <c r="G56" s="15" t="n"/>
      <c r="H56" s="15" t="n"/>
      <c r="I56" s="18">
        <f>IF(AND(ISNUMBER(G56),ISNUMBER(H56),G56&gt;0),H56/G56,"")</f>
        <v/>
      </c>
      <c r="J56" s="15" t="n"/>
      <c r="K56" s="15" t="n"/>
      <c r="L56" s="17">
        <f>IF(A56="","",TEXT(A56,"yyyy-mm"))</f>
        <v/>
      </c>
      <c r="M56" s="17">
        <f>IF(AND(A56&lt;&gt;"",J56="Pending"),TODAY()-A56,"")</f>
        <v/>
      </c>
    </row>
    <row r="57">
      <c r="A57" s="16" t="n"/>
      <c r="B57" s="15" t="n"/>
      <c r="C57" s="15" t="n"/>
      <c r="D57" s="17">
        <f>IF($C57="","",IFERROR(INDEX(สินค้า!$A$5:$A$204,MATCH($C57,สินค้า!$B$5:$B$204,0)),"ไม่พบสินค้า"))</f>
        <v/>
      </c>
      <c r="E57" s="17">
        <f>IF($C57="","",IFERROR(INDEX(สินค้า!$C$5:$C$204,MATCH($C57,สินค้า!$B$5:$B$204,0)),"ไม่พบสินค้า"))</f>
        <v/>
      </c>
      <c r="F57" s="17">
        <f>IF($C57="","",IFERROR(INDEX(สินค้า!$D$5:$D$204,MATCH($C57,สินค้า!$B$5:$B$204,0)),"ไม่พบสินค้า"))</f>
        <v/>
      </c>
      <c r="G57" s="15" t="n"/>
      <c r="H57" s="15" t="n"/>
      <c r="I57" s="18">
        <f>IF(AND(ISNUMBER(G57),ISNUMBER(H57),G57&gt;0),H57/G57,"")</f>
        <v/>
      </c>
      <c r="J57" s="15" t="n"/>
      <c r="K57" s="15" t="n"/>
      <c r="L57" s="17">
        <f>IF(A57="","",TEXT(A57,"yyyy-mm"))</f>
        <v/>
      </c>
      <c r="M57" s="17">
        <f>IF(AND(A57&lt;&gt;"",J57="Pending"),TODAY()-A57,"")</f>
        <v/>
      </c>
    </row>
    <row r="58">
      <c r="A58" s="16" t="n"/>
      <c r="B58" s="15" t="n"/>
      <c r="C58" s="15" t="n"/>
      <c r="D58" s="17">
        <f>IF($C58="","",IFERROR(INDEX(สินค้า!$A$5:$A$204,MATCH($C58,สินค้า!$B$5:$B$204,0)),"ไม่พบสินค้า"))</f>
        <v/>
      </c>
      <c r="E58" s="17">
        <f>IF($C58="","",IFERROR(INDEX(สินค้า!$C$5:$C$204,MATCH($C58,สินค้า!$B$5:$B$204,0)),"ไม่พบสินค้า"))</f>
        <v/>
      </c>
      <c r="F58" s="17">
        <f>IF($C58="","",IFERROR(INDEX(สินค้า!$D$5:$D$204,MATCH($C58,สินค้า!$B$5:$B$204,0)),"ไม่พบสินค้า"))</f>
        <v/>
      </c>
      <c r="G58" s="15" t="n"/>
      <c r="H58" s="15" t="n"/>
      <c r="I58" s="18">
        <f>IF(AND(ISNUMBER(G58),ISNUMBER(H58),G58&gt;0),H58/G58,"")</f>
        <v/>
      </c>
      <c r="J58" s="15" t="n"/>
      <c r="K58" s="15" t="n"/>
      <c r="L58" s="17">
        <f>IF(A58="","",TEXT(A58,"yyyy-mm"))</f>
        <v/>
      </c>
      <c r="M58" s="17">
        <f>IF(AND(A58&lt;&gt;"",J58="Pending"),TODAY()-A58,"")</f>
        <v/>
      </c>
    </row>
    <row r="59">
      <c r="A59" s="16" t="n"/>
      <c r="B59" s="15" t="n"/>
      <c r="C59" s="15" t="n"/>
      <c r="D59" s="17">
        <f>IF($C59="","",IFERROR(INDEX(สินค้า!$A$5:$A$204,MATCH($C59,สินค้า!$B$5:$B$204,0)),"ไม่พบสินค้า"))</f>
        <v/>
      </c>
      <c r="E59" s="17">
        <f>IF($C59="","",IFERROR(INDEX(สินค้า!$C$5:$C$204,MATCH($C59,สินค้า!$B$5:$B$204,0)),"ไม่พบสินค้า"))</f>
        <v/>
      </c>
      <c r="F59" s="17">
        <f>IF($C59="","",IFERROR(INDEX(สินค้า!$D$5:$D$204,MATCH($C59,สินค้า!$B$5:$B$204,0)),"ไม่พบสินค้า"))</f>
        <v/>
      </c>
      <c r="G59" s="15" t="n"/>
      <c r="H59" s="15" t="n"/>
      <c r="I59" s="18">
        <f>IF(AND(ISNUMBER(G59),ISNUMBER(H59),G59&gt;0),H59/G59,"")</f>
        <v/>
      </c>
      <c r="J59" s="15" t="n"/>
      <c r="K59" s="15" t="n"/>
      <c r="L59" s="17">
        <f>IF(A59="","",TEXT(A59,"yyyy-mm"))</f>
        <v/>
      </c>
      <c r="M59" s="17">
        <f>IF(AND(A59&lt;&gt;"",J59="Pending"),TODAY()-A59,"")</f>
        <v/>
      </c>
    </row>
    <row r="60">
      <c r="A60" s="16" t="n"/>
      <c r="B60" s="15" t="n"/>
      <c r="C60" s="15" t="n"/>
      <c r="D60" s="17">
        <f>IF($C60="","",IFERROR(INDEX(สินค้า!$A$5:$A$204,MATCH($C60,สินค้า!$B$5:$B$204,0)),"ไม่พบสินค้า"))</f>
        <v/>
      </c>
      <c r="E60" s="17">
        <f>IF($C60="","",IFERROR(INDEX(สินค้า!$C$5:$C$204,MATCH($C60,สินค้า!$B$5:$B$204,0)),"ไม่พบสินค้า"))</f>
        <v/>
      </c>
      <c r="F60" s="17">
        <f>IF($C60="","",IFERROR(INDEX(สินค้า!$D$5:$D$204,MATCH($C60,สินค้า!$B$5:$B$204,0)),"ไม่พบสินค้า"))</f>
        <v/>
      </c>
      <c r="G60" s="15" t="n"/>
      <c r="H60" s="15" t="n"/>
      <c r="I60" s="18">
        <f>IF(AND(ISNUMBER(G60),ISNUMBER(H60),G60&gt;0),H60/G60,"")</f>
        <v/>
      </c>
      <c r="J60" s="15" t="n"/>
      <c r="K60" s="15" t="n"/>
      <c r="L60" s="17">
        <f>IF(A60="","",TEXT(A60,"yyyy-mm"))</f>
        <v/>
      </c>
      <c r="M60" s="17">
        <f>IF(AND(A60&lt;&gt;"",J60="Pending"),TODAY()-A60,"")</f>
        <v/>
      </c>
    </row>
    <row r="61">
      <c r="A61" s="16" t="n"/>
      <c r="B61" s="15" t="n"/>
      <c r="C61" s="15" t="n"/>
      <c r="D61" s="17">
        <f>IF($C61="","",IFERROR(INDEX(สินค้า!$A$5:$A$204,MATCH($C61,สินค้า!$B$5:$B$204,0)),"ไม่พบสินค้า"))</f>
        <v/>
      </c>
      <c r="E61" s="17">
        <f>IF($C61="","",IFERROR(INDEX(สินค้า!$C$5:$C$204,MATCH($C61,สินค้า!$B$5:$B$204,0)),"ไม่พบสินค้า"))</f>
        <v/>
      </c>
      <c r="F61" s="17">
        <f>IF($C61="","",IFERROR(INDEX(สินค้า!$D$5:$D$204,MATCH($C61,สินค้า!$B$5:$B$204,0)),"ไม่พบสินค้า"))</f>
        <v/>
      </c>
      <c r="G61" s="15" t="n"/>
      <c r="H61" s="15" t="n"/>
      <c r="I61" s="18">
        <f>IF(AND(ISNUMBER(G61),ISNUMBER(H61),G61&gt;0),H61/G61,"")</f>
        <v/>
      </c>
      <c r="J61" s="15" t="n"/>
      <c r="K61" s="15" t="n"/>
      <c r="L61" s="17">
        <f>IF(A61="","",TEXT(A61,"yyyy-mm"))</f>
        <v/>
      </c>
      <c r="M61" s="17">
        <f>IF(AND(A61&lt;&gt;"",J61="Pending"),TODAY()-A61,"")</f>
        <v/>
      </c>
    </row>
    <row r="62">
      <c r="A62" s="16" t="n"/>
      <c r="B62" s="15" t="n"/>
      <c r="C62" s="15" t="n"/>
      <c r="D62" s="17">
        <f>IF($C62="","",IFERROR(INDEX(สินค้า!$A$5:$A$204,MATCH($C62,สินค้า!$B$5:$B$204,0)),"ไม่พบสินค้า"))</f>
        <v/>
      </c>
      <c r="E62" s="17">
        <f>IF($C62="","",IFERROR(INDEX(สินค้า!$C$5:$C$204,MATCH($C62,สินค้า!$B$5:$B$204,0)),"ไม่พบสินค้า"))</f>
        <v/>
      </c>
      <c r="F62" s="17">
        <f>IF($C62="","",IFERROR(INDEX(สินค้า!$D$5:$D$204,MATCH($C62,สินค้า!$B$5:$B$204,0)),"ไม่พบสินค้า"))</f>
        <v/>
      </c>
      <c r="G62" s="15" t="n"/>
      <c r="H62" s="15" t="n"/>
      <c r="I62" s="18">
        <f>IF(AND(ISNUMBER(G62),ISNUMBER(H62),G62&gt;0),H62/G62,"")</f>
        <v/>
      </c>
      <c r="J62" s="15" t="n"/>
      <c r="K62" s="15" t="n"/>
      <c r="L62" s="17">
        <f>IF(A62="","",TEXT(A62,"yyyy-mm"))</f>
        <v/>
      </c>
      <c r="M62" s="17">
        <f>IF(AND(A62&lt;&gt;"",J62="Pending"),TODAY()-A62,"")</f>
        <v/>
      </c>
    </row>
    <row r="63">
      <c r="A63" s="16" t="n"/>
      <c r="B63" s="15" t="n"/>
      <c r="C63" s="15" t="n"/>
      <c r="D63" s="17">
        <f>IF($C63="","",IFERROR(INDEX(สินค้า!$A$5:$A$204,MATCH($C63,สินค้า!$B$5:$B$204,0)),"ไม่พบสินค้า"))</f>
        <v/>
      </c>
      <c r="E63" s="17">
        <f>IF($C63="","",IFERROR(INDEX(สินค้า!$C$5:$C$204,MATCH($C63,สินค้า!$B$5:$B$204,0)),"ไม่พบสินค้า"))</f>
        <v/>
      </c>
      <c r="F63" s="17">
        <f>IF($C63="","",IFERROR(INDEX(สินค้า!$D$5:$D$204,MATCH($C63,สินค้า!$B$5:$B$204,0)),"ไม่พบสินค้า"))</f>
        <v/>
      </c>
      <c r="G63" s="15" t="n"/>
      <c r="H63" s="15" t="n"/>
      <c r="I63" s="18">
        <f>IF(AND(ISNUMBER(G63),ISNUMBER(H63),G63&gt;0),H63/G63,"")</f>
        <v/>
      </c>
      <c r="J63" s="15" t="n"/>
      <c r="K63" s="15" t="n"/>
      <c r="L63" s="17">
        <f>IF(A63="","",TEXT(A63,"yyyy-mm"))</f>
        <v/>
      </c>
      <c r="M63" s="17">
        <f>IF(AND(A63&lt;&gt;"",J63="Pending"),TODAY()-A63,"")</f>
        <v/>
      </c>
    </row>
    <row r="64">
      <c r="A64" s="16" t="n"/>
      <c r="B64" s="15" t="n"/>
      <c r="C64" s="15" t="n"/>
      <c r="D64" s="17">
        <f>IF($C64="","",IFERROR(INDEX(สินค้า!$A$5:$A$204,MATCH($C64,สินค้า!$B$5:$B$204,0)),"ไม่พบสินค้า"))</f>
        <v/>
      </c>
      <c r="E64" s="17">
        <f>IF($C64="","",IFERROR(INDEX(สินค้า!$C$5:$C$204,MATCH($C64,สินค้า!$B$5:$B$204,0)),"ไม่พบสินค้า"))</f>
        <v/>
      </c>
      <c r="F64" s="17">
        <f>IF($C64="","",IFERROR(INDEX(สินค้า!$D$5:$D$204,MATCH($C64,สินค้า!$B$5:$B$204,0)),"ไม่พบสินค้า"))</f>
        <v/>
      </c>
      <c r="G64" s="15" t="n"/>
      <c r="H64" s="15" t="n"/>
      <c r="I64" s="18">
        <f>IF(AND(ISNUMBER(G64),ISNUMBER(H64),G64&gt;0),H64/G64,"")</f>
        <v/>
      </c>
      <c r="J64" s="15" t="n"/>
      <c r="K64" s="15" t="n"/>
      <c r="L64" s="17">
        <f>IF(A64="","",TEXT(A64,"yyyy-mm"))</f>
        <v/>
      </c>
      <c r="M64" s="17">
        <f>IF(AND(A64&lt;&gt;"",J64="Pending"),TODAY()-A64,"")</f>
        <v/>
      </c>
    </row>
    <row r="65">
      <c r="A65" s="16" t="n"/>
      <c r="B65" s="15" t="n"/>
      <c r="C65" s="15" t="n"/>
      <c r="D65" s="17">
        <f>IF($C65="","",IFERROR(INDEX(สินค้า!$A$5:$A$204,MATCH($C65,สินค้า!$B$5:$B$204,0)),"ไม่พบสินค้า"))</f>
        <v/>
      </c>
      <c r="E65" s="17">
        <f>IF($C65="","",IFERROR(INDEX(สินค้า!$C$5:$C$204,MATCH($C65,สินค้า!$B$5:$B$204,0)),"ไม่พบสินค้า"))</f>
        <v/>
      </c>
      <c r="F65" s="17">
        <f>IF($C65="","",IFERROR(INDEX(สินค้า!$D$5:$D$204,MATCH($C65,สินค้า!$B$5:$B$204,0)),"ไม่พบสินค้า"))</f>
        <v/>
      </c>
      <c r="G65" s="15" t="n"/>
      <c r="H65" s="15" t="n"/>
      <c r="I65" s="18">
        <f>IF(AND(ISNUMBER(G65),ISNUMBER(H65),G65&gt;0),H65/G65,"")</f>
        <v/>
      </c>
      <c r="J65" s="15" t="n"/>
      <c r="K65" s="15" t="n"/>
      <c r="L65" s="17">
        <f>IF(A65="","",TEXT(A65,"yyyy-mm"))</f>
        <v/>
      </c>
      <c r="M65" s="17">
        <f>IF(AND(A65&lt;&gt;"",J65="Pending"),TODAY()-A65,"")</f>
        <v/>
      </c>
    </row>
    <row r="66">
      <c r="A66" s="16" t="n"/>
      <c r="B66" s="15" t="n"/>
      <c r="C66" s="15" t="n"/>
      <c r="D66" s="17">
        <f>IF($C66="","",IFERROR(INDEX(สินค้า!$A$5:$A$204,MATCH($C66,สินค้า!$B$5:$B$204,0)),"ไม่พบสินค้า"))</f>
        <v/>
      </c>
      <c r="E66" s="17">
        <f>IF($C66="","",IFERROR(INDEX(สินค้า!$C$5:$C$204,MATCH($C66,สินค้า!$B$5:$B$204,0)),"ไม่พบสินค้า"))</f>
        <v/>
      </c>
      <c r="F66" s="17">
        <f>IF($C66="","",IFERROR(INDEX(สินค้า!$D$5:$D$204,MATCH($C66,สินค้า!$B$5:$B$204,0)),"ไม่พบสินค้า"))</f>
        <v/>
      </c>
      <c r="G66" s="15" t="n"/>
      <c r="H66" s="15" t="n"/>
      <c r="I66" s="18">
        <f>IF(AND(ISNUMBER(G66),ISNUMBER(H66),G66&gt;0),H66/G66,"")</f>
        <v/>
      </c>
      <c r="J66" s="15" t="n"/>
      <c r="K66" s="15" t="n"/>
      <c r="L66" s="17">
        <f>IF(A66="","",TEXT(A66,"yyyy-mm"))</f>
        <v/>
      </c>
      <c r="M66" s="17">
        <f>IF(AND(A66&lt;&gt;"",J66="Pending"),TODAY()-A66,"")</f>
        <v/>
      </c>
    </row>
    <row r="67">
      <c r="A67" s="16" t="n"/>
      <c r="B67" s="15" t="n"/>
      <c r="C67" s="15" t="n"/>
      <c r="D67" s="17">
        <f>IF($C67="","",IFERROR(INDEX(สินค้า!$A$5:$A$204,MATCH($C67,สินค้า!$B$5:$B$204,0)),"ไม่พบสินค้า"))</f>
        <v/>
      </c>
      <c r="E67" s="17">
        <f>IF($C67="","",IFERROR(INDEX(สินค้า!$C$5:$C$204,MATCH($C67,สินค้า!$B$5:$B$204,0)),"ไม่พบสินค้า"))</f>
        <v/>
      </c>
      <c r="F67" s="17">
        <f>IF($C67="","",IFERROR(INDEX(สินค้า!$D$5:$D$204,MATCH($C67,สินค้า!$B$5:$B$204,0)),"ไม่พบสินค้า"))</f>
        <v/>
      </c>
      <c r="G67" s="15" t="n"/>
      <c r="H67" s="15" t="n"/>
      <c r="I67" s="18">
        <f>IF(AND(ISNUMBER(G67),ISNUMBER(H67),G67&gt;0),H67/G67,"")</f>
        <v/>
      </c>
      <c r="J67" s="15" t="n"/>
      <c r="K67" s="15" t="n"/>
      <c r="L67" s="17">
        <f>IF(A67="","",TEXT(A67,"yyyy-mm"))</f>
        <v/>
      </c>
      <c r="M67" s="17">
        <f>IF(AND(A67&lt;&gt;"",J67="Pending"),TODAY()-A67,"")</f>
        <v/>
      </c>
    </row>
    <row r="68">
      <c r="A68" s="16" t="n"/>
      <c r="B68" s="15" t="n"/>
      <c r="C68" s="15" t="n"/>
      <c r="D68" s="17">
        <f>IF($C68="","",IFERROR(INDEX(สินค้า!$A$5:$A$204,MATCH($C68,สินค้า!$B$5:$B$204,0)),"ไม่พบสินค้า"))</f>
        <v/>
      </c>
      <c r="E68" s="17">
        <f>IF($C68="","",IFERROR(INDEX(สินค้า!$C$5:$C$204,MATCH($C68,สินค้า!$B$5:$B$204,0)),"ไม่พบสินค้า"))</f>
        <v/>
      </c>
      <c r="F68" s="17">
        <f>IF($C68="","",IFERROR(INDEX(สินค้า!$D$5:$D$204,MATCH($C68,สินค้า!$B$5:$B$204,0)),"ไม่พบสินค้า"))</f>
        <v/>
      </c>
      <c r="G68" s="15" t="n"/>
      <c r="H68" s="15" t="n"/>
      <c r="I68" s="18">
        <f>IF(AND(ISNUMBER(G68),ISNUMBER(H68),G68&gt;0),H68/G68,"")</f>
        <v/>
      </c>
      <c r="J68" s="15" t="n"/>
      <c r="K68" s="15" t="n"/>
      <c r="L68" s="17">
        <f>IF(A68="","",TEXT(A68,"yyyy-mm"))</f>
        <v/>
      </c>
      <c r="M68" s="17">
        <f>IF(AND(A68&lt;&gt;"",J68="Pending"),TODAY()-A68,"")</f>
        <v/>
      </c>
    </row>
    <row r="69">
      <c r="A69" s="16" t="n"/>
      <c r="B69" s="15" t="n"/>
      <c r="C69" s="15" t="n"/>
      <c r="D69" s="17">
        <f>IF($C69="","",IFERROR(INDEX(สินค้า!$A$5:$A$204,MATCH($C69,สินค้า!$B$5:$B$204,0)),"ไม่พบสินค้า"))</f>
        <v/>
      </c>
      <c r="E69" s="17">
        <f>IF($C69="","",IFERROR(INDEX(สินค้า!$C$5:$C$204,MATCH($C69,สินค้า!$B$5:$B$204,0)),"ไม่พบสินค้า"))</f>
        <v/>
      </c>
      <c r="F69" s="17">
        <f>IF($C69="","",IFERROR(INDEX(สินค้า!$D$5:$D$204,MATCH($C69,สินค้า!$B$5:$B$204,0)),"ไม่พบสินค้า"))</f>
        <v/>
      </c>
      <c r="G69" s="15" t="n"/>
      <c r="H69" s="15" t="n"/>
      <c r="I69" s="18">
        <f>IF(AND(ISNUMBER(G69),ISNUMBER(H69),G69&gt;0),H69/G69,"")</f>
        <v/>
      </c>
      <c r="J69" s="15" t="n"/>
      <c r="K69" s="15" t="n"/>
      <c r="L69" s="17">
        <f>IF(A69="","",TEXT(A69,"yyyy-mm"))</f>
        <v/>
      </c>
      <c r="M69" s="17">
        <f>IF(AND(A69&lt;&gt;"",J69="Pending"),TODAY()-A69,"")</f>
        <v/>
      </c>
    </row>
    <row r="70">
      <c r="A70" s="16" t="n"/>
      <c r="B70" s="15" t="n"/>
      <c r="C70" s="15" t="n"/>
      <c r="D70" s="17">
        <f>IF($C70="","",IFERROR(INDEX(สินค้า!$A$5:$A$204,MATCH($C70,สินค้า!$B$5:$B$204,0)),"ไม่พบสินค้า"))</f>
        <v/>
      </c>
      <c r="E70" s="17">
        <f>IF($C70="","",IFERROR(INDEX(สินค้า!$C$5:$C$204,MATCH($C70,สินค้า!$B$5:$B$204,0)),"ไม่พบสินค้า"))</f>
        <v/>
      </c>
      <c r="F70" s="17">
        <f>IF($C70="","",IFERROR(INDEX(สินค้า!$D$5:$D$204,MATCH($C70,สินค้า!$B$5:$B$204,0)),"ไม่พบสินค้า"))</f>
        <v/>
      </c>
      <c r="G70" s="15" t="n"/>
      <c r="H70" s="15" t="n"/>
      <c r="I70" s="18">
        <f>IF(AND(ISNUMBER(G70),ISNUMBER(H70),G70&gt;0),H70/G70,"")</f>
        <v/>
      </c>
      <c r="J70" s="15" t="n"/>
      <c r="K70" s="15" t="n"/>
      <c r="L70" s="17">
        <f>IF(A70="","",TEXT(A70,"yyyy-mm"))</f>
        <v/>
      </c>
      <c r="M70" s="17">
        <f>IF(AND(A70&lt;&gt;"",J70="Pending"),TODAY()-A70,"")</f>
        <v/>
      </c>
    </row>
    <row r="71">
      <c r="A71" s="16" t="n"/>
      <c r="B71" s="15" t="n"/>
      <c r="C71" s="15" t="n"/>
      <c r="D71" s="17">
        <f>IF($C71="","",IFERROR(INDEX(สินค้า!$A$5:$A$204,MATCH($C71,สินค้า!$B$5:$B$204,0)),"ไม่พบสินค้า"))</f>
        <v/>
      </c>
      <c r="E71" s="17">
        <f>IF($C71="","",IFERROR(INDEX(สินค้า!$C$5:$C$204,MATCH($C71,สินค้า!$B$5:$B$204,0)),"ไม่พบสินค้า"))</f>
        <v/>
      </c>
      <c r="F71" s="17">
        <f>IF($C71="","",IFERROR(INDEX(สินค้า!$D$5:$D$204,MATCH($C71,สินค้า!$B$5:$B$204,0)),"ไม่พบสินค้า"))</f>
        <v/>
      </c>
      <c r="G71" s="15" t="n"/>
      <c r="H71" s="15" t="n"/>
      <c r="I71" s="18">
        <f>IF(AND(ISNUMBER(G71),ISNUMBER(H71),G71&gt;0),H71/G71,"")</f>
        <v/>
      </c>
      <c r="J71" s="15" t="n"/>
      <c r="K71" s="15" t="n"/>
      <c r="L71" s="17">
        <f>IF(A71="","",TEXT(A71,"yyyy-mm"))</f>
        <v/>
      </c>
      <c r="M71" s="17">
        <f>IF(AND(A71&lt;&gt;"",J71="Pending"),TODAY()-A71,"")</f>
        <v/>
      </c>
    </row>
    <row r="72">
      <c r="A72" s="16" t="n"/>
      <c r="B72" s="15" t="n"/>
      <c r="C72" s="15" t="n"/>
      <c r="D72" s="17">
        <f>IF($C72="","",IFERROR(INDEX(สินค้า!$A$5:$A$204,MATCH($C72,สินค้า!$B$5:$B$204,0)),"ไม่พบสินค้า"))</f>
        <v/>
      </c>
      <c r="E72" s="17">
        <f>IF($C72="","",IFERROR(INDEX(สินค้า!$C$5:$C$204,MATCH($C72,สินค้า!$B$5:$B$204,0)),"ไม่พบสินค้า"))</f>
        <v/>
      </c>
      <c r="F72" s="17">
        <f>IF($C72="","",IFERROR(INDEX(สินค้า!$D$5:$D$204,MATCH($C72,สินค้า!$B$5:$B$204,0)),"ไม่พบสินค้า"))</f>
        <v/>
      </c>
      <c r="G72" s="15" t="n"/>
      <c r="H72" s="15" t="n"/>
      <c r="I72" s="18">
        <f>IF(AND(ISNUMBER(G72),ISNUMBER(H72),G72&gt;0),H72/G72,"")</f>
        <v/>
      </c>
      <c r="J72" s="15" t="n"/>
      <c r="K72" s="15" t="n"/>
      <c r="L72" s="17">
        <f>IF(A72="","",TEXT(A72,"yyyy-mm"))</f>
        <v/>
      </c>
      <c r="M72" s="17">
        <f>IF(AND(A72&lt;&gt;"",J72="Pending"),TODAY()-A72,"")</f>
        <v/>
      </c>
    </row>
    <row r="73">
      <c r="A73" s="16" t="n"/>
      <c r="B73" s="15" t="n"/>
      <c r="C73" s="15" t="n"/>
      <c r="D73" s="17">
        <f>IF($C73="","",IFERROR(INDEX(สินค้า!$A$5:$A$204,MATCH($C73,สินค้า!$B$5:$B$204,0)),"ไม่พบสินค้า"))</f>
        <v/>
      </c>
      <c r="E73" s="17">
        <f>IF($C73="","",IFERROR(INDEX(สินค้า!$C$5:$C$204,MATCH($C73,สินค้า!$B$5:$B$204,0)),"ไม่พบสินค้า"))</f>
        <v/>
      </c>
      <c r="F73" s="17">
        <f>IF($C73="","",IFERROR(INDEX(สินค้า!$D$5:$D$204,MATCH($C73,สินค้า!$B$5:$B$204,0)),"ไม่พบสินค้า"))</f>
        <v/>
      </c>
      <c r="G73" s="15" t="n"/>
      <c r="H73" s="15" t="n"/>
      <c r="I73" s="18">
        <f>IF(AND(ISNUMBER(G73),ISNUMBER(H73),G73&gt;0),H73/G73,"")</f>
        <v/>
      </c>
      <c r="J73" s="15" t="n"/>
      <c r="K73" s="15" t="n"/>
      <c r="L73" s="17">
        <f>IF(A73="","",TEXT(A73,"yyyy-mm"))</f>
        <v/>
      </c>
      <c r="M73" s="17">
        <f>IF(AND(A73&lt;&gt;"",J73="Pending"),TODAY()-A73,"")</f>
        <v/>
      </c>
    </row>
    <row r="74">
      <c r="A74" s="16" t="n"/>
      <c r="B74" s="15" t="n"/>
      <c r="C74" s="15" t="n"/>
      <c r="D74" s="17">
        <f>IF($C74="","",IFERROR(INDEX(สินค้า!$A$5:$A$204,MATCH($C74,สินค้า!$B$5:$B$204,0)),"ไม่พบสินค้า"))</f>
        <v/>
      </c>
      <c r="E74" s="17">
        <f>IF($C74="","",IFERROR(INDEX(สินค้า!$C$5:$C$204,MATCH($C74,สินค้า!$B$5:$B$204,0)),"ไม่พบสินค้า"))</f>
        <v/>
      </c>
      <c r="F74" s="17">
        <f>IF($C74="","",IFERROR(INDEX(สินค้า!$D$5:$D$204,MATCH($C74,สินค้า!$B$5:$B$204,0)),"ไม่พบสินค้า"))</f>
        <v/>
      </c>
      <c r="G74" s="15" t="n"/>
      <c r="H74" s="15" t="n"/>
      <c r="I74" s="18">
        <f>IF(AND(ISNUMBER(G74),ISNUMBER(H74),G74&gt;0),H74/G74,"")</f>
        <v/>
      </c>
      <c r="J74" s="15" t="n"/>
      <c r="K74" s="15" t="n"/>
      <c r="L74" s="17">
        <f>IF(A74="","",TEXT(A74,"yyyy-mm"))</f>
        <v/>
      </c>
      <c r="M74" s="17">
        <f>IF(AND(A74&lt;&gt;"",J74="Pending"),TODAY()-A74,"")</f>
        <v/>
      </c>
    </row>
    <row r="75">
      <c r="A75" s="16" t="n"/>
      <c r="B75" s="15" t="n"/>
      <c r="C75" s="15" t="n"/>
      <c r="D75" s="17">
        <f>IF($C75="","",IFERROR(INDEX(สินค้า!$A$5:$A$204,MATCH($C75,สินค้า!$B$5:$B$204,0)),"ไม่พบสินค้า"))</f>
        <v/>
      </c>
      <c r="E75" s="17">
        <f>IF($C75="","",IFERROR(INDEX(สินค้า!$C$5:$C$204,MATCH($C75,สินค้า!$B$5:$B$204,0)),"ไม่พบสินค้า"))</f>
        <v/>
      </c>
      <c r="F75" s="17">
        <f>IF($C75="","",IFERROR(INDEX(สินค้า!$D$5:$D$204,MATCH($C75,สินค้า!$B$5:$B$204,0)),"ไม่พบสินค้า"))</f>
        <v/>
      </c>
      <c r="G75" s="15" t="n"/>
      <c r="H75" s="15" t="n"/>
      <c r="I75" s="18">
        <f>IF(AND(ISNUMBER(G75),ISNUMBER(H75),G75&gt;0),H75/G75,"")</f>
        <v/>
      </c>
      <c r="J75" s="15" t="n"/>
      <c r="K75" s="15" t="n"/>
      <c r="L75" s="17">
        <f>IF(A75="","",TEXT(A75,"yyyy-mm"))</f>
        <v/>
      </c>
      <c r="M75" s="17">
        <f>IF(AND(A75&lt;&gt;"",J75="Pending"),TODAY()-A75,"")</f>
        <v/>
      </c>
    </row>
    <row r="76">
      <c r="A76" s="16" t="n"/>
      <c r="B76" s="15" t="n"/>
      <c r="C76" s="15" t="n"/>
      <c r="D76" s="17">
        <f>IF($C76="","",IFERROR(INDEX(สินค้า!$A$5:$A$204,MATCH($C76,สินค้า!$B$5:$B$204,0)),"ไม่พบสินค้า"))</f>
        <v/>
      </c>
      <c r="E76" s="17">
        <f>IF($C76="","",IFERROR(INDEX(สินค้า!$C$5:$C$204,MATCH($C76,สินค้า!$B$5:$B$204,0)),"ไม่พบสินค้า"))</f>
        <v/>
      </c>
      <c r="F76" s="17">
        <f>IF($C76="","",IFERROR(INDEX(สินค้า!$D$5:$D$204,MATCH($C76,สินค้า!$B$5:$B$204,0)),"ไม่พบสินค้า"))</f>
        <v/>
      </c>
      <c r="G76" s="15" t="n"/>
      <c r="H76" s="15" t="n"/>
      <c r="I76" s="18">
        <f>IF(AND(ISNUMBER(G76),ISNUMBER(H76),G76&gt;0),H76/G76,"")</f>
        <v/>
      </c>
      <c r="J76" s="15" t="n"/>
      <c r="K76" s="15" t="n"/>
      <c r="L76" s="17">
        <f>IF(A76="","",TEXT(A76,"yyyy-mm"))</f>
        <v/>
      </c>
      <c r="M76" s="17">
        <f>IF(AND(A76&lt;&gt;"",J76="Pending"),TODAY()-A76,"")</f>
        <v/>
      </c>
    </row>
    <row r="77">
      <c r="A77" s="16" t="n"/>
      <c r="B77" s="15" t="n"/>
      <c r="C77" s="15" t="n"/>
      <c r="D77" s="17">
        <f>IF($C77="","",IFERROR(INDEX(สินค้า!$A$5:$A$204,MATCH($C77,สินค้า!$B$5:$B$204,0)),"ไม่พบสินค้า"))</f>
        <v/>
      </c>
      <c r="E77" s="17">
        <f>IF($C77="","",IFERROR(INDEX(สินค้า!$C$5:$C$204,MATCH($C77,สินค้า!$B$5:$B$204,0)),"ไม่พบสินค้า"))</f>
        <v/>
      </c>
      <c r="F77" s="17">
        <f>IF($C77="","",IFERROR(INDEX(สินค้า!$D$5:$D$204,MATCH($C77,สินค้า!$B$5:$B$204,0)),"ไม่พบสินค้า"))</f>
        <v/>
      </c>
      <c r="G77" s="15" t="n"/>
      <c r="H77" s="15" t="n"/>
      <c r="I77" s="18">
        <f>IF(AND(ISNUMBER(G77),ISNUMBER(H77),G77&gt;0),H77/G77,"")</f>
        <v/>
      </c>
      <c r="J77" s="15" t="n"/>
      <c r="K77" s="15" t="n"/>
      <c r="L77" s="17">
        <f>IF(A77="","",TEXT(A77,"yyyy-mm"))</f>
        <v/>
      </c>
      <c r="M77" s="17">
        <f>IF(AND(A77&lt;&gt;"",J77="Pending"),TODAY()-A77,"")</f>
        <v/>
      </c>
    </row>
    <row r="78">
      <c r="A78" s="16" t="n"/>
      <c r="B78" s="15" t="n"/>
      <c r="C78" s="15" t="n"/>
      <c r="D78" s="17">
        <f>IF($C78="","",IFERROR(INDEX(สินค้า!$A$5:$A$204,MATCH($C78,สินค้า!$B$5:$B$204,0)),"ไม่พบสินค้า"))</f>
        <v/>
      </c>
      <c r="E78" s="17">
        <f>IF($C78="","",IFERROR(INDEX(สินค้า!$C$5:$C$204,MATCH($C78,สินค้า!$B$5:$B$204,0)),"ไม่พบสินค้า"))</f>
        <v/>
      </c>
      <c r="F78" s="17">
        <f>IF($C78="","",IFERROR(INDEX(สินค้า!$D$5:$D$204,MATCH($C78,สินค้า!$B$5:$B$204,0)),"ไม่พบสินค้า"))</f>
        <v/>
      </c>
      <c r="G78" s="15" t="n"/>
      <c r="H78" s="15" t="n"/>
      <c r="I78" s="18">
        <f>IF(AND(ISNUMBER(G78),ISNUMBER(H78),G78&gt;0),H78/G78,"")</f>
        <v/>
      </c>
      <c r="J78" s="15" t="n"/>
      <c r="K78" s="15" t="n"/>
      <c r="L78" s="17">
        <f>IF(A78="","",TEXT(A78,"yyyy-mm"))</f>
        <v/>
      </c>
      <c r="M78" s="17">
        <f>IF(AND(A78&lt;&gt;"",J78="Pending"),TODAY()-A78,"")</f>
        <v/>
      </c>
    </row>
    <row r="79">
      <c r="A79" s="16" t="n"/>
      <c r="B79" s="15" t="n"/>
      <c r="C79" s="15" t="n"/>
      <c r="D79" s="17">
        <f>IF($C79="","",IFERROR(INDEX(สินค้า!$A$5:$A$204,MATCH($C79,สินค้า!$B$5:$B$204,0)),"ไม่พบสินค้า"))</f>
        <v/>
      </c>
      <c r="E79" s="17">
        <f>IF($C79="","",IFERROR(INDEX(สินค้า!$C$5:$C$204,MATCH($C79,สินค้า!$B$5:$B$204,0)),"ไม่พบสินค้า"))</f>
        <v/>
      </c>
      <c r="F79" s="17">
        <f>IF($C79="","",IFERROR(INDEX(สินค้า!$D$5:$D$204,MATCH($C79,สินค้า!$B$5:$B$204,0)),"ไม่พบสินค้า"))</f>
        <v/>
      </c>
      <c r="G79" s="15" t="n"/>
      <c r="H79" s="15" t="n"/>
      <c r="I79" s="18">
        <f>IF(AND(ISNUMBER(G79),ISNUMBER(H79),G79&gt;0),H79/G79,"")</f>
        <v/>
      </c>
      <c r="J79" s="15" t="n"/>
      <c r="K79" s="15" t="n"/>
      <c r="L79" s="17">
        <f>IF(A79="","",TEXT(A79,"yyyy-mm"))</f>
        <v/>
      </c>
      <c r="M79" s="17">
        <f>IF(AND(A79&lt;&gt;"",J79="Pending"),TODAY()-A79,"")</f>
        <v/>
      </c>
    </row>
    <row r="80">
      <c r="A80" s="16" t="n"/>
      <c r="B80" s="15" t="n"/>
      <c r="C80" s="15" t="n"/>
      <c r="D80" s="17">
        <f>IF($C80="","",IFERROR(INDEX(สินค้า!$A$5:$A$204,MATCH($C80,สินค้า!$B$5:$B$204,0)),"ไม่พบสินค้า"))</f>
        <v/>
      </c>
      <c r="E80" s="17">
        <f>IF($C80="","",IFERROR(INDEX(สินค้า!$C$5:$C$204,MATCH($C80,สินค้า!$B$5:$B$204,0)),"ไม่พบสินค้า"))</f>
        <v/>
      </c>
      <c r="F80" s="17">
        <f>IF($C80="","",IFERROR(INDEX(สินค้า!$D$5:$D$204,MATCH($C80,สินค้า!$B$5:$B$204,0)),"ไม่พบสินค้า"))</f>
        <v/>
      </c>
      <c r="G80" s="15" t="n"/>
      <c r="H80" s="15" t="n"/>
      <c r="I80" s="18">
        <f>IF(AND(ISNUMBER(G80),ISNUMBER(H80),G80&gt;0),H80/G80,"")</f>
        <v/>
      </c>
      <c r="J80" s="15" t="n"/>
      <c r="K80" s="15" t="n"/>
      <c r="L80" s="17">
        <f>IF(A80="","",TEXT(A80,"yyyy-mm"))</f>
        <v/>
      </c>
      <c r="M80" s="17">
        <f>IF(AND(A80&lt;&gt;"",J80="Pending"),TODAY()-A80,"")</f>
        <v/>
      </c>
    </row>
    <row r="81">
      <c r="A81" s="16" t="n"/>
      <c r="B81" s="15" t="n"/>
      <c r="C81" s="15" t="n"/>
      <c r="D81" s="17">
        <f>IF($C81="","",IFERROR(INDEX(สินค้า!$A$5:$A$204,MATCH($C81,สินค้า!$B$5:$B$204,0)),"ไม่พบสินค้า"))</f>
        <v/>
      </c>
      <c r="E81" s="17">
        <f>IF($C81="","",IFERROR(INDEX(สินค้า!$C$5:$C$204,MATCH($C81,สินค้า!$B$5:$B$204,0)),"ไม่พบสินค้า"))</f>
        <v/>
      </c>
      <c r="F81" s="17">
        <f>IF($C81="","",IFERROR(INDEX(สินค้า!$D$5:$D$204,MATCH($C81,สินค้า!$B$5:$B$204,0)),"ไม่พบสินค้า"))</f>
        <v/>
      </c>
      <c r="G81" s="15" t="n"/>
      <c r="H81" s="15" t="n"/>
      <c r="I81" s="18">
        <f>IF(AND(ISNUMBER(G81),ISNUMBER(H81),G81&gt;0),H81/G81,"")</f>
        <v/>
      </c>
      <c r="J81" s="15" t="n"/>
      <c r="K81" s="15" t="n"/>
      <c r="L81" s="17">
        <f>IF(A81="","",TEXT(A81,"yyyy-mm"))</f>
        <v/>
      </c>
      <c r="M81" s="17">
        <f>IF(AND(A81&lt;&gt;"",J81="Pending"),TODAY()-A81,"")</f>
        <v/>
      </c>
    </row>
    <row r="82">
      <c r="A82" s="16" t="n"/>
      <c r="B82" s="15" t="n"/>
      <c r="C82" s="15" t="n"/>
      <c r="D82" s="17">
        <f>IF($C82="","",IFERROR(INDEX(สินค้า!$A$5:$A$204,MATCH($C82,สินค้า!$B$5:$B$204,0)),"ไม่พบสินค้า"))</f>
        <v/>
      </c>
      <c r="E82" s="17">
        <f>IF($C82="","",IFERROR(INDEX(สินค้า!$C$5:$C$204,MATCH($C82,สินค้า!$B$5:$B$204,0)),"ไม่พบสินค้า"))</f>
        <v/>
      </c>
      <c r="F82" s="17">
        <f>IF($C82="","",IFERROR(INDEX(สินค้า!$D$5:$D$204,MATCH($C82,สินค้า!$B$5:$B$204,0)),"ไม่พบสินค้า"))</f>
        <v/>
      </c>
      <c r="G82" s="15" t="n"/>
      <c r="H82" s="15" t="n"/>
      <c r="I82" s="18">
        <f>IF(AND(ISNUMBER(G82),ISNUMBER(H82),G82&gt;0),H82/G82,"")</f>
        <v/>
      </c>
      <c r="J82" s="15" t="n"/>
      <c r="K82" s="15" t="n"/>
      <c r="L82" s="17">
        <f>IF(A82="","",TEXT(A82,"yyyy-mm"))</f>
        <v/>
      </c>
      <c r="M82" s="17">
        <f>IF(AND(A82&lt;&gt;"",J82="Pending"),TODAY()-A82,"")</f>
        <v/>
      </c>
    </row>
    <row r="83">
      <c r="A83" s="16" t="n"/>
      <c r="B83" s="15" t="n"/>
      <c r="C83" s="15" t="n"/>
      <c r="D83" s="17">
        <f>IF($C83="","",IFERROR(INDEX(สินค้า!$A$5:$A$204,MATCH($C83,สินค้า!$B$5:$B$204,0)),"ไม่พบสินค้า"))</f>
        <v/>
      </c>
      <c r="E83" s="17">
        <f>IF($C83="","",IFERROR(INDEX(สินค้า!$C$5:$C$204,MATCH($C83,สินค้า!$B$5:$B$204,0)),"ไม่พบสินค้า"))</f>
        <v/>
      </c>
      <c r="F83" s="17">
        <f>IF($C83="","",IFERROR(INDEX(สินค้า!$D$5:$D$204,MATCH($C83,สินค้า!$B$5:$B$204,0)),"ไม่พบสินค้า"))</f>
        <v/>
      </c>
      <c r="G83" s="15" t="n"/>
      <c r="H83" s="15" t="n"/>
      <c r="I83" s="18">
        <f>IF(AND(ISNUMBER(G83),ISNUMBER(H83),G83&gt;0),H83/G83,"")</f>
        <v/>
      </c>
      <c r="J83" s="15" t="n"/>
      <c r="K83" s="15" t="n"/>
      <c r="L83" s="17">
        <f>IF(A83="","",TEXT(A83,"yyyy-mm"))</f>
        <v/>
      </c>
      <c r="M83" s="17">
        <f>IF(AND(A83&lt;&gt;"",J83="Pending"),TODAY()-A83,"")</f>
        <v/>
      </c>
    </row>
    <row r="84">
      <c r="A84" s="16" t="n"/>
      <c r="B84" s="15" t="n"/>
      <c r="C84" s="15" t="n"/>
      <c r="D84" s="17">
        <f>IF($C84="","",IFERROR(INDEX(สินค้า!$A$5:$A$204,MATCH($C84,สินค้า!$B$5:$B$204,0)),"ไม่พบสินค้า"))</f>
        <v/>
      </c>
      <c r="E84" s="17">
        <f>IF($C84="","",IFERROR(INDEX(สินค้า!$C$5:$C$204,MATCH($C84,สินค้า!$B$5:$B$204,0)),"ไม่พบสินค้า"))</f>
        <v/>
      </c>
      <c r="F84" s="17">
        <f>IF($C84="","",IFERROR(INDEX(สินค้า!$D$5:$D$204,MATCH($C84,สินค้า!$B$5:$B$204,0)),"ไม่พบสินค้า"))</f>
        <v/>
      </c>
      <c r="G84" s="15" t="n"/>
      <c r="H84" s="15" t="n"/>
      <c r="I84" s="18">
        <f>IF(AND(ISNUMBER(G84),ISNUMBER(H84),G84&gt;0),H84/G84,"")</f>
        <v/>
      </c>
      <c r="J84" s="15" t="n"/>
      <c r="K84" s="15" t="n"/>
      <c r="L84" s="17">
        <f>IF(A84="","",TEXT(A84,"yyyy-mm"))</f>
        <v/>
      </c>
      <c r="M84" s="17">
        <f>IF(AND(A84&lt;&gt;"",J84="Pending"),TODAY()-A84,"")</f>
        <v/>
      </c>
    </row>
    <row r="85">
      <c r="A85" s="16" t="n"/>
      <c r="B85" s="15" t="n"/>
      <c r="C85" s="15" t="n"/>
      <c r="D85" s="17">
        <f>IF($C85="","",IFERROR(INDEX(สินค้า!$A$5:$A$204,MATCH($C85,สินค้า!$B$5:$B$204,0)),"ไม่พบสินค้า"))</f>
        <v/>
      </c>
      <c r="E85" s="17">
        <f>IF($C85="","",IFERROR(INDEX(สินค้า!$C$5:$C$204,MATCH($C85,สินค้า!$B$5:$B$204,0)),"ไม่พบสินค้า"))</f>
        <v/>
      </c>
      <c r="F85" s="17">
        <f>IF($C85="","",IFERROR(INDEX(สินค้า!$D$5:$D$204,MATCH($C85,สินค้า!$B$5:$B$204,0)),"ไม่พบสินค้า"))</f>
        <v/>
      </c>
      <c r="G85" s="15" t="n"/>
      <c r="H85" s="15" t="n"/>
      <c r="I85" s="18">
        <f>IF(AND(ISNUMBER(G85),ISNUMBER(H85),G85&gt;0),H85/G85,"")</f>
        <v/>
      </c>
      <c r="J85" s="15" t="n"/>
      <c r="K85" s="15" t="n"/>
      <c r="L85" s="17">
        <f>IF(A85="","",TEXT(A85,"yyyy-mm"))</f>
        <v/>
      </c>
      <c r="M85" s="17">
        <f>IF(AND(A85&lt;&gt;"",J85="Pending"),TODAY()-A85,"")</f>
        <v/>
      </c>
    </row>
    <row r="86">
      <c r="A86" s="16" t="n"/>
      <c r="B86" s="15" t="n"/>
      <c r="C86" s="15" t="n"/>
      <c r="D86" s="17">
        <f>IF($C86="","",IFERROR(INDEX(สินค้า!$A$5:$A$204,MATCH($C86,สินค้า!$B$5:$B$204,0)),"ไม่พบสินค้า"))</f>
        <v/>
      </c>
      <c r="E86" s="17">
        <f>IF($C86="","",IFERROR(INDEX(สินค้า!$C$5:$C$204,MATCH($C86,สินค้า!$B$5:$B$204,0)),"ไม่พบสินค้า"))</f>
        <v/>
      </c>
      <c r="F86" s="17">
        <f>IF($C86="","",IFERROR(INDEX(สินค้า!$D$5:$D$204,MATCH($C86,สินค้า!$B$5:$B$204,0)),"ไม่พบสินค้า"))</f>
        <v/>
      </c>
      <c r="G86" s="15" t="n"/>
      <c r="H86" s="15" t="n"/>
      <c r="I86" s="18">
        <f>IF(AND(ISNUMBER(G86),ISNUMBER(H86),G86&gt;0),H86/G86,"")</f>
        <v/>
      </c>
      <c r="J86" s="15" t="n"/>
      <c r="K86" s="15" t="n"/>
      <c r="L86" s="17">
        <f>IF(A86="","",TEXT(A86,"yyyy-mm"))</f>
        <v/>
      </c>
      <c r="M86" s="17">
        <f>IF(AND(A86&lt;&gt;"",J86="Pending"),TODAY()-A86,"")</f>
        <v/>
      </c>
    </row>
    <row r="87">
      <c r="A87" s="16" t="n"/>
      <c r="B87" s="15" t="n"/>
      <c r="C87" s="15" t="n"/>
      <c r="D87" s="17">
        <f>IF($C87="","",IFERROR(INDEX(สินค้า!$A$5:$A$204,MATCH($C87,สินค้า!$B$5:$B$204,0)),"ไม่พบสินค้า"))</f>
        <v/>
      </c>
      <c r="E87" s="17">
        <f>IF($C87="","",IFERROR(INDEX(สินค้า!$C$5:$C$204,MATCH($C87,สินค้า!$B$5:$B$204,0)),"ไม่พบสินค้า"))</f>
        <v/>
      </c>
      <c r="F87" s="17">
        <f>IF($C87="","",IFERROR(INDEX(สินค้า!$D$5:$D$204,MATCH($C87,สินค้า!$B$5:$B$204,0)),"ไม่พบสินค้า"))</f>
        <v/>
      </c>
      <c r="G87" s="15" t="n"/>
      <c r="H87" s="15" t="n"/>
      <c r="I87" s="18">
        <f>IF(AND(ISNUMBER(G87),ISNUMBER(H87),G87&gt;0),H87/G87,"")</f>
        <v/>
      </c>
      <c r="J87" s="15" t="n"/>
      <c r="K87" s="15" t="n"/>
      <c r="L87" s="17">
        <f>IF(A87="","",TEXT(A87,"yyyy-mm"))</f>
        <v/>
      </c>
      <c r="M87" s="17">
        <f>IF(AND(A87&lt;&gt;"",J87="Pending"),TODAY()-A87,"")</f>
        <v/>
      </c>
    </row>
    <row r="88">
      <c r="A88" s="16" t="n"/>
      <c r="B88" s="15" t="n"/>
      <c r="C88" s="15" t="n"/>
      <c r="D88" s="17">
        <f>IF($C88="","",IFERROR(INDEX(สินค้า!$A$5:$A$204,MATCH($C88,สินค้า!$B$5:$B$204,0)),"ไม่พบสินค้า"))</f>
        <v/>
      </c>
      <c r="E88" s="17">
        <f>IF($C88="","",IFERROR(INDEX(สินค้า!$C$5:$C$204,MATCH($C88,สินค้า!$B$5:$B$204,0)),"ไม่พบสินค้า"))</f>
        <v/>
      </c>
      <c r="F88" s="17">
        <f>IF($C88="","",IFERROR(INDEX(สินค้า!$D$5:$D$204,MATCH($C88,สินค้า!$B$5:$B$204,0)),"ไม่พบสินค้า"))</f>
        <v/>
      </c>
      <c r="G88" s="15" t="n"/>
      <c r="H88" s="15" t="n"/>
      <c r="I88" s="18">
        <f>IF(AND(ISNUMBER(G88),ISNUMBER(H88),G88&gt;0),H88/G88,"")</f>
        <v/>
      </c>
      <c r="J88" s="15" t="n"/>
      <c r="K88" s="15" t="n"/>
      <c r="L88" s="17">
        <f>IF(A88="","",TEXT(A88,"yyyy-mm"))</f>
        <v/>
      </c>
      <c r="M88" s="17">
        <f>IF(AND(A88&lt;&gt;"",J88="Pending"),TODAY()-A88,"")</f>
        <v/>
      </c>
    </row>
    <row r="89">
      <c r="A89" s="16" t="n"/>
      <c r="B89" s="15" t="n"/>
      <c r="C89" s="15" t="n"/>
      <c r="D89" s="17">
        <f>IF($C89="","",IFERROR(INDEX(สินค้า!$A$5:$A$204,MATCH($C89,สินค้า!$B$5:$B$204,0)),"ไม่พบสินค้า"))</f>
        <v/>
      </c>
      <c r="E89" s="17">
        <f>IF($C89="","",IFERROR(INDEX(สินค้า!$C$5:$C$204,MATCH($C89,สินค้า!$B$5:$B$204,0)),"ไม่พบสินค้า"))</f>
        <v/>
      </c>
      <c r="F89" s="17">
        <f>IF($C89="","",IFERROR(INDEX(สินค้า!$D$5:$D$204,MATCH($C89,สินค้า!$B$5:$B$204,0)),"ไม่พบสินค้า"))</f>
        <v/>
      </c>
      <c r="G89" s="15" t="n"/>
      <c r="H89" s="15" t="n"/>
      <c r="I89" s="18">
        <f>IF(AND(ISNUMBER(G89),ISNUMBER(H89),G89&gt;0),H89/G89,"")</f>
        <v/>
      </c>
      <c r="J89" s="15" t="n"/>
      <c r="K89" s="15" t="n"/>
      <c r="L89" s="17">
        <f>IF(A89="","",TEXT(A89,"yyyy-mm"))</f>
        <v/>
      </c>
      <c r="M89" s="17">
        <f>IF(AND(A89&lt;&gt;"",J89="Pending"),TODAY()-A89,"")</f>
        <v/>
      </c>
    </row>
    <row r="90">
      <c r="A90" s="16" t="n"/>
      <c r="B90" s="15" t="n"/>
      <c r="C90" s="15" t="n"/>
      <c r="D90" s="17">
        <f>IF($C90="","",IFERROR(INDEX(สินค้า!$A$5:$A$204,MATCH($C90,สินค้า!$B$5:$B$204,0)),"ไม่พบสินค้า"))</f>
        <v/>
      </c>
      <c r="E90" s="17">
        <f>IF($C90="","",IFERROR(INDEX(สินค้า!$C$5:$C$204,MATCH($C90,สินค้า!$B$5:$B$204,0)),"ไม่พบสินค้า"))</f>
        <v/>
      </c>
      <c r="F90" s="17">
        <f>IF($C90="","",IFERROR(INDEX(สินค้า!$D$5:$D$204,MATCH($C90,สินค้า!$B$5:$B$204,0)),"ไม่พบสินค้า"))</f>
        <v/>
      </c>
      <c r="G90" s="15" t="n"/>
      <c r="H90" s="15" t="n"/>
      <c r="I90" s="18">
        <f>IF(AND(ISNUMBER(G90),ISNUMBER(H90),G90&gt;0),H90/G90,"")</f>
        <v/>
      </c>
      <c r="J90" s="15" t="n"/>
      <c r="K90" s="15" t="n"/>
      <c r="L90" s="17">
        <f>IF(A90="","",TEXT(A90,"yyyy-mm"))</f>
        <v/>
      </c>
      <c r="M90" s="17">
        <f>IF(AND(A90&lt;&gt;"",J90="Pending"),TODAY()-A90,"")</f>
        <v/>
      </c>
    </row>
    <row r="91">
      <c r="A91" s="16" t="n"/>
      <c r="B91" s="15" t="n"/>
      <c r="C91" s="15" t="n"/>
      <c r="D91" s="17">
        <f>IF($C91="","",IFERROR(INDEX(สินค้า!$A$5:$A$204,MATCH($C91,สินค้า!$B$5:$B$204,0)),"ไม่พบสินค้า"))</f>
        <v/>
      </c>
      <c r="E91" s="17">
        <f>IF($C91="","",IFERROR(INDEX(สินค้า!$C$5:$C$204,MATCH($C91,สินค้า!$B$5:$B$204,0)),"ไม่พบสินค้า"))</f>
        <v/>
      </c>
      <c r="F91" s="17">
        <f>IF($C91="","",IFERROR(INDEX(สินค้า!$D$5:$D$204,MATCH($C91,สินค้า!$B$5:$B$204,0)),"ไม่พบสินค้า"))</f>
        <v/>
      </c>
      <c r="G91" s="15" t="n"/>
      <c r="H91" s="15" t="n"/>
      <c r="I91" s="18">
        <f>IF(AND(ISNUMBER(G91),ISNUMBER(H91),G91&gt;0),H91/G91,"")</f>
        <v/>
      </c>
      <c r="J91" s="15" t="n"/>
      <c r="K91" s="15" t="n"/>
      <c r="L91" s="17">
        <f>IF(A91="","",TEXT(A91,"yyyy-mm"))</f>
        <v/>
      </c>
      <c r="M91" s="17">
        <f>IF(AND(A91&lt;&gt;"",J91="Pending"),TODAY()-A91,"")</f>
        <v/>
      </c>
    </row>
    <row r="92">
      <c r="A92" s="16" t="n"/>
      <c r="B92" s="15" t="n"/>
      <c r="C92" s="15" t="n"/>
      <c r="D92" s="17">
        <f>IF($C92="","",IFERROR(INDEX(สินค้า!$A$5:$A$204,MATCH($C92,สินค้า!$B$5:$B$204,0)),"ไม่พบสินค้า"))</f>
        <v/>
      </c>
      <c r="E92" s="17">
        <f>IF($C92="","",IFERROR(INDEX(สินค้า!$C$5:$C$204,MATCH($C92,สินค้า!$B$5:$B$204,0)),"ไม่พบสินค้า"))</f>
        <v/>
      </c>
      <c r="F92" s="17">
        <f>IF($C92="","",IFERROR(INDEX(สินค้า!$D$5:$D$204,MATCH($C92,สินค้า!$B$5:$B$204,0)),"ไม่พบสินค้า"))</f>
        <v/>
      </c>
      <c r="G92" s="15" t="n"/>
      <c r="H92" s="15" t="n"/>
      <c r="I92" s="18">
        <f>IF(AND(ISNUMBER(G92),ISNUMBER(H92),G92&gt;0),H92/G92,"")</f>
        <v/>
      </c>
      <c r="J92" s="15" t="n"/>
      <c r="K92" s="15" t="n"/>
      <c r="L92" s="17">
        <f>IF(A92="","",TEXT(A92,"yyyy-mm"))</f>
        <v/>
      </c>
      <c r="M92" s="17">
        <f>IF(AND(A92&lt;&gt;"",J92="Pending"),TODAY()-A92,"")</f>
        <v/>
      </c>
    </row>
    <row r="93">
      <c r="A93" s="16" t="n"/>
      <c r="B93" s="15" t="n"/>
      <c r="C93" s="15" t="n"/>
      <c r="D93" s="17">
        <f>IF($C93="","",IFERROR(INDEX(สินค้า!$A$5:$A$204,MATCH($C93,สินค้า!$B$5:$B$204,0)),"ไม่พบสินค้า"))</f>
        <v/>
      </c>
      <c r="E93" s="17">
        <f>IF($C93="","",IFERROR(INDEX(สินค้า!$C$5:$C$204,MATCH($C93,สินค้า!$B$5:$B$204,0)),"ไม่พบสินค้า"))</f>
        <v/>
      </c>
      <c r="F93" s="17">
        <f>IF($C93="","",IFERROR(INDEX(สินค้า!$D$5:$D$204,MATCH($C93,สินค้า!$B$5:$B$204,0)),"ไม่พบสินค้า"))</f>
        <v/>
      </c>
      <c r="G93" s="15" t="n"/>
      <c r="H93" s="15" t="n"/>
      <c r="I93" s="18">
        <f>IF(AND(ISNUMBER(G93),ISNUMBER(H93),G93&gt;0),H93/G93,"")</f>
        <v/>
      </c>
      <c r="J93" s="15" t="n"/>
      <c r="K93" s="15" t="n"/>
      <c r="L93" s="17">
        <f>IF(A93="","",TEXT(A93,"yyyy-mm"))</f>
        <v/>
      </c>
      <c r="M93" s="17">
        <f>IF(AND(A93&lt;&gt;"",J93="Pending"),TODAY()-A93,"")</f>
        <v/>
      </c>
    </row>
    <row r="94">
      <c r="A94" s="16" t="n"/>
      <c r="B94" s="15" t="n"/>
      <c r="C94" s="15" t="n"/>
      <c r="D94" s="17">
        <f>IF($C94="","",IFERROR(INDEX(สินค้า!$A$5:$A$204,MATCH($C94,สินค้า!$B$5:$B$204,0)),"ไม่พบสินค้า"))</f>
        <v/>
      </c>
      <c r="E94" s="17">
        <f>IF($C94="","",IFERROR(INDEX(สินค้า!$C$5:$C$204,MATCH($C94,สินค้า!$B$5:$B$204,0)),"ไม่พบสินค้า"))</f>
        <v/>
      </c>
      <c r="F94" s="17">
        <f>IF($C94="","",IFERROR(INDEX(สินค้า!$D$5:$D$204,MATCH($C94,สินค้า!$B$5:$B$204,0)),"ไม่พบสินค้า"))</f>
        <v/>
      </c>
      <c r="G94" s="15" t="n"/>
      <c r="H94" s="15" t="n"/>
      <c r="I94" s="18">
        <f>IF(AND(ISNUMBER(G94),ISNUMBER(H94),G94&gt;0),H94/G94,"")</f>
        <v/>
      </c>
      <c r="J94" s="15" t="n"/>
      <c r="K94" s="15" t="n"/>
      <c r="L94" s="17">
        <f>IF(A94="","",TEXT(A94,"yyyy-mm"))</f>
        <v/>
      </c>
      <c r="M94" s="17">
        <f>IF(AND(A94&lt;&gt;"",J94="Pending"),TODAY()-A94,"")</f>
        <v/>
      </c>
    </row>
    <row r="95">
      <c r="A95" s="16" t="n"/>
      <c r="B95" s="15" t="n"/>
      <c r="C95" s="15" t="n"/>
      <c r="D95" s="17">
        <f>IF($C95="","",IFERROR(INDEX(สินค้า!$A$5:$A$204,MATCH($C95,สินค้า!$B$5:$B$204,0)),"ไม่พบสินค้า"))</f>
        <v/>
      </c>
      <c r="E95" s="17">
        <f>IF($C95="","",IFERROR(INDEX(สินค้า!$C$5:$C$204,MATCH($C95,สินค้า!$B$5:$B$204,0)),"ไม่พบสินค้า"))</f>
        <v/>
      </c>
      <c r="F95" s="17">
        <f>IF($C95="","",IFERROR(INDEX(สินค้า!$D$5:$D$204,MATCH($C95,สินค้า!$B$5:$B$204,0)),"ไม่พบสินค้า"))</f>
        <v/>
      </c>
      <c r="G95" s="15" t="n"/>
      <c r="H95" s="15" t="n"/>
      <c r="I95" s="18">
        <f>IF(AND(ISNUMBER(G95),ISNUMBER(H95),G95&gt;0),H95/G95,"")</f>
        <v/>
      </c>
      <c r="J95" s="15" t="n"/>
      <c r="K95" s="15" t="n"/>
      <c r="L95" s="17">
        <f>IF(A95="","",TEXT(A95,"yyyy-mm"))</f>
        <v/>
      </c>
      <c r="M95" s="17">
        <f>IF(AND(A95&lt;&gt;"",J95="Pending"),TODAY()-A95,"")</f>
        <v/>
      </c>
    </row>
    <row r="96">
      <c r="A96" s="16" t="n"/>
      <c r="B96" s="15" t="n"/>
      <c r="C96" s="15" t="n"/>
      <c r="D96" s="17">
        <f>IF($C96="","",IFERROR(INDEX(สินค้า!$A$5:$A$204,MATCH($C96,สินค้า!$B$5:$B$204,0)),"ไม่พบสินค้า"))</f>
        <v/>
      </c>
      <c r="E96" s="17">
        <f>IF($C96="","",IFERROR(INDEX(สินค้า!$C$5:$C$204,MATCH($C96,สินค้า!$B$5:$B$204,0)),"ไม่พบสินค้า"))</f>
        <v/>
      </c>
      <c r="F96" s="17">
        <f>IF($C96="","",IFERROR(INDEX(สินค้า!$D$5:$D$204,MATCH($C96,สินค้า!$B$5:$B$204,0)),"ไม่พบสินค้า"))</f>
        <v/>
      </c>
      <c r="G96" s="15" t="n"/>
      <c r="H96" s="15" t="n"/>
      <c r="I96" s="18">
        <f>IF(AND(ISNUMBER(G96),ISNUMBER(H96),G96&gt;0),H96/G96,"")</f>
        <v/>
      </c>
      <c r="J96" s="15" t="n"/>
      <c r="K96" s="15" t="n"/>
      <c r="L96" s="17">
        <f>IF(A96="","",TEXT(A96,"yyyy-mm"))</f>
        <v/>
      </c>
      <c r="M96" s="17">
        <f>IF(AND(A96&lt;&gt;"",J96="Pending"),TODAY()-A96,"")</f>
        <v/>
      </c>
    </row>
    <row r="97">
      <c r="A97" s="16" t="n"/>
      <c r="B97" s="15" t="n"/>
      <c r="C97" s="15" t="n"/>
      <c r="D97" s="17">
        <f>IF($C97="","",IFERROR(INDEX(สินค้า!$A$5:$A$204,MATCH($C97,สินค้า!$B$5:$B$204,0)),"ไม่พบสินค้า"))</f>
        <v/>
      </c>
      <c r="E97" s="17">
        <f>IF($C97="","",IFERROR(INDEX(สินค้า!$C$5:$C$204,MATCH($C97,สินค้า!$B$5:$B$204,0)),"ไม่พบสินค้า"))</f>
        <v/>
      </c>
      <c r="F97" s="17">
        <f>IF($C97="","",IFERROR(INDEX(สินค้า!$D$5:$D$204,MATCH($C97,สินค้า!$B$5:$B$204,0)),"ไม่พบสินค้า"))</f>
        <v/>
      </c>
      <c r="G97" s="15" t="n"/>
      <c r="H97" s="15" t="n"/>
      <c r="I97" s="18">
        <f>IF(AND(ISNUMBER(G97),ISNUMBER(H97),G97&gt;0),H97/G97,"")</f>
        <v/>
      </c>
      <c r="J97" s="15" t="n"/>
      <c r="K97" s="15" t="n"/>
      <c r="L97" s="17">
        <f>IF(A97="","",TEXT(A97,"yyyy-mm"))</f>
        <v/>
      </c>
      <c r="M97" s="17">
        <f>IF(AND(A97&lt;&gt;"",J97="Pending"),TODAY()-A97,"")</f>
        <v/>
      </c>
    </row>
    <row r="98">
      <c r="A98" s="16" t="n"/>
      <c r="B98" s="15" t="n"/>
      <c r="C98" s="15" t="n"/>
      <c r="D98" s="17">
        <f>IF($C98="","",IFERROR(INDEX(สินค้า!$A$5:$A$204,MATCH($C98,สินค้า!$B$5:$B$204,0)),"ไม่พบสินค้า"))</f>
        <v/>
      </c>
      <c r="E98" s="17">
        <f>IF($C98="","",IFERROR(INDEX(สินค้า!$C$5:$C$204,MATCH($C98,สินค้า!$B$5:$B$204,0)),"ไม่พบสินค้า"))</f>
        <v/>
      </c>
      <c r="F98" s="17">
        <f>IF($C98="","",IFERROR(INDEX(สินค้า!$D$5:$D$204,MATCH($C98,สินค้า!$B$5:$B$204,0)),"ไม่พบสินค้า"))</f>
        <v/>
      </c>
      <c r="G98" s="15" t="n"/>
      <c r="H98" s="15" t="n"/>
      <c r="I98" s="18">
        <f>IF(AND(ISNUMBER(G98),ISNUMBER(H98),G98&gt;0),H98/G98,"")</f>
        <v/>
      </c>
      <c r="J98" s="15" t="n"/>
      <c r="K98" s="15" t="n"/>
      <c r="L98" s="17">
        <f>IF(A98="","",TEXT(A98,"yyyy-mm"))</f>
        <v/>
      </c>
      <c r="M98" s="17">
        <f>IF(AND(A98&lt;&gt;"",J98="Pending"),TODAY()-A98,"")</f>
        <v/>
      </c>
    </row>
    <row r="99">
      <c r="A99" s="16" t="n"/>
      <c r="B99" s="15" t="n"/>
      <c r="C99" s="15" t="n"/>
      <c r="D99" s="17">
        <f>IF($C99="","",IFERROR(INDEX(สินค้า!$A$5:$A$204,MATCH($C99,สินค้า!$B$5:$B$204,0)),"ไม่พบสินค้า"))</f>
        <v/>
      </c>
      <c r="E99" s="17">
        <f>IF($C99="","",IFERROR(INDEX(สินค้า!$C$5:$C$204,MATCH($C99,สินค้า!$B$5:$B$204,0)),"ไม่พบสินค้า"))</f>
        <v/>
      </c>
      <c r="F99" s="17">
        <f>IF($C99="","",IFERROR(INDEX(สินค้า!$D$5:$D$204,MATCH($C99,สินค้า!$B$5:$B$204,0)),"ไม่พบสินค้า"))</f>
        <v/>
      </c>
      <c r="G99" s="15" t="n"/>
      <c r="H99" s="15" t="n"/>
      <c r="I99" s="18">
        <f>IF(AND(ISNUMBER(G99),ISNUMBER(H99),G99&gt;0),H99/G99,"")</f>
        <v/>
      </c>
      <c r="J99" s="15" t="n"/>
      <c r="K99" s="15" t="n"/>
      <c r="L99" s="17">
        <f>IF(A99="","",TEXT(A99,"yyyy-mm"))</f>
        <v/>
      </c>
      <c r="M99" s="17">
        <f>IF(AND(A99&lt;&gt;"",J99="Pending"),TODAY()-A99,"")</f>
        <v/>
      </c>
    </row>
    <row r="100">
      <c r="A100" s="16" t="n"/>
      <c r="B100" s="15" t="n"/>
      <c r="C100" s="15" t="n"/>
      <c r="D100" s="17">
        <f>IF($C100="","",IFERROR(INDEX(สินค้า!$A$5:$A$204,MATCH($C100,สินค้า!$B$5:$B$204,0)),"ไม่พบสินค้า"))</f>
        <v/>
      </c>
      <c r="E100" s="17">
        <f>IF($C100="","",IFERROR(INDEX(สินค้า!$C$5:$C$204,MATCH($C100,สินค้า!$B$5:$B$204,0)),"ไม่พบสินค้า"))</f>
        <v/>
      </c>
      <c r="F100" s="17">
        <f>IF($C100="","",IFERROR(INDEX(สินค้า!$D$5:$D$204,MATCH($C100,สินค้า!$B$5:$B$204,0)),"ไม่พบสินค้า"))</f>
        <v/>
      </c>
      <c r="G100" s="15" t="n"/>
      <c r="H100" s="15" t="n"/>
      <c r="I100" s="18">
        <f>IF(AND(ISNUMBER(G100),ISNUMBER(H100),G100&gt;0),H100/G100,"")</f>
        <v/>
      </c>
      <c r="J100" s="15" t="n"/>
      <c r="K100" s="15" t="n"/>
      <c r="L100" s="17">
        <f>IF(A100="","",TEXT(A100,"yyyy-mm"))</f>
        <v/>
      </c>
      <c r="M100" s="17">
        <f>IF(AND(A100&lt;&gt;"",J100="Pending"),TODAY()-A100,"")</f>
        <v/>
      </c>
    </row>
    <row r="101">
      <c r="A101" s="16" t="n"/>
      <c r="B101" s="15" t="n"/>
      <c r="C101" s="15" t="n"/>
      <c r="D101" s="17">
        <f>IF($C101="","",IFERROR(INDEX(สินค้า!$A$5:$A$204,MATCH($C101,สินค้า!$B$5:$B$204,0)),"ไม่พบสินค้า"))</f>
        <v/>
      </c>
      <c r="E101" s="17">
        <f>IF($C101="","",IFERROR(INDEX(สินค้า!$C$5:$C$204,MATCH($C101,สินค้า!$B$5:$B$204,0)),"ไม่พบสินค้า"))</f>
        <v/>
      </c>
      <c r="F101" s="17">
        <f>IF($C101="","",IFERROR(INDEX(สินค้า!$D$5:$D$204,MATCH($C101,สินค้า!$B$5:$B$204,0)),"ไม่พบสินค้า"))</f>
        <v/>
      </c>
      <c r="G101" s="15" t="n"/>
      <c r="H101" s="15" t="n"/>
      <c r="I101" s="18">
        <f>IF(AND(ISNUMBER(G101),ISNUMBER(H101),G101&gt;0),H101/G101,"")</f>
        <v/>
      </c>
      <c r="J101" s="15" t="n"/>
      <c r="K101" s="15" t="n"/>
      <c r="L101" s="17">
        <f>IF(A101="","",TEXT(A101,"yyyy-mm"))</f>
        <v/>
      </c>
      <c r="M101" s="17">
        <f>IF(AND(A101&lt;&gt;"",J101="Pending"),TODAY()-A101,"")</f>
        <v/>
      </c>
    </row>
    <row r="102">
      <c r="A102" s="16" t="n"/>
      <c r="B102" s="15" t="n"/>
      <c r="C102" s="15" t="n"/>
      <c r="D102" s="17">
        <f>IF($C102="","",IFERROR(INDEX(สินค้า!$A$5:$A$204,MATCH($C102,สินค้า!$B$5:$B$204,0)),"ไม่พบสินค้า"))</f>
        <v/>
      </c>
      <c r="E102" s="17">
        <f>IF($C102="","",IFERROR(INDEX(สินค้า!$C$5:$C$204,MATCH($C102,สินค้า!$B$5:$B$204,0)),"ไม่พบสินค้า"))</f>
        <v/>
      </c>
      <c r="F102" s="17">
        <f>IF($C102="","",IFERROR(INDEX(สินค้า!$D$5:$D$204,MATCH($C102,สินค้า!$B$5:$B$204,0)),"ไม่พบสินค้า"))</f>
        <v/>
      </c>
      <c r="G102" s="15" t="n"/>
      <c r="H102" s="15" t="n"/>
      <c r="I102" s="18">
        <f>IF(AND(ISNUMBER(G102),ISNUMBER(H102),G102&gt;0),H102/G102,"")</f>
        <v/>
      </c>
      <c r="J102" s="15" t="n"/>
      <c r="K102" s="15" t="n"/>
      <c r="L102" s="17">
        <f>IF(A102="","",TEXT(A102,"yyyy-mm"))</f>
        <v/>
      </c>
      <c r="M102" s="17">
        <f>IF(AND(A102&lt;&gt;"",J102="Pending"),TODAY()-A102,"")</f>
        <v/>
      </c>
    </row>
    <row r="103">
      <c r="A103" s="16" t="n"/>
      <c r="B103" s="15" t="n"/>
      <c r="C103" s="15" t="n"/>
      <c r="D103" s="17">
        <f>IF($C103="","",IFERROR(INDEX(สินค้า!$A$5:$A$204,MATCH($C103,สินค้า!$B$5:$B$204,0)),"ไม่พบสินค้า"))</f>
        <v/>
      </c>
      <c r="E103" s="17">
        <f>IF($C103="","",IFERROR(INDEX(สินค้า!$C$5:$C$204,MATCH($C103,สินค้า!$B$5:$B$204,0)),"ไม่พบสินค้า"))</f>
        <v/>
      </c>
      <c r="F103" s="17">
        <f>IF($C103="","",IFERROR(INDEX(สินค้า!$D$5:$D$204,MATCH($C103,สินค้า!$B$5:$B$204,0)),"ไม่พบสินค้า"))</f>
        <v/>
      </c>
      <c r="G103" s="15" t="n"/>
      <c r="H103" s="15" t="n"/>
      <c r="I103" s="18">
        <f>IF(AND(ISNUMBER(G103),ISNUMBER(H103),G103&gt;0),H103/G103,"")</f>
        <v/>
      </c>
      <c r="J103" s="15" t="n"/>
      <c r="K103" s="15" t="n"/>
      <c r="L103" s="17">
        <f>IF(A103="","",TEXT(A103,"yyyy-mm"))</f>
        <v/>
      </c>
      <c r="M103" s="17">
        <f>IF(AND(A103&lt;&gt;"",J103="Pending"),TODAY()-A103,"")</f>
        <v/>
      </c>
    </row>
    <row r="104">
      <c r="A104" s="16" t="n"/>
      <c r="B104" s="15" t="n"/>
      <c r="C104" s="15" t="n"/>
      <c r="D104" s="17">
        <f>IF($C104="","",IFERROR(INDEX(สินค้า!$A$5:$A$204,MATCH($C104,สินค้า!$B$5:$B$204,0)),"ไม่พบสินค้า"))</f>
        <v/>
      </c>
      <c r="E104" s="17">
        <f>IF($C104="","",IFERROR(INDEX(สินค้า!$C$5:$C$204,MATCH($C104,สินค้า!$B$5:$B$204,0)),"ไม่พบสินค้า"))</f>
        <v/>
      </c>
      <c r="F104" s="17">
        <f>IF($C104="","",IFERROR(INDEX(สินค้า!$D$5:$D$204,MATCH($C104,สินค้า!$B$5:$B$204,0)),"ไม่พบสินค้า"))</f>
        <v/>
      </c>
      <c r="G104" s="15" t="n"/>
      <c r="H104" s="15" t="n"/>
      <c r="I104" s="18">
        <f>IF(AND(ISNUMBER(G104),ISNUMBER(H104),G104&gt;0),H104/G104,"")</f>
        <v/>
      </c>
      <c r="J104" s="15" t="n"/>
      <c r="K104" s="15" t="n"/>
      <c r="L104" s="17">
        <f>IF(A104="","",TEXT(A104,"yyyy-mm"))</f>
        <v/>
      </c>
      <c r="M104" s="17">
        <f>IF(AND(A104&lt;&gt;"",J104="Pending"),TODAY()-A104,"")</f>
        <v/>
      </c>
    </row>
    <row r="105">
      <c r="A105" s="16" t="n"/>
      <c r="B105" s="15" t="n"/>
      <c r="C105" s="15" t="n"/>
      <c r="D105" s="17">
        <f>IF($C105="","",IFERROR(INDEX(สินค้า!$A$5:$A$204,MATCH($C105,สินค้า!$B$5:$B$204,0)),"ไม่พบสินค้า"))</f>
        <v/>
      </c>
      <c r="E105" s="17">
        <f>IF($C105="","",IFERROR(INDEX(สินค้า!$C$5:$C$204,MATCH($C105,สินค้า!$B$5:$B$204,0)),"ไม่พบสินค้า"))</f>
        <v/>
      </c>
      <c r="F105" s="17">
        <f>IF($C105="","",IFERROR(INDEX(สินค้า!$D$5:$D$204,MATCH($C105,สินค้า!$B$5:$B$204,0)),"ไม่พบสินค้า"))</f>
        <v/>
      </c>
      <c r="G105" s="15" t="n"/>
      <c r="H105" s="15" t="n"/>
      <c r="I105" s="18">
        <f>IF(AND(ISNUMBER(G105),ISNUMBER(H105),G105&gt;0),H105/G105,"")</f>
        <v/>
      </c>
      <c r="J105" s="15" t="n"/>
      <c r="K105" s="15" t="n"/>
      <c r="L105" s="17">
        <f>IF(A105="","",TEXT(A105,"yyyy-mm"))</f>
        <v/>
      </c>
      <c r="M105" s="17">
        <f>IF(AND(A105&lt;&gt;"",J105="Pending"),TODAY()-A105,"")</f>
        <v/>
      </c>
    </row>
    <row r="106">
      <c r="A106" s="16" t="n"/>
      <c r="B106" s="15" t="n"/>
      <c r="C106" s="15" t="n"/>
      <c r="D106" s="17">
        <f>IF($C106="","",IFERROR(INDEX(สินค้า!$A$5:$A$204,MATCH($C106,สินค้า!$B$5:$B$204,0)),"ไม่พบสินค้า"))</f>
        <v/>
      </c>
      <c r="E106" s="17">
        <f>IF($C106="","",IFERROR(INDEX(สินค้า!$C$5:$C$204,MATCH($C106,สินค้า!$B$5:$B$204,0)),"ไม่พบสินค้า"))</f>
        <v/>
      </c>
      <c r="F106" s="17">
        <f>IF($C106="","",IFERROR(INDEX(สินค้า!$D$5:$D$204,MATCH($C106,สินค้า!$B$5:$B$204,0)),"ไม่พบสินค้า"))</f>
        <v/>
      </c>
      <c r="G106" s="15" t="n"/>
      <c r="H106" s="15" t="n"/>
      <c r="I106" s="18">
        <f>IF(AND(ISNUMBER(G106),ISNUMBER(H106),G106&gt;0),H106/G106,"")</f>
        <v/>
      </c>
      <c r="J106" s="15" t="n"/>
      <c r="K106" s="15" t="n"/>
      <c r="L106" s="17">
        <f>IF(A106="","",TEXT(A106,"yyyy-mm"))</f>
        <v/>
      </c>
      <c r="M106" s="17">
        <f>IF(AND(A106&lt;&gt;"",J106="Pending"),TODAY()-A106,"")</f>
        <v/>
      </c>
    </row>
    <row r="107">
      <c r="A107" s="16" t="n"/>
      <c r="B107" s="15" t="n"/>
      <c r="C107" s="15" t="n"/>
      <c r="D107" s="17">
        <f>IF($C107="","",IFERROR(INDEX(สินค้า!$A$5:$A$204,MATCH($C107,สินค้า!$B$5:$B$204,0)),"ไม่พบสินค้า"))</f>
        <v/>
      </c>
      <c r="E107" s="17">
        <f>IF($C107="","",IFERROR(INDEX(สินค้า!$C$5:$C$204,MATCH($C107,สินค้า!$B$5:$B$204,0)),"ไม่พบสินค้า"))</f>
        <v/>
      </c>
      <c r="F107" s="17">
        <f>IF($C107="","",IFERROR(INDEX(สินค้า!$D$5:$D$204,MATCH($C107,สินค้า!$B$5:$B$204,0)),"ไม่พบสินค้า"))</f>
        <v/>
      </c>
      <c r="G107" s="15" t="n"/>
      <c r="H107" s="15" t="n"/>
      <c r="I107" s="18">
        <f>IF(AND(ISNUMBER(G107),ISNUMBER(H107),G107&gt;0),H107/G107,"")</f>
        <v/>
      </c>
      <c r="J107" s="15" t="n"/>
      <c r="K107" s="15" t="n"/>
      <c r="L107" s="17">
        <f>IF(A107="","",TEXT(A107,"yyyy-mm"))</f>
        <v/>
      </c>
      <c r="M107" s="17">
        <f>IF(AND(A107&lt;&gt;"",J107="Pending"),TODAY()-A107,"")</f>
        <v/>
      </c>
    </row>
    <row r="108">
      <c r="A108" s="16" t="n"/>
      <c r="B108" s="15" t="n"/>
      <c r="C108" s="15" t="n"/>
      <c r="D108" s="17">
        <f>IF($C108="","",IFERROR(INDEX(สินค้า!$A$5:$A$204,MATCH($C108,สินค้า!$B$5:$B$204,0)),"ไม่พบสินค้า"))</f>
        <v/>
      </c>
      <c r="E108" s="17">
        <f>IF($C108="","",IFERROR(INDEX(สินค้า!$C$5:$C$204,MATCH($C108,สินค้า!$B$5:$B$204,0)),"ไม่พบสินค้า"))</f>
        <v/>
      </c>
      <c r="F108" s="17">
        <f>IF($C108="","",IFERROR(INDEX(สินค้า!$D$5:$D$204,MATCH($C108,สินค้า!$B$5:$B$204,0)),"ไม่พบสินค้า"))</f>
        <v/>
      </c>
      <c r="G108" s="15" t="n"/>
      <c r="H108" s="15" t="n"/>
      <c r="I108" s="18">
        <f>IF(AND(ISNUMBER(G108),ISNUMBER(H108),G108&gt;0),H108/G108,"")</f>
        <v/>
      </c>
      <c r="J108" s="15" t="n"/>
      <c r="K108" s="15" t="n"/>
      <c r="L108" s="17">
        <f>IF(A108="","",TEXT(A108,"yyyy-mm"))</f>
        <v/>
      </c>
      <c r="M108" s="17">
        <f>IF(AND(A108&lt;&gt;"",J108="Pending"),TODAY()-A108,"")</f>
        <v/>
      </c>
    </row>
    <row r="109">
      <c r="A109" s="16" t="n"/>
      <c r="B109" s="15" t="n"/>
      <c r="C109" s="15" t="n"/>
      <c r="D109" s="17">
        <f>IF($C109="","",IFERROR(INDEX(สินค้า!$A$5:$A$204,MATCH($C109,สินค้า!$B$5:$B$204,0)),"ไม่พบสินค้า"))</f>
        <v/>
      </c>
      <c r="E109" s="17">
        <f>IF($C109="","",IFERROR(INDEX(สินค้า!$C$5:$C$204,MATCH($C109,สินค้า!$B$5:$B$204,0)),"ไม่พบสินค้า"))</f>
        <v/>
      </c>
      <c r="F109" s="17">
        <f>IF($C109="","",IFERROR(INDEX(สินค้า!$D$5:$D$204,MATCH($C109,สินค้า!$B$5:$B$204,0)),"ไม่พบสินค้า"))</f>
        <v/>
      </c>
      <c r="G109" s="15" t="n"/>
      <c r="H109" s="15" t="n"/>
      <c r="I109" s="18">
        <f>IF(AND(ISNUMBER(G109),ISNUMBER(H109),G109&gt;0),H109/G109,"")</f>
        <v/>
      </c>
      <c r="J109" s="15" t="n"/>
      <c r="K109" s="15" t="n"/>
      <c r="L109" s="17">
        <f>IF(A109="","",TEXT(A109,"yyyy-mm"))</f>
        <v/>
      </c>
      <c r="M109" s="17">
        <f>IF(AND(A109&lt;&gt;"",J109="Pending"),TODAY()-A109,"")</f>
        <v/>
      </c>
    </row>
    <row r="110">
      <c r="A110" s="16" t="n"/>
      <c r="B110" s="15" t="n"/>
      <c r="C110" s="15" t="n"/>
      <c r="D110" s="17">
        <f>IF($C110="","",IFERROR(INDEX(สินค้า!$A$5:$A$204,MATCH($C110,สินค้า!$B$5:$B$204,0)),"ไม่พบสินค้า"))</f>
        <v/>
      </c>
      <c r="E110" s="17">
        <f>IF($C110="","",IFERROR(INDEX(สินค้า!$C$5:$C$204,MATCH($C110,สินค้า!$B$5:$B$204,0)),"ไม่พบสินค้า"))</f>
        <v/>
      </c>
      <c r="F110" s="17">
        <f>IF($C110="","",IFERROR(INDEX(สินค้า!$D$5:$D$204,MATCH($C110,สินค้า!$B$5:$B$204,0)),"ไม่พบสินค้า"))</f>
        <v/>
      </c>
      <c r="G110" s="15" t="n"/>
      <c r="H110" s="15" t="n"/>
      <c r="I110" s="18">
        <f>IF(AND(ISNUMBER(G110),ISNUMBER(H110),G110&gt;0),H110/G110,"")</f>
        <v/>
      </c>
      <c r="J110" s="15" t="n"/>
      <c r="K110" s="15" t="n"/>
      <c r="L110" s="17">
        <f>IF(A110="","",TEXT(A110,"yyyy-mm"))</f>
        <v/>
      </c>
      <c r="M110" s="17">
        <f>IF(AND(A110&lt;&gt;"",J110="Pending"),TODAY()-A110,"")</f>
        <v/>
      </c>
    </row>
    <row r="111">
      <c r="A111" s="16" t="n"/>
      <c r="B111" s="15" t="n"/>
      <c r="C111" s="15" t="n"/>
      <c r="D111" s="17">
        <f>IF($C111="","",IFERROR(INDEX(สินค้า!$A$5:$A$204,MATCH($C111,สินค้า!$B$5:$B$204,0)),"ไม่พบสินค้า"))</f>
        <v/>
      </c>
      <c r="E111" s="17">
        <f>IF($C111="","",IFERROR(INDEX(สินค้า!$C$5:$C$204,MATCH($C111,สินค้า!$B$5:$B$204,0)),"ไม่พบสินค้า"))</f>
        <v/>
      </c>
      <c r="F111" s="17">
        <f>IF($C111="","",IFERROR(INDEX(สินค้า!$D$5:$D$204,MATCH($C111,สินค้า!$B$5:$B$204,0)),"ไม่พบสินค้า"))</f>
        <v/>
      </c>
      <c r="G111" s="15" t="n"/>
      <c r="H111" s="15" t="n"/>
      <c r="I111" s="18">
        <f>IF(AND(ISNUMBER(G111),ISNUMBER(H111),G111&gt;0),H111/G111,"")</f>
        <v/>
      </c>
      <c r="J111" s="15" t="n"/>
      <c r="K111" s="15" t="n"/>
      <c r="L111" s="17">
        <f>IF(A111="","",TEXT(A111,"yyyy-mm"))</f>
        <v/>
      </c>
      <c r="M111" s="17">
        <f>IF(AND(A111&lt;&gt;"",J111="Pending"),TODAY()-A111,"")</f>
        <v/>
      </c>
    </row>
    <row r="112">
      <c r="A112" s="16" t="n"/>
      <c r="B112" s="15" t="n"/>
      <c r="C112" s="15" t="n"/>
      <c r="D112" s="17">
        <f>IF($C112="","",IFERROR(INDEX(สินค้า!$A$5:$A$204,MATCH($C112,สินค้า!$B$5:$B$204,0)),"ไม่พบสินค้า"))</f>
        <v/>
      </c>
      <c r="E112" s="17">
        <f>IF($C112="","",IFERROR(INDEX(สินค้า!$C$5:$C$204,MATCH($C112,สินค้า!$B$5:$B$204,0)),"ไม่พบสินค้า"))</f>
        <v/>
      </c>
      <c r="F112" s="17">
        <f>IF($C112="","",IFERROR(INDEX(สินค้า!$D$5:$D$204,MATCH($C112,สินค้า!$B$5:$B$204,0)),"ไม่พบสินค้า"))</f>
        <v/>
      </c>
      <c r="G112" s="15" t="n"/>
      <c r="H112" s="15" t="n"/>
      <c r="I112" s="18">
        <f>IF(AND(ISNUMBER(G112),ISNUMBER(H112),G112&gt;0),H112/G112,"")</f>
        <v/>
      </c>
      <c r="J112" s="15" t="n"/>
      <c r="K112" s="15" t="n"/>
      <c r="L112" s="17">
        <f>IF(A112="","",TEXT(A112,"yyyy-mm"))</f>
        <v/>
      </c>
      <c r="M112" s="17">
        <f>IF(AND(A112&lt;&gt;"",J112="Pending"),TODAY()-A112,"")</f>
        <v/>
      </c>
    </row>
    <row r="113">
      <c r="A113" s="16" t="n"/>
      <c r="B113" s="15" t="n"/>
      <c r="C113" s="15" t="n"/>
      <c r="D113" s="17">
        <f>IF($C113="","",IFERROR(INDEX(สินค้า!$A$5:$A$204,MATCH($C113,สินค้า!$B$5:$B$204,0)),"ไม่พบสินค้า"))</f>
        <v/>
      </c>
      <c r="E113" s="17">
        <f>IF($C113="","",IFERROR(INDEX(สินค้า!$C$5:$C$204,MATCH($C113,สินค้า!$B$5:$B$204,0)),"ไม่พบสินค้า"))</f>
        <v/>
      </c>
      <c r="F113" s="17">
        <f>IF($C113="","",IFERROR(INDEX(สินค้า!$D$5:$D$204,MATCH($C113,สินค้า!$B$5:$B$204,0)),"ไม่พบสินค้า"))</f>
        <v/>
      </c>
      <c r="G113" s="15" t="n"/>
      <c r="H113" s="15" t="n"/>
      <c r="I113" s="18">
        <f>IF(AND(ISNUMBER(G113),ISNUMBER(H113),G113&gt;0),H113/G113,"")</f>
        <v/>
      </c>
      <c r="J113" s="15" t="n"/>
      <c r="K113" s="15" t="n"/>
      <c r="L113" s="17">
        <f>IF(A113="","",TEXT(A113,"yyyy-mm"))</f>
        <v/>
      </c>
      <c r="M113" s="17">
        <f>IF(AND(A113&lt;&gt;"",J113="Pending"),TODAY()-A113,"")</f>
        <v/>
      </c>
    </row>
    <row r="114">
      <c r="A114" s="16" t="n"/>
      <c r="B114" s="15" t="n"/>
      <c r="C114" s="15" t="n"/>
      <c r="D114" s="17">
        <f>IF($C114="","",IFERROR(INDEX(สินค้า!$A$5:$A$204,MATCH($C114,สินค้า!$B$5:$B$204,0)),"ไม่พบสินค้า"))</f>
        <v/>
      </c>
      <c r="E114" s="17">
        <f>IF($C114="","",IFERROR(INDEX(สินค้า!$C$5:$C$204,MATCH($C114,สินค้า!$B$5:$B$204,0)),"ไม่พบสินค้า"))</f>
        <v/>
      </c>
      <c r="F114" s="17">
        <f>IF($C114="","",IFERROR(INDEX(สินค้า!$D$5:$D$204,MATCH($C114,สินค้า!$B$5:$B$204,0)),"ไม่พบสินค้า"))</f>
        <v/>
      </c>
      <c r="G114" s="15" t="n"/>
      <c r="H114" s="15" t="n"/>
      <c r="I114" s="18">
        <f>IF(AND(ISNUMBER(G114),ISNUMBER(H114),G114&gt;0),H114/G114,"")</f>
        <v/>
      </c>
      <c r="J114" s="15" t="n"/>
      <c r="K114" s="15" t="n"/>
      <c r="L114" s="17">
        <f>IF(A114="","",TEXT(A114,"yyyy-mm"))</f>
        <v/>
      </c>
      <c r="M114" s="17">
        <f>IF(AND(A114&lt;&gt;"",J114="Pending"),TODAY()-A114,"")</f>
        <v/>
      </c>
    </row>
    <row r="115">
      <c r="A115" s="16" t="n"/>
      <c r="B115" s="15" t="n"/>
      <c r="C115" s="15" t="n"/>
      <c r="D115" s="17">
        <f>IF($C115="","",IFERROR(INDEX(สินค้า!$A$5:$A$204,MATCH($C115,สินค้า!$B$5:$B$204,0)),"ไม่พบสินค้า"))</f>
        <v/>
      </c>
      <c r="E115" s="17">
        <f>IF($C115="","",IFERROR(INDEX(สินค้า!$C$5:$C$204,MATCH($C115,สินค้า!$B$5:$B$204,0)),"ไม่พบสินค้า"))</f>
        <v/>
      </c>
      <c r="F115" s="17">
        <f>IF($C115="","",IFERROR(INDEX(สินค้า!$D$5:$D$204,MATCH($C115,สินค้า!$B$5:$B$204,0)),"ไม่พบสินค้า"))</f>
        <v/>
      </c>
      <c r="G115" s="15" t="n"/>
      <c r="H115" s="15" t="n"/>
      <c r="I115" s="18">
        <f>IF(AND(ISNUMBER(G115),ISNUMBER(H115),G115&gt;0),H115/G115,"")</f>
        <v/>
      </c>
      <c r="J115" s="15" t="n"/>
      <c r="K115" s="15" t="n"/>
      <c r="L115" s="17">
        <f>IF(A115="","",TEXT(A115,"yyyy-mm"))</f>
        <v/>
      </c>
      <c r="M115" s="17">
        <f>IF(AND(A115&lt;&gt;"",J115="Pending"),TODAY()-A115,"")</f>
        <v/>
      </c>
    </row>
    <row r="116">
      <c r="A116" s="16" t="n"/>
      <c r="B116" s="15" t="n"/>
      <c r="C116" s="15" t="n"/>
      <c r="D116" s="17">
        <f>IF($C116="","",IFERROR(INDEX(สินค้า!$A$5:$A$204,MATCH($C116,สินค้า!$B$5:$B$204,0)),"ไม่พบสินค้า"))</f>
        <v/>
      </c>
      <c r="E116" s="17">
        <f>IF($C116="","",IFERROR(INDEX(สินค้า!$C$5:$C$204,MATCH($C116,สินค้า!$B$5:$B$204,0)),"ไม่พบสินค้า"))</f>
        <v/>
      </c>
      <c r="F116" s="17">
        <f>IF($C116="","",IFERROR(INDEX(สินค้า!$D$5:$D$204,MATCH($C116,สินค้า!$B$5:$B$204,0)),"ไม่พบสินค้า"))</f>
        <v/>
      </c>
      <c r="G116" s="15" t="n"/>
      <c r="H116" s="15" t="n"/>
      <c r="I116" s="18">
        <f>IF(AND(ISNUMBER(G116),ISNUMBER(H116),G116&gt;0),H116/G116,"")</f>
        <v/>
      </c>
      <c r="J116" s="15" t="n"/>
      <c r="K116" s="15" t="n"/>
      <c r="L116" s="17">
        <f>IF(A116="","",TEXT(A116,"yyyy-mm"))</f>
        <v/>
      </c>
      <c r="M116" s="17">
        <f>IF(AND(A116&lt;&gt;"",J116="Pending"),TODAY()-A116,"")</f>
        <v/>
      </c>
    </row>
    <row r="117">
      <c r="A117" s="16" t="n"/>
      <c r="B117" s="15" t="n"/>
      <c r="C117" s="15" t="n"/>
      <c r="D117" s="17">
        <f>IF($C117="","",IFERROR(INDEX(สินค้า!$A$5:$A$204,MATCH($C117,สินค้า!$B$5:$B$204,0)),"ไม่พบสินค้า"))</f>
        <v/>
      </c>
      <c r="E117" s="17">
        <f>IF($C117="","",IFERROR(INDEX(สินค้า!$C$5:$C$204,MATCH($C117,สินค้า!$B$5:$B$204,0)),"ไม่พบสินค้า"))</f>
        <v/>
      </c>
      <c r="F117" s="17">
        <f>IF($C117="","",IFERROR(INDEX(สินค้า!$D$5:$D$204,MATCH($C117,สินค้า!$B$5:$B$204,0)),"ไม่พบสินค้า"))</f>
        <v/>
      </c>
      <c r="G117" s="15" t="n"/>
      <c r="H117" s="15" t="n"/>
      <c r="I117" s="18">
        <f>IF(AND(ISNUMBER(G117),ISNUMBER(H117),G117&gt;0),H117/G117,"")</f>
        <v/>
      </c>
      <c r="J117" s="15" t="n"/>
      <c r="K117" s="15" t="n"/>
      <c r="L117" s="17">
        <f>IF(A117="","",TEXT(A117,"yyyy-mm"))</f>
        <v/>
      </c>
      <c r="M117" s="17">
        <f>IF(AND(A117&lt;&gt;"",J117="Pending"),TODAY()-A117,"")</f>
        <v/>
      </c>
    </row>
    <row r="118">
      <c r="A118" s="16" t="n"/>
      <c r="B118" s="15" t="n"/>
      <c r="C118" s="15" t="n"/>
      <c r="D118" s="17">
        <f>IF($C118="","",IFERROR(INDEX(สินค้า!$A$5:$A$204,MATCH($C118,สินค้า!$B$5:$B$204,0)),"ไม่พบสินค้า"))</f>
        <v/>
      </c>
      <c r="E118" s="17">
        <f>IF($C118="","",IFERROR(INDEX(สินค้า!$C$5:$C$204,MATCH($C118,สินค้า!$B$5:$B$204,0)),"ไม่พบสินค้า"))</f>
        <v/>
      </c>
      <c r="F118" s="17">
        <f>IF($C118="","",IFERROR(INDEX(สินค้า!$D$5:$D$204,MATCH($C118,สินค้า!$B$5:$B$204,0)),"ไม่พบสินค้า"))</f>
        <v/>
      </c>
      <c r="G118" s="15" t="n"/>
      <c r="H118" s="15" t="n"/>
      <c r="I118" s="18">
        <f>IF(AND(ISNUMBER(G118),ISNUMBER(H118),G118&gt;0),H118/G118,"")</f>
        <v/>
      </c>
      <c r="J118" s="15" t="n"/>
      <c r="K118" s="15" t="n"/>
      <c r="L118" s="17">
        <f>IF(A118="","",TEXT(A118,"yyyy-mm"))</f>
        <v/>
      </c>
      <c r="M118" s="17">
        <f>IF(AND(A118&lt;&gt;"",J118="Pending"),TODAY()-A118,"")</f>
        <v/>
      </c>
    </row>
    <row r="119">
      <c r="A119" s="16" t="n"/>
      <c r="B119" s="15" t="n"/>
      <c r="C119" s="15" t="n"/>
      <c r="D119" s="17">
        <f>IF($C119="","",IFERROR(INDEX(สินค้า!$A$5:$A$204,MATCH($C119,สินค้า!$B$5:$B$204,0)),"ไม่พบสินค้า"))</f>
        <v/>
      </c>
      <c r="E119" s="17">
        <f>IF($C119="","",IFERROR(INDEX(สินค้า!$C$5:$C$204,MATCH($C119,สินค้า!$B$5:$B$204,0)),"ไม่พบสินค้า"))</f>
        <v/>
      </c>
      <c r="F119" s="17">
        <f>IF($C119="","",IFERROR(INDEX(สินค้า!$D$5:$D$204,MATCH($C119,สินค้า!$B$5:$B$204,0)),"ไม่พบสินค้า"))</f>
        <v/>
      </c>
      <c r="G119" s="15" t="n"/>
      <c r="H119" s="15" t="n"/>
      <c r="I119" s="18">
        <f>IF(AND(ISNUMBER(G119),ISNUMBER(H119),G119&gt;0),H119/G119,"")</f>
        <v/>
      </c>
      <c r="J119" s="15" t="n"/>
      <c r="K119" s="15" t="n"/>
      <c r="L119" s="17">
        <f>IF(A119="","",TEXT(A119,"yyyy-mm"))</f>
        <v/>
      </c>
      <c r="M119" s="17">
        <f>IF(AND(A119&lt;&gt;"",J119="Pending"),TODAY()-A119,"")</f>
        <v/>
      </c>
    </row>
    <row r="120">
      <c r="A120" s="16" t="n"/>
      <c r="B120" s="15" t="n"/>
      <c r="C120" s="15" t="n"/>
      <c r="D120" s="17">
        <f>IF($C120="","",IFERROR(INDEX(สินค้า!$A$5:$A$204,MATCH($C120,สินค้า!$B$5:$B$204,0)),"ไม่พบสินค้า"))</f>
        <v/>
      </c>
      <c r="E120" s="17">
        <f>IF($C120="","",IFERROR(INDEX(สินค้า!$C$5:$C$204,MATCH($C120,สินค้า!$B$5:$B$204,0)),"ไม่พบสินค้า"))</f>
        <v/>
      </c>
      <c r="F120" s="17">
        <f>IF($C120="","",IFERROR(INDEX(สินค้า!$D$5:$D$204,MATCH($C120,สินค้า!$B$5:$B$204,0)),"ไม่พบสินค้า"))</f>
        <v/>
      </c>
      <c r="G120" s="15" t="n"/>
      <c r="H120" s="15" t="n"/>
      <c r="I120" s="18">
        <f>IF(AND(ISNUMBER(G120),ISNUMBER(H120),G120&gt;0),H120/G120,"")</f>
        <v/>
      </c>
      <c r="J120" s="15" t="n"/>
      <c r="K120" s="15" t="n"/>
      <c r="L120" s="17">
        <f>IF(A120="","",TEXT(A120,"yyyy-mm"))</f>
        <v/>
      </c>
      <c r="M120" s="17">
        <f>IF(AND(A120&lt;&gt;"",J120="Pending"),TODAY()-A120,"")</f>
        <v/>
      </c>
    </row>
    <row r="121">
      <c r="A121" s="16" t="n"/>
      <c r="B121" s="15" t="n"/>
      <c r="C121" s="15" t="n"/>
      <c r="D121" s="17">
        <f>IF($C121="","",IFERROR(INDEX(สินค้า!$A$5:$A$204,MATCH($C121,สินค้า!$B$5:$B$204,0)),"ไม่พบสินค้า"))</f>
        <v/>
      </c>
      <c r="E121" s="17">
        <f>IF($C121="","",IFERROR(INDEX(สินค้า!$C$5:$C$204,MATCH($C121,สินค้า!$B$5:$B$204,0)),"ไม่พบสินค้า"))</f>
        <v/>
      </c>
      <c r="F121" s="17">
        <f>IF($C121="","",IFERROR(INDEX(สินค้า!$D$5:$D$204,MATCH($C121,สินค้า!$B$5:$B$204,0)),"ไม่พบสินค้า"))</f>
        <v/>
      </c>
      <c r="G121" s="15" t="n"/>
      <c r="H121" s="15" t="n"/>
      <c r="I121" s="18">
        <f>IF(AND(ISNUMBER(G121),ISNUMBER(H121),G121&gt;0),H121/G121,"")</f>
        <v/>
      </c>
      <c r="J121" s="15" t="n"/>
      <c r="K121" s="15" t="n"/>
      <c r="L121" s="17">
        <f>IF(A121="","",TEXT(A121,"yyyy-mm"))</f>
        <v/>
      </c>
      <c r="M121" s="17">
        <f>IF(AND(A121&lt;&gt;"",J121="Pending"),TODAY()-A121,"")</f>
        <v/>
      </c>
    </row>
    <row r="122">
      <c r="A122" s="16" t="n"/>
      <c r="B122" s="15" t="n"/>
      <c r="C122" s="15" t="n"/>
      <c r="D122" s="17">
        <f>IF($C122="","",IFERROR(INDEX(สินค้า!$A$5:$A$204,MATCH($C122,สินค้า!$B$5:$B$204,0)),"ไม่พบสินค้า"))</f>
        <v/>
      </c>
      <c r="E122" s="17">
        <f>IF($C122="","",IFERROR(INDEX(สินค้า!$C$5:$C$204,MATCH($C122,สินค้า!$B$5:$B$204,0)),"ไม่พบสินค้า"))</f>
        <v/>
      </c>
      <c r="F122" s="17">
        <f>IF($C122="","",IFERROR(INDEX(สินค้า!$D$5:$D$204,MATCH($C122,สินค้า!$B$5:$B$204,0)),"ไม่พบสินค้า"))</f>
        <v/>
      </c>
      <c r="G122" s="15" t="n"/>
      <c r="H122" s="15" t="n"/>
      <c r="I122" s="18">
        <f>IF(AND(ISNUMBER(G122),ISNUMBER(H122),G122&gt;0),H122/G122,"")</f>
        <v/>
      </c>
      <c r="J122" s="15" t="n"/>
      <c r="K122" s="15" t="n"/>
      <c r="L122" s="17">
        <f>IF(A122="","",TEXT(A122,"yyyy-mm"))</f>
        <v/>
      </c>
      <c r="M122" s="17">
        <f>IF(AND(A122&lt;&gt;"",J122="Pending"),TODAY()-A122,"")</f>
        <v/>
      </c>
    </row>
    <row r="123">
      <c r="A123" s="16" t="n"/>
      <c r="B123" s="15" t="n"/>
      <c r="C123" s="15" t="n"/>
      <c r="D123" s="17">
        <f>IF($C123="","",IFERROR(INDEX(สินค้า!$A$5:$A$204,MATCH($C123,สินค้า!$B$5:$B$204,0)),"ไม่พบสินค้า"))</f>
        <v/>
      </c>
      <c r="E123" s="17">
        <f>IF($C123="","",IFERROR(INDEX(สินค้า!$C$5:$C$204,MATCH($C123,สินค้า!$B$5:$B$204,0)),"ไม่พบสินค้า"))</f>
        <v/>
      </c>
      <c r="F123" s="17">
        <f>IF($C123="","",IFERROR(INDEX(สินค้า!$D$5:$D$204,MATCH($C123,สินค้า!$B$5:$B$204,0)),"ไม่พบสินค้า"))</f>
        <v/>
      </c>
      <c r="G123" s="15" t="n"/>
      <c r="H123" s="15" t="n"/>
      <c r="I123" s="18">
        <f>IF(AND(ISNUMBER(G123),ISNUMBER(H123),G123&gt;0),H123/G123,"")</f>
        <v/>
      </c>
      <c r="J123" s="15" t="n"/>
      <c r="K123" s="15" t="n"/>
      <c r="L123" s="17">
        <f>IF(A123="","",TEXT(A123,"yyyy-mm"))</f>
        <v/>
      </c>
      <c r="M123" s="17">
        <f>IF(AND(A123&lt;&gt;"",J123="Pending"),TODAY()-A123,"")</f>
        <v/>
      </c>
    </row>
    <row r="124">
      <c r="A124" s="16" t="n"/>
      <c r="B124" s="15" t="n"/>
      <c r="C124" s="15" t="n"/>
      <c r="D124" s="17">
        <f>IF($C124="","",IFERROR(INDEX(สินค้า!$A$5:$A$204,MATCH($C124,สินค้า!$B$5:$B$204,0)),"ไม่พบสินค้า"))</f>
        <v/>
      </c>
      <c r="E124" s="17">
        <f>IF($C124="","",IFERROR(INDEX(สินค้า!$C$5:$C$204,MATCH($C124,สินค้า!$B$5:$B$204,0)),"ไม่พบสินค้า"))</f>
        <v/>
      </c>
      <c r="F124" s="17">
        <f>IF($C124="","",IFERROR(INDEX(สินค้า!$D$5:$D$204,MATCH($C124,สินค้า!$B$5:$B$204,0)),"ไม่พบสินค้า"))</f>
        <v/>
      </c>
      <c r="G124" s="15" t="n"/>
      <c r="H124" s="15" t="n"/>
      <c r="I124" s="18">
        <f>IF(AND(ISNUMBER(G124),ISNUMBER(H124),G124&gt;0),H124/G124,"")</f>
        <v/>
      </c>
      <c r="J124" s="15" t="n"/>
      <c r="K124" s="15" t="n"/>
      <c r="L124" s="17">
        <f>IF(A124="","",TEXT(A124,"yyyy-mm"))</f>
        <v/>
      </c>
      <c r="M124" s="17">
        <f>IF(AND(A124&lt;&gt;"",J124="Pending"),TODAY()-A124,"")</f>
        <v/>
      </c>
    </row>
    <row r="125">
      <c r="A125" s="16" t="n"/>
      <c r="B125" s="15" t="n"/>
      <c r="C125" s="15" t="n"/>
      <c r="D125" s="17">
        <f>IF($C125="","",IFERROR(INDEX(สินค้า!$A$5:$A$204,MATCH($C125,สินค้า!$B$5:$B$204,0)),"ไม่พบสินค้า"))</f>
        <v/>
      </c>
      <c r="E125" s="17">
        <f>IF($C125="","",IFERROR(INDEX(สินค้า!$C$5:$C$204,MATCH($C125,สินค้า!$B$5:$B$204,0)),"ไม่พบสินค้า"))</f>
        <v/>
      </c>
      <c r="F125" s="17">
        <f>IF($C125="","",IFERROR(INDEX(สินค้า!$D$5:$D$204,MATCH($C125,สินค้า!$B$5:$B$204,0)),"ไม่พบสินค้า"))</f>
        <v/>
      </c>
      <c r="G125" s="15" t="n"/>
      <c r="H125" s="15" t="n"/>
      <c r="I125" s="18">
        <f>IF(AND(ISNUMBER(G125),ISNUMBER(H125),G125&gt;0),H125/G125,"")</f>
        <v/>
      </c>
      <c r="J125" s="15" t="n"/>
      <c r="K125" s="15" t="n"/>
      <c r="L125" s="17">
        <f>IF(A125="","",TEXT(A125,"yyyy-mm"))</f>
        <v/>
      </c>
      <c r="M125" s="17">
        <f>IF(AND(A125&lt;&gt;"",J125="Pending"),TODAY()-A125,"")</f>
        <v/>
      </c>
    </row>
    <row r="126">
      <c r="A126" s="16" t="n"/>
      <c r="B126" s="15" t="n"/>
      <c r="C126" s="15" t="n"/>
      <c r="D126" s="17">
        <f>IF($C126="","",IFERROR(INDEX(สินค้า!$A$5:$A$204,MATCH($C126,สินค้า!$B$5:$B$204,0)),"ไม่พบสินค้า"))</f>
        <v/>
      </c>
      <c r="E126" s="17">
        <f>IF($C126="","",IFERROR(INDEX(สินค้า!$C$5:$C$204,MATCH($C126,สินค้า!$B$5:$B$204,0)),"ไม่พบสินค้า"))</f>
        <v/>
      </c>
      <c r="F126" s="17">
        <f>IF($C126="","",IFERROR(INDEX(สินค้า!$D$5:$D$204,MATCH($C126,สินค้า!$B$5:$B$204,0)),"ไม่พบสินค้า"))</f>
        <v/>
      </c>
      <c r="G126" s="15" t="n"/>
      <c r="H126" s="15" t="n"/>
      <c r="I126" s="18">
        <f>IF(AND(ISNUMBER(G126),ISNUMBER(H126),G126&gt;0),H126/G126,"")</f>
        <v/>
      </c>
      <c r="J126" s="15" t="n"/>
      <c r="K126" s="15" t="n"/>
      <c r="L126" s="17">
        <f>IF(A126="","",TEXT(A126,"yyyy-mm"))</f>
        <v/>
      </c>
      <c r="M126" s="17">
        <f>IF(AND(A126&lt;&gt;"",J126="Pending"),TODAY()-A126,"")</f>
        <v/>
      </c>
    </row>
    <row r="127">
      <c r="A127" s="16" t="n"/>
      <c r="B127" s="15" t="n"/>
      <c r="C127" s="15" t="n"/>
      <c r="D127" s="17">
        <f>IF($C127="","",IFERROR(INDEX(สินค้า!$A$5:$A$204,MATCH($C127,สินค้า!$B$5:$B$204,0)),"ไม่พบสินค้า"))</f>
        <v/>
      </c>
      <c r="E127" s="17">
        <f>IF($C127="","",IFERROR(INDEX(สินค้า!$C$5:$C$204,MATCH($C127,สินค้า!$B$5:$B$204,0)),"ไม่พบสินค้า"))</f>
        <v/>
      </c>
      <c r="F127" s="17">
        <f>IF($C127="","",IFERROR(INDEX(สินค้า!$D$5:$D$204,MATCH($C127,สินค้า!$B$5:$B$204,0)),"ไม่พบสินค้า"))</f>
        <v/>
      </c>
      <c r="G127" s="15" t="n"/>
      <c r="H127" s="15" t="n"/>
      <c r="I127" s="18">
        <f>IF(AND(ISNUMBER(G127),ISNUMBER(H127),G127&gt;0),H127/G127,"")</f>
        <v/>
      </c>
      <c r="J127" s="15" t="n"/>
      <c r="K127" s="15" t="n"/>
      <c r="L127" s="17">
        <f>IF(A127="","",TEXT(A127,"yyyy-mm"))</f>
        <v/>
      </c>
      <c r="M127" s="17">
        <f>IF(AND(A127&lt;&gt;"",J127="Pending"),TODAY()-A127,"")</f>
        <v/>
      </c>
    </row>
    <row r="128">
      <c r="A128" s="16" t="n"/>
      <c r="B128" s="15" t="n"/>
      <c r="C128" s="15" t="n"/>
      <c r="D128" s="17">
        <f>IF($C128="","",IFERROR(INDEX(สินค้า!$A$5:$A$204,MATCH($C128,สินค้า!$B$5:$B$204,0)),"ไม่พบสินค้า"))</f>
        <v/>
      </c>
      <c r="E128" s="17">
        <f>IF($C128="","",IFERROR(INDEX(สินค้า!$C$5:$C$204,MATCH($C128,สินค้า!$B$5:$B$204,0)),"ไม่พบสินค้า"))</f>
        <v/>
      </c>
      <c r="F128" s="17">
        <f>IF($C128="","",IFERROR(INDEX(สินค้า!$D$5:$D$204,MATCH($C128,สินค้า!$B$5:$B$204,0)),"ไม่พบสินค้า"))</f>
        <v/>
      </c>
      <c r="G128" s="15" t="n"/>
      <c r="H128" s="15" t="n"/>
      <c r="I128" s="18">
        <f>IF(AND(ISNUMBER(G128),ISNUMBER(H128),G128&gt;0),H128/G128,"")</f>
        <v/>
      </c>
      <c r="J128" s="15" t="n"/>
      <c r="K128" s="15" t="n"/>
      <c r="L128" s="17">
        <f>IF(A128="","",TEXT(A128,"yyyy-mm"))</f>
        <v/>
      </c>
      <c r="M128" s="17">
        <f>IF(AND(A128&lt;&gt;"",J128="Pending"),TODAY()-A128,"")</f>
        <v/>
      </c>
    </row>
    <row r="129">
      <c r="A129" s="16" t="n"/>
      <c r="B129" s="15" t="n"/>
      <c r="C129" s="15" t="n"/>
      <c r="D129" s="17">
        <f>IF($C129="","",IFERROR(INDEX(สินค้า!$A$5:$A$204,MATCH($C129,สินค้า!$B$5:$B$204,0)),"ไม่พบสินค้า"))</f>
        <v/>
      </c>
      <c r="E129" s="17">
        <f>IF($C129="","",IFERROR(INDEX(สินค้า!$C$5:$C$204,MATCH($C129,สินค้า!$B$5:$B$204,0)),"ไม่พบสินค้า"))</f>
        <v/>
      </c>
      <c r="F129" s="17">
        <f>IF($C129="","",IFERROR(INDEX(สินค้า!$D$5:$D$204,MATCH($C129,สินค้า!$B$5:$B$204,0)),"ไม่พบสินค้า"))</f>
        <v/>
      </c>
      <c r="G129" s="15" t="n"/>
      <c r="H129" s="15" t="n"/>
      <c r="I129" s="18">
        <f>IF(AND(ISNUMBER(G129),ISNUMBER(H129),G129&gt;0),H129/G129,"")</f>
        <v/>
      </c>
      <c r="J129" s="15" t="n"/>
      <c r="K129" s="15" t="n"/>
      <c r="L129" s="17">
        <f>IF(A129="","",TEXT(A129,"yyyy-mm"))</f>
        <v/>
      </c>
      <c r="M129" s="17">
        <f>IF(AND(A129&lt;&gt;"",J129="Pending"),TODAY()-A129,"")</f>
        <v/>
      </c>
    </row>
    <row r="130">
      <c r="A130" s="16" t="n"/>
      <c r="B130" s="15" t="n"/>
      <c r="C130" s="15" t="n"/>
      <c r="D130" s="17">
        <f>IF($C130="","",IFERROR(INDEX(สินค้า!$A$5:$A$204,MATCH($C130,สินค้า!$B$5:$B$204,0)),"ไม่พบสินค้า"))</f>
        <v/>
      </c>
      <c r="E130" s="17">
        <f>IF($C130="","",IFERROR(INDEX(สินค้า!$C$5:$C$204,MATCH($C130,สินค้า!$B$5:$B$204,0)),"ไม่พบสินค้า"))</f>
        <v/>
      </c>
      <c r="F130" s="17">
        <f>IF($C130="","",IFERROR(INDEX(สินค้า!$D$5:$D$204,MATCH($C130,สินค้า!$B$5:$B$204,0)),"ไม่พบสินค้า"))</f>
        <v/>
      </c>
      <c r="G130" s="15" t="n"/>
      <c r="H130" s="15" t="n"/>
      <c r="I130" s="18">
        <f>IF(AND(ISNUMBER(G130),ISNUMBER(H130),G130&gt;0),H130/G130,"")</f>
        <v/>
      </c>
      <c r="J130" s="15" t="n"/>
      <c r="K130" s="15" t="n"/>
      <c r="L130" s="17">
        <f>IF(A130="","",TEXT(A130,"yyyy-mm"))</f>
        <v/>
      </c>
      <c r="M130" s="17">
        <f>IF(AND(A130&lt;&gt;"",J130="Pending"),TODAY()-A130,"")</f>
        <v/>
      </c>
    </row>
    <row r="131">
      <c r="A131" s="16" t="n"/>
      <c r="B131" s="15" t="n"/>
      <c r="C131" s="15" t="n"/>
      <c r="D131" s="17">
        <f>IF($C131="","",IFERROR(INDEX(สินค้า!$A$5:$A$204,MATCH($C131,สินค้า!$B$5:$B$204,0)),"ไม่พบสินค้า"))</f>
        <v/>
      </c>
      <c r="E131" s="17">
        <f>IF($C131="","",IFERROR(INDEX(สินค้า!$C$5:$C$204,MATCH($C131,สินค้า!$B$5:$B$204,0)),"ไม่พบสินค้า"))</f>
        <v/>
      </c>
      <c r="F131" s="17">
        <f>IF($C131="","",IFERROR(INDEX(สินค้า!$D$5:$D$204,MATCH($C131,สินค้า!$B$5:$B$204,0)),"ไม่พบสินค้า"))</f>
        <v/>
      </c>
      <c r="G131" s="15" t="n"/>
      <c r="H131" s="15" t="n"/>
      <c r="I131" s="18">
        <f>IF(AND(ISNUMBER(G131),ISNUMBER(H131),G131&gt;0),H131/G131,"")</f>
        <v/>
      </c>
      <c r="J131" s="15" t="n"/>
      <c r="K131" s="15" t="n"/>
      <c r="L131" s="17">
        <f>IF(A131="","",TEXT(A131,"yyyy-mm"))</f>
        <v/>
      </c>
      <c r="M131" s="17">
        <f>IF(AND(A131&lt;&gt;"",J131="Pending"),TODAY()-A131,"")</f>
        <v/>
      </c>
    </row>
    <row r="132">
      <c r="A132" s="16" t="n"/>
      <c r="B132" s="15" t="n"/>
      <c r="C132" s="15" t="n"/>
      <c r="D132" s="17">
        <f>IF($C132="","",IFERROR(INDEX(สินค้า!$A$5:$A$204,MATCH($C132,สินค้า!$B$5:$B$204,0)),"ไม่พบสินค้า"))</f>
        <v/>
      </c>
      <c r="E132" s="17">
        <f>IF($C132="","",IFERROR(INDEX(สินค้า!$C$5:$C$204,MATCH($C132,สินค้า!$B$5:$B$204,0)),"ไม่พบสินค้า"))</f>
        <v/>
      </c>
      <c r="F132" s="17">
        <f>IF($C132="","",IFERROR(INDEX(สินค้า!$D$5:$D$204,MATCH($C132,สินค้า!$B$5:$B$204,0)),"ไม่พบสินค้า"))</f>
        <v/>
      </c>
      <c r="G132" s="15" t="n"/>
      <c r="H132" s="15" t="n"/>
      <c r="I132" s="18">
        <f>IF(AND(ISNUMBER(G132),ISNUMBER(H132),G132&gt;0),H132/G132,"")</f>
        <v/>
      </c>
      <c r="J132" s="15" t="n"/>
      <c r="K132" s="15" t="n"/>
      <c r="L132" s="17">
        <f>IF(A132="","",TEXT(A132,"yyyy-mm"))</f>
        <v/>
      </c>
      <c r="M132" s="17">
        <f>IF(AND(A132&lt;&gt;"",J132="Pending"),TODAY()-A132,"")</f>
        <v/>
      </c>
    </row>
    <row r="133">
      <c r="A133" s="16" t="n"/>
      <c r="B133" s="15" t="n"/>
      <c r="C133" s="15" t="n"/>
      <c r="D133" s="17">
        <f>IF($C133="","",IFERROR(INDEX(สินค้า!$A$5:$A$204,MATCH($C133,สินค้า!$B$5:$B$204,0)),"ไม่พบสินค้า"))</f>
        <v/>
      </c>
      <c r="E133" s="17">
        <f>IF($C133="","",IFERROR(INDEX(สินค้า!$C$5:$C$204,MATCH($C133,สินค้า!$B$5:$B$204,0)),"ไม่พบสินค้า"))</f>
        <v/>
      </c>
      <c r="F133" s="17">
        <f>IF($C133="","",IFERROR(INDEX(สินค้า!$D$5:$D$204,MATCH($C133,สินค้า!$B$5:$B$204,0)),"ไม่พบสินค้า"))</f>
        <v/>
      </c>
      <c r="G133" s="15" t="n"/>
      <c r="H133" s="15" t="n"/>
      <c r="I133" s="18">
        <f>IF(AND(ISNUMBER(G133),ISNUMBER(H133),G133&gt;0),H133/G133,"")</f>
        <v/>
      </c>
      <c r="J133" s="15" t="n"/>
      <c r="K133" s="15" t="n"/>
      <c r="L133" s="17">
        <f>IF(A133="","",TEXT(A133,"yyyy-mm"))</f>
        <v/>
      </c>
      <c r="M133" s="17">
        <f>IF(AND(A133&lt;&gt;"",J133="Pending"),TODAY()-A133,"")</f>
        <v/>
      </c>
    </row>
    <row r="134">
      <c r="A134" s="16" t="n"/>
      <c r="B134" s="15" t="n"/>
      <c r="C134" s="15" t="n"/>
      <c r="D134" s="17">
        <f>IF($C134="","",IFERROR(INDEX(สินค้า!$A$5:$A$204,MATCH($C134,สินค้า!$B$5:$B$204,0)),"ไม่พบสินค้า"))</f>
        <v/>
      </c>
      <c r="E134" s="17">
        <f>IF($C134="","",IFERROR(INDEX(สินค้า!$C$5:$C$204,MATCH($C134,สินค้า!$B$5:$B$204,0)),"ไม่พบสินค้า"))</f>
        <v/>
      </c>
      <c r="F134" s="17">
        <f>IF($C134="","",IFERROR(INDEX(สินค้า!$D$5:$D$204,MATCH($C134,สินค้า!$B$5:$B$204,0)),"ไม่พบสินค้า"))</f>
        <v/>
      </c>
      <c r="G134" s="15" t="n"/>
      <c r="H134" s="15" t="n"/>
      <c r="I134" s="18">
        <f>IF(AND(ISNUMBER(G134),ISNUMBER(H134),G134&gt;0),H134/G134,"")</f>
        <v/>
      </c>
      <c r="J134" s="15" t="n"/>
      <c r="K134" s="15" t="n"/>
      <c r="L134" s="17">
        <f>IF(A134="","",TEXT(A134,"yyyy-mm"))</f>
        <v/>
      </c>
      <c r="M134" s="17">
        <f>IF(AND(A134&lt;&gt;"",J134="Pending"),TODAY()-A134,"")</f>
        <v/>
      </c>
    </row>
    <row r="135">
      <c r="A135" s="16" t="n"/>
      <c r="B135" s="15" t="n"/>
      <c r="C135" s="15" t="n"/>
      <c r="D135" s="17">
        <f>IF($C135="","",IFERROR(INDEX(สินค้า!$A$5:$A$204,MATCH($C135,สินค้า!$B$5:$B$204,0)),"ไม่พบสินค้า"))</f>
        <v/>
      </c>
      <c r="E135" s="17">
        <f>IF($C135="","",IFERROR(INDEX(สินค้า!$C$5:$C$204,MATCH($C135,สินค้า!$B$5:$B$204,0)),"ไม่พบสินค้า"))</f>
        <v/>
      </c>
      <c r="F135" s="17">
        <f>IF($C135="","",IFERROR(INDEX(สินค้า!$D$5:$D$204,MATCH($C135,สินค้า!$B$5:$B$204,0)),"ไม่พบสินค้า"))</f>
        <v/>
      </c>
      <c r="G135" s="15" t="n"/>
      <c r="H135" s="15" t="n"/>
      <c r="I135" s="18">
        <f>IF(AND(ISNUMBER(G135),ISNUMBER(H135),G135&gt;0),H135/G135,"")</f>
        <v/>
      </c>
      <c r="J135" s="15" t="n"/>
      <c r="K135" s="15" t="n"/>
      <c r="L135" s="17">
        <f>IF(A135="","",TEXT(A135,"yyyy-mm"))</f>
        <v/>
      </c>
      <c r="M135" s="17">
        <f>IF(AND(A135&lt;&gt;"",J135="Pending"),TODAY()-A135,"")</f>
        <v/>
      </c>
    </row>
    <row r="136">
      <c r="A136" s="16" t="n"/>
      <c r="B136" s="15" t="n"/>
      <c r="C136" s="15" t="n"/>
      <c r="D136" s="17">
        <f>IF($C136="","",IFERROR(INDEX(สินค้า!$A$5:$A$204,MATCH($C136,สินค้า!$B$5:$B$204,0)),"ไม่พบสินค้า"))</f>
        <v/>
      </c>
      <c r="E136" s="17">
        <f>IF($C136="","",IFERROR(INDEX(สินค้า!$C$5:$C$204,MATCH($C136,สินค้า!$B$5:$B$204,0)),"ไม่พบสินค้า"))</f>
        <v/>
      </c>
      <c r="F136" s="17">
        <f>IF($C136="","",IFERROR(INDEX(สินค้า!$D$5:$D$204,MATCH($C136,สินค้า!$B$5:$B$204,0)),"ไม่พบสินค้า"))</f>
        <v/>
      </c>
      <c r="G136" s="15" t="n"/>
      <c r="H136" s="15" t="n"/>
      <c r="I136" s="18">
        <f>IF(AND(ISNUMBER(G136),ISNUMBER(H136),G136&gt;0),H136/G136,"")</f>
        <v/>
      </c>
      <c r="J136" s="15" t="n"/>
      <c r="K136" s="15" t="n"/>
      <c r="L136" s="17">
        <f>IF(A136="","",TEXT(A136,"yyyy-mm"))</f>
        <v/>
      </c>
      <c r="M136" s="17">
        <f>IF(AND(A136&lt;&gt;"",J136="Pending"),TODAY()-A136,"")</f>
        <v/>
      </c>
    </row>
    <row r="137">
      <c r="A137" s="16" t="n"/>
      <c r="B137" s="15" t="n"/>
      <c r="C137" s="15" t="n"/>
      <c r="D137" s="17">
        <f>IF($C137="","",IFERROR(INDEX(สินค้า!$A$5:$A$204,MATCH($C137,สินค้า!$B$5:$B$204,0)),"ไม่พบสินค้า"))</f>
        <v/>
      </c>
      <c r="E137" s="17">
        <f>IF($C137="","",IFERROR(INDEX(สินค้า!$C$5:$C$204,MATCH($C137,สินค้า!$B$5:$B$204,0)),"ไม่พบสินค้า"))</f>
        <v/>
      </c>
      <c r="F137" s="17">
        <f>IF($C137="","",IFERROR(INDEX(สินค้า!$D$5:$D$204,MATCH($C137,สินค้า!$B$5:$B$204,0)),"ไม่พบสินค้า"))</f>
        <v/>
      </c>
      <c r="G137" s="15" t="n"/>
      <c r="H137" s="15" t="n"/>
      <c r="I137" s="18">
        <f>IF(AND(ISNUMBER(G137),ISNUMBER(H137),G137&gt;0),H137/G137,"")</f>
        <v/>
      </c>
      <c r="J137" s="15" t="n"/>
      <c r="K137" s="15" t="n"/>
      <c r="L137" s="17">
        <f>IF(A137="","",TEXT(A137,"yyyy-mm"))</f>
        <v/>
      </c>
      <c r="M137" s="17">
        <f>IF(AND(A137&lt;&gt;"",J137="Pending"),TODAY()-A137,"")</f>
        <v/>
      </c>
    </row>
    <row r="138">
      <c r="A138" s="16" t="n"/>
      <c r="B138" s="15" t="n"/>
      <c r="C138" s="15" t="n"/>
      <c r="D138" s="17">
        <f>IF($C138="","",IFERROR(INDEX(สินค้า!$A$5:$A$204,MATCH($C138,สินค้า!$B$5:$B$204,0)),"ไม่พบสินค้า"))</f>
        <v/>
      </c>
      <c r="E138" s="17">
        <f>IF($C138="","",IFERROR(INDEX(สินค้า!$C$5:$C$204,MATCH($C138,สินค้า!$B$5:$B$204,0)),"ไม่พบสินค้า"))</f>
        <v/>
      </c>
      <c r="F138" s="17">
        <f>IF($C138="","",IFERROR(INDEX(สินค้า!$D$5:$D$204,MATCH($C138,สินค้า!$B$5:$B$204,0)),"ไม่พบสินค้า"))</f>
        <v/>
      </c>
      <c r="G138" s="15" t="n"/>
      <c r="H138" s="15" t="n"/>
      <c r="I138" s="18">
        <f>IF(AND(ISNUMBER(G138),ISNUMBER(H138),G138&gt;0),H138/G138,"")</f>
        <v/>
      </c>
      <c r="J138" s="15" t="n"/>
      <c r="K138" s="15" t="n"/>
      <c r="L138" s="17">
        <f>IF(A138="","",TEXT(A138,"yyyy-mm"))</f>
        <v/>
      </c>
      <c r="M138" s="17">
        <f>IF(AND(A138&lt;&gt;"",J138="Pending"),TODAY()-A138,"")</f>
        <v/>
      </c>
    </row>
    <row r="139">
      <c r="A139" s="16" t="n"/>
      <c r="B139" s="15" t="n"/>
      <c r="C139" s="15" t="n"/>
      <c r="D139" s="17">
        <f>IF($C139="","",IFERROR(INDEX(สินค้า!$A$5:$A$204,MATCH($C139,สินค้า!$B$5:$B$204,0)),"ไม่พบสินค้า"))</f>
        <v/>
      </c>
      <c r="E139" s="17">
        <f>IF($C139="","",IFERROR(INDEX(สินค้า!$C$5:$C$204,MATCH($C139,สินค้า!$B$5:$B$204,0)),"ไม่พบสินค้า"))</f>
        <v/>
      </c>
      <c r="F139" s="17">
        <f>IF($C139="","",IFERROR(INDEX(สินค้า!$D$5:$D$204,MATCH($C139,สินค้า!$B$5:$B$204,0)),"ไม่พบสินค้า"))</f>
        <v/>
      </c>
      <c r="G139" s="15" t="n"/>
      <c r="H139" s="15" t="n"/>
      <c r="I139" s="18">
        <f>IF(AND(ISNUMBER(G139),ISNUMBER(H139),G139&gt;0),H139/G139,"")</f>
        <v/>
      </c>
      <c r="J139" s="15" t="n"/>
      <c r="K139" s="15" t="n"/>
      <c r="L139" s="17">
        <f>IF(A139="","",TEXT(A139,"yyyy-mm"))</f>
        <v/>
      </c>
      <c r="M139" s="17">
        <f>IF(AND(A139&lt;&gt;"",J139="Pending"),TODAY()-A139,"")</f>
        <v/>
      </c>
    </row>
    <row r="140">
      <c r="A140" s="16" t="n"/>
      <c r="B140" s="15" t="n"/>
      <c r="C140" s="15" t="n"/>
      <c r="D140" s="17">
        <f>IF($C140="","",IFERROR(INDEX(สินค้า!$A$5:$A$204,MATCH($C140,สินค้า!$B$5:$B$204,0)),"ไม่พบสินค้า"))</f>
        <v/>
      </c>
      <c r="E140" s="17">
        <f>IF($C140="","",IFERROR(INDEX(สินค้า!$C$5:$C$204,MATCH($C140,สินค้า!$B$5:$B$204,0)),"ไม่พบสินค้า"))</f>
        <v/>
      </c>
      <c r="F140" s="17">
        <f>IF($C140="","",IFERROR(INDEX(สินค้า!$D$5:$D$204,MATCH($C140,สินค้า!$B$5:$B$204,0)),"ไม่พบสินค้า"))</f>
        <v/>
      </c>
      <c r="G140" s="15" t="n"/>
      <c r="H140" s="15" t="n"/>
      <c r="I140" s="18">
        <f>IF(AND(ISNUMBER(G140),ISNUMBER(H140),G140&gt;0),H140/G140,"")</f>
        <v/>
      </c>
      <c r="J140" s="15" t="n"/>
      <c r="K140" s="15" t="n"/>
      <c r="L140" s="17">
        <f>IF(A140="","",TEXT(A140,"yyyy-mm"))</f>
        <v/>
      </c>
      <c r="M140" s="17">
        <f>IF(AND(A140&lt;&gt;"",J140="Pending"),TODAY()-A140,"")</f>
        <v/>
      </c>
    </row>
    <row r="141">
      <c r="A141" s="16" t="n"/>
      <c r="B141" s="15" t="n"/>
      <c r="C141" s="15" t="n"/>
      <c r="D141" s="17">
        <f>IF($C141="","",IFERROR(INDEX(สินค้า!$A$5:$A$204,MATCH($C141,สินค้า!$B$5:$B$204,0)),"ไม่พบสินค้า"))</f>
        <v/>
      </c>
      <c r="E141" s="17">
        <f>IF($C141="","",IFERROR(INDEX(สินค้า!$C$5:$C$204,MATCH($C141,สินค้า!$B$5:$B$204,0)),"ไม่พบสินค้า"))</f>
        <v/>
      </c>
      <c r="F141" s="17">
        <f>IF($C141="","",IFERROR(INDEX(สินค้า!$D$5:$D$204,MATCH($C141,สินค้า!$B$5:$B$204,0)),"ไม่พบสินค้า"))</f>
        <v/>
      </c>
      <c r="G141" s="15" t="n"/>
      <c r="H141" s="15" t="n"/>
      <c r="I141" s="18">
        <f>IF(AND(ISNUMBER(G141),ISNUMBER(H141),G141&gt;0),H141/G141,"")</f>
        <v/>
      </c>
      <c r="J141" s="15" t="n"/>
      <c r="K141" s="15" t="n"/>
      <c r="L141" s="17">
        <f>IF(A141="","",TEXT(A141,"yyyy-mm"))</f>
        <v/>
      </c>
      <c r="M141" s="17">
        <f>IF(AND(A141&lt;&gt;"",J141="Pending"),TODAY()-A141,"")</f>
        <v/>
      </c>
    </row>
    <row r="142">
      <c r="A142" s="16" t="n"/>
      <c r="B142" s="15" t="n"/>
      <c r="C142" s="15" t="n"/>
      <c r="D142" s="17">
        <f>IF($C142="","",IFERROR(INDEX(สินค้า!$A$5:$A$204,MATCH($C142,สินค้า!$B$5:$B$204,0)),"ไม่พบสินค้า"))</f>
        <v/>
      </c>
      <c r="E142" s="17">
        <f>IF($C142="","",IFERROR(INDEX(สินค้า!$C$5:$C$204,MATCH($C142,สินค้า!$B$5:$B$204,0)),"ไม่พบสินค้า"))</f>
        <v/>
      </c>
      <c r="F142" s="17">
        <f>IF($C142="","",IFERROR(INDEX(สินค้า!$D$5:$D$204,MATCH($C142,สินค้า!$B$5:$B$204,0)),"ไม่พบสินค้า"))</f>
        <v/>
      </c>
      <c r="G142" s="15" t="n"/>
      <c r="H142" s="15" t="n"/>
      <c r="I142" s="18">
        <f>IF(AND(ISNUMBER(G142),ISNUMBER(H142),G142&gt;0),H142/G142,"")</f>
        <v/>
      </c>
      <c r="J142" s="15" t="n"/>
      <c r="K142" s="15" t="n"/>
      <c r="L142" s="17">
        <f>IF(A142="","",TEXT(A142,"yyyy-mm"))</f>
        <v/>
      </c>
      <c r="M142" s="17">
        <f>IF(AND(A142&lt;&gt;"",J142="Pending"),TODAY()-A142,"")</f>
        <v/>
      </c>
    </row>
    <row r="143">
      <c r="A143" s="16" t="n"/>
      <c r="B143" s="15" t="n"/>
      <c r="C143" s="15" t="n"/>
      <c r="D143" s="17">
        <f>IF($C143="","",IFERROR(INDEX(สินค้า!$A$5:$A$204,MATCH($C143,สินค้า!$B$5:$B$204,0)),"ไม่พบสินค้า"))</f>
        <v/>
      </c>
      <c r="E143" s="17">
        <f>IF($C143="","",IFERROR(INDEX(สินค้า!$C$5:$C$204,MATCH($C143,สินค้า!$B$5:$B$204,0)),"ไม่พบสินค้า"))</f>
        <v/>
      </c>
      <c r="F143" s="17">
        <f>IF($C143="","",IFERROR(INDEX(สินค้า!$D$5:$D$204,MATCH($C143,สินค้า!$B$5:$B$204,0)),"ไม่พบสินค้า"))</f>
        <v/>
      </c>
      <c r="G143" s="15" t="n"/>
      <c r="H143" s="15" t="n"/>
      <c r="I143" s="18">
        <f>IF(AND(ISNUMBER(G143),ISNUMBER(H143),G143&gt;0),H143/G143,"")</f>
        <v/>
      </c>
      <c r="J143" s="15" t="n"/>
      <c r="K143" s="15" t="n"/>
      <c r="L143" s="17">
        <f>IF(A143="","",TEXT(A143,"yyyy-mm"))</f>
        <v/>
      </c>
      <c r="M143" s="17">
        <f>IF(AND(A143&lt;&gt;"",J143="Pending"),TODAY()-A143,"")</f>
        <v/>
      </c>
    </row>
    <row r="144">
      <c r="A144" s="16" t="n"/>
      <c r="B144" s="15" t="n"/>
      <c r="C144" s="15" t="n"/>
      <c r="D144" s="17">
        <f>IF($C144="","",IFERROR(INDEX(สินค้า!$A$5:$A$204,MATCH($C144,สินค้า!$B$5:$B$204,0)),"ไม่พบสินค้า"))</f>
        <v/>
      </c>
      <c r="E144" s="17">
        <f>IF($C144="","",IFERROR(INDEX(สินค้า!$C$5:$C$204,MATCH($C144,สินค้า!$B$5:$B$204,0)),"ไม่พบสินค้า"))</f>
        <v/>
      </c>
      <c r="F144" s="17">
        <f>IF($C144="","",IFERROR(INDEX(สินค้า!$D$5:$D$204,MATCH($C144,สินค้า!$B$5:$B$204,0)),"ไม่พบสินค้า"))</f>
        <v/>
      </c>
      <c r="G144" s="15" t="n"/>
      <c r="H144" s="15" t="n"/>
      <c r="I144" s="18">
        <f>IF(AND(ISNUMBER(G144),ISNUMBER(H144),G144&gt;0),H144/G144,"")</f>
        <v/>
      </c>
      <c r="J144" s="15" t="n"/>
      <c r="K144" s="15" t="n"/>
      <c r="L144" s="17">
        <f>IF(A144="","",TEXT(A144,"yyyy-mm"))</f>
        <v/>
      </c>
      <c r="M144" s="17">
        <f>IF(AND(A144&lt;&gt;"",J144="Pending"),TODAY()-A144,"")</f>
        <v/>
      </c>
    </row>
    <row r="145">
      <c r="A145" s="16" t="n"/>
      <c r="B145" s="15" t="n"/>
      <c r="C145" s="15" t="n"/>
      <c r="D145" s="17">
        <f>IF($C145="","",IFERROR(INDEX(สินค้า!$A$5:$A$204,MATCH($C145,สินค้า!$B$5:$B$204,0)),"ไม่พบสินค้า"))</f>
        <v/>
      </c>
      <c r="E145" s="17">
        <f>IF($C145="","",IFERROR(INDEX(สินค้า!$C$5:$C$204,MATCH($C145,สินค้า!$B$5:$B$204,0)),"ไม่พบสินค้า"))</f>
        <v/>
      </c>
      <c r="F145" s="17">
        <f>IF($C145="","",IFERROR(INDEX(สินค้า!$D$5:$D$204,MATCH($C145,สินค้า!$B$5:$B$204,0)),"ไม่พบสินค้า"))</f>
        <v/>
      </c>
      <c r="G145" s="15" t="n"/>
      <c r="H145" s="15" t="n"/>
      <c r="I145" s="18">
        <f>IF(AND(ISNUMBER(G145),ISNUMBER(H145),G145&gt;0),H145/G145,"")</f>
        <v/>
      </c>
      <c r="J145" s="15" t="n"/>
      <c r="K145" s="15" t="n"/>
      <c r="L145" s="17">
        <f>IF(A145="","",TEXT(A145,"yyyy-mm"))</f>
        <v/>
      </c>
      <c r="M145" s="17">
        <f>IF(AND(A145&lt;&gt;"",J145="Pending"),TODAY()-A145,"")</f>
        <v/>
      </c>
    </row>
    <row r="146">
      <c r="A146" s="16" t="n"/>
      <c r="B146" s="15" t="n"/>
      <c r="C146" s="15" t="n"/>
      <c r="D146" s="17">
        <f>IF($C146="","",IFERROR(INDEX(สินค้า!$A$5:$A$204,MATCH($C146,สินค้า!$B$5:$B$204,0)),"ไม่พบสินค้า"))</f>
        <v/>
      </c>
      <c r="E146" s="17">
        <f>IF($C146="","",IFERROR(INDEX(สินค้า!$C$5:$C$204,MATCH($C146,สินค้า!$B$5:$B$204,0)),"ไม่พบสินค้า"))</f>
        <v/>
      </c>
      <c r="F146" s="17">
        <f>IF($C146="","",IFERROR(INDEX(สินค้า!$D$5:$D$204,MATCH($C146,สินค้า!$B$5:$B$204,0)),"ไม่พบสินค้า"))</f>
        <v/>
      </c>
      <c r="G146" s="15" t="n"/>
      <c r="H146" s="15" t="n"/>
      <c r="I146" s="18">
        <f>IF(AND(ISNUMBER(G146),ISNUMBER(H146),G146&gt;0),H146/G146,"")</f>
        <v/>
      </c>
      <c r="J146" s="15" t="n"/>
      <c r="K146" s="15" t="n"/>
      <c r="L146" s="17">
        <f>IF(A146="","",TEXT(A146,"yyyy-mm"))</f>
        <v/>
      </c>
      <c r="M146" s="17">
        <f>IF(AND(A146&lt;&gt;"",J146="Pending"),TODAY()-A146,"")</f>
        <v/>
      </c>
    </row>
    <row r="147">
      <c r="A147" s="16" t="n"/>
      <c r="B147" s="15" t="n"/>
      <c r="C147" s="15" t="n"/>
      <c r="D147" s="17">
        <f>IF($C147="","",IFERROR(INDEX(สินค้า!$A$5:$A$204,MATCH($C147,สินค้า!$B$5:$B$204,0)),"ไม่พบสินค้า"))</f>
        <v/>
      </c>
      <c r="E147" s="17">
        <f>IF($C147="","",IFERROR(INDEX(สินค้า!$C$5:$C$204,MATCH($C147,สินค้า!$B$5:$B$204,0)),"ไม่พบสินค้า"))</f>
        <v/>
      </c>
      <c r="F147" s="17">
        <f>IF($C147="","",IFERROR(INDEX(สินค้า!$D$5:$D$204,MATCH($C147,สินค้า!$B$5:$B$204,0)),"ไม่พบสินค้า"))</f>
        <v/>
      </c>
      <c r="G147" s="15" t="n"/>
      <c r="H147" s="15" t="n"/>
      <c r="I147" s="18">
        <f>IF(AND(ISNUMBER(G147),ISNUMBER(H147),G147&gt;0),H147/G147,"")</f>
        <v/>
      </c>
      <c r="J147" s="15" t="n"/>
      <c r="K147" s="15" t="n"/>
      <c r="L147" s="17">
        <f>IF(A147="","",TEXT(A147,"yyyy-mm"))</f>
        <v/>
      </c>
      <c r="M147" s="17">
        <f>IF(AND(A147&lt;&gt;"",J147="Pending"),TODAY()-A147,"")</f>
        <v/>
      </c>
    </row>
    <row r="148">
      <c r="A148" s="16" t="n"/>
      <c r="B148" s="15" t="n"/>
      <c r="C148" s="15" t="n"/>
      <c r="D148" s="17">
        <f>IF($C148="","",IFERROR(INDEX(สินค้า!$A$5:$A$204,MATCH($C148,สินค้า!$B$5:$B$204,0)),"ไม่พบสินค้า"))</f>
        <v/>
      </c>
      <c r="E148" s="17">
        <f>IF($C148="","",IFERROR(INDEX(สินค้า!$C$5:$C$204,MATCH($C148,สินค้า!$B$5:$B$204,0)),"ไม่พบสินค้า"))</f>
        <v/>
      </c>
      <c r="F148" s="17">
        <f>IF($C148="","",IFERROR(INDEX(สินค้า!$D$5:$D$204,MATCH($C148,สินค้า!$B$5:$B$204,0)),"ไม่พบสินค้า"))</f>
        <v/>
      </c>
      <c r="G148" s="15" t="n"/>
      <c r="H148" s="15" t="n"/>
      <c r="I148" s="18">
        <f>IF(AND(ISNUMBER(G148),ISNUMBER(H148),G148&gt;0),H148/G148,"")</f>
        <v/>
      </c>
      <c r="J148" s="15" t="n"/>
      <c r="K148" s="15" t="n"/>
      <c r="L148" s="17">
        <f>IF(A148="","",TEXT(A148,"yyyy-mm"))</f>
        <v/>
      </c>
      <c r="M148" s="17">
        <f>IF(AND(A148&lt;&gt;"",J148="Pending"),TODAY()-A148,"")</f>
        <v/>
      </c>
    </row>
    <row r="149">
      <c r="A149" s="16" t="n"/>
      <c r="B149" s="15" t="n"/>
      <c r="C149" s="15" t="n"/>
      <c r="D149" s="17">
        <f>IF($C149="","",IFERROR(INDEX(สินค้า!$A$5:$A$204,MATCH($C149,สินค้า!$B$5:$B$204,0)),"ไม่พบสินค้า"))</f>
        <v/>
      </c>
      <c r="E149" s="17">
        <f>IF($C149="","",IFERROR(INDEX(สินค้า!$C$5:$C$204,MATCH($C149,สินค้า!$B$5:$B$204,0)),"ไม่พบสินค้า"))</f>
        <v/>
      </c>
      <c r="F149" s="17">
        <f>IF($C149="","",IFERROR(INDEX(สินค้า!$D$5:$D$204,MATCH($C149,สินค้า!$B$5:$B$204,0)),"ไม่พบสินค้า"))</f>
        <v/>
      </c>
      <c r="G149" s="15" t="n"/>
      <c r="H149" s="15" t="n"/>
      <c r="I149" s="18">
        <f>IF(AND(ISNUMBER(G149),ISNUMBER(H149),G149&gt;0),H149/G149,"")</f>
        <v/>
      </c>
      <c r="J149" s="15" t="n"/>
      <c r="K149" s="15" t="n"/>
      <c r="L149" s="17">
        <f>IF(A149="","",TEXT(A149,"yyyy-mm"))</f>
        <v/>
      </c>
      <c r="M149" s="17">
        <f>IF(AND(A149&lt;&gt;"",J149="Pending"),TODAY()-A149,"")</f>
        <v/>
      </c>
    </row>
    <row r="150">
      <c r="A150" s="16" t="n"/>
      <c r="B150" s="15" t="n"/>
      <c r="C150" s="15" t="n"/>
      <c r="D150" s="17">
        <f>IF($C150="","",IFERROR(INDEX(สินค้า!$A$5:$A$204,MATCH($C150,สินค้า!$B$5:$B$204,0)),"ไม่พบสินค้า"))</f>
        <v/>
      </c>
      <c r="E150" s="17">
        <f>IF($C150="","",IFERROR(INDEX(สินค้า!$C$5:$C$204,MATCH($C150,สินค้า!$B$5:$B$204,0)),"ไม่พบสินค้า"))</f>
        <v/>
      </c>
      <c r="F150" s="17">
        <f>IF($C150="","",IFERROR(INDEX(สินค้า!$D$5:$D$204,MATCH($C150,สินค้า!$B$5:$B$204,0)),"ไม่พบสินค้า"))</f>
        <v/>
      </c>
      <c r="G150" s="15" t="n"/>
      <c r="H150" s="15" t="n"/>
      <c r="I150" s="18">
        <f>IF(AND(ISNUMBER(G150),ISNUMBER(H150),G150&gt;0),H150/G150,"")</f>
        <v/>
      </c>
      <c r="J150" s="15" t="n"/>
      <c r="K150" s="15" t="n"/>
      <c r="L150" s="17">
        <f>IF(A150="","",TEXT(A150,"yyyy-mm"))</f>
        <v/>
      </c>
      <c r="M150" s="17">
        <f>IF(AND(A150&lt;&gt;"",J150="Pending"),TODAY()-A150,"")</f>
        <v/>
      </c>
    </row>
    <row r="151">
      <c r="A151" s="16" t="n"/>
      <c r="B151" s="15" t="n"/>
      <c r="C151" s="15" t="n"/>
      <c r="D151" s="17">
        <f>IF($C151="","",IFERROR(INDEX(สินค้า!$A$5:$A$204,MATCH($C151,สินค้า!$B$5:$B$204,0)),"ไม่พบสินค้า"))</f>
        <v/>
      </c>
      <c r="E151" s="17">
        <f>IF($C151="","",IFERROR(INDEX(สินค้า!$C$5:$C$204,MATCH($C151,สินค้า!$B$5:$B$204,0)),"ไม่พบสินค้า"))</f>
        <v/>
      </c>
      <c r="F151" s="17">
        <f>IF($C151="","",IFERROR(INDEX(สินค้า!$D$5:$D$204,MATCH($C151,สินค้า!$B$5:$B$204,0)),"ไม่พบสินค้า"))</f>
        <v/>
      </c>
      <c r="G151" s="15" t="n"/>
      <c r="H151" s="15" t="n"/>
      <c r="I151" s="18">
        <f>IF(AND(ISNUMBER(G151),ISNUMBER(H151),G151&gt;0),H151/G151,"")</f>
        <v/>
      </c>
      <c r="J151" s="15" t="n"/>
      <c r="K151" s="15" t="n"/>
      <c r="L151" s="17">
        <f>IF(A151="","",TEXT(A151,"yyyy-mm"))</f>
        <v/>
      </c>
      <c r="M151" s="17">
        <f>IF(AND(A151&lt;&gt;"",J151="Pending"),TODAY()-A151,"")</f>
        <v/>
      </c>
    </row>
    <row r="152">
      <c r="A152" s="16" t="n"/>
      <c r="B152" s="15" t="n"/>
      <c r="C152" s="15" t="n"/>
      <c r="D152" s="17">
        <f>IF($C152="","",IFERROR(INDEX(สินค้า!$A$5:$A$204,MATCH($C152,สินค้า!$B$5:$B$204,0)),"ไม่พบสินค้า"))</f>
        <v/>
      </c>
      <c r="E152" s="17">
        <f>IF($C152="","",IFERROR(INDEX(สินค้า!$C$5:$C$204,MATCH($C152,สินค้า!$B$5:$B$204,0)),"ไม่พบสินค้า"))</f>
        <v/>
      </c>
      <c r="F152" s="17">
        <f>IF($C152="","",IFERROR(INDEX(สินค้า!$D$5:$D$204,MATCH($C152,สินค้า!$B$5:$B$204,0)),"ไม่พบสินค้า"))</f>
        <v/>
      </c>
      <c r="G152" s="15" t="n"/>
      <c r="H152" s="15" t="n"/>
      <c r="I152" s="18">
        <f>IF(AND(ISNUMBER(G152),ISNUMBER(H152),G152&gt;0),H152/G152,"")</f>
        <v/>
      </c>
      <c r="J152" s="15" t="n"/>
      <c r="K152" s="15" t="n"/>
      <c r="L152" s="17">
        <f>IF(A152="","",TEXT(A152,"yyyy-mm"))</f>
        <v/>
      </c>
      <c r="M152" s="17">
        <f>IF(AND(A152&lt;&gt;"",J152="Pending"),TODAY()-A152,"")</f>
        <v/>
      </c>
    </row>
    <row r="153">
      <c r="A153" s="16" t="n"/>
      <c r="B153" s="15" t="n"/>
      <c r="C153" s="15" t="n"/>
      <c r="D153" s="17">
        <f>IF($C153="","",IFERROR(INDEX(สินค้า!$A$5:$A$204,MATCH($C153,สินค้า!$B$5:$B$204,0)),"ไม่พบสินค้า"))</f>
        <v/>
      </c>
      <c r="E153" s="17">
        <f>IF($C153="","",IFERROR(INDEX(สินค้า!$C$5:$C$204,MATCH($C153,สินค้า!$B$5:$B$204,0)),"ไม่พบสินค้า"))</f>
        <v/>
      </c>
      <c r="F153" s="17">
        <f>IF($C153="","",IFERROR(INDEX(สินค้า!$D$5:$D$204,MATCH($C153,สินค้า!$B$5:$B$204,0)),"ไม่พบสินค้า"))</f>
        <v/>
      </c>
      <c r="G153" s="15" t="n"/>
      <c r="H153" s="15" t="n"/>
      <c r="I153" s="18">
        <f>IF(AND(ISNUMBER(G153),ISNUMBER(H153),G153&gt;0),H153/G153,"")</f>
        <v/>
      </c>
      <c r="J153" s="15" t="n"/>
      <c r="K153" s="15" t="n"/>
      <c r="L153" s="17">
        <f>IF(A153="","",TEXT(A153,"yyyy-mm"))</f>
        <v/>
      </c>
      <c r="M153" s="17">
        <f>IF(AND(A153&lt;&gt;"",J153="Pending"),TODAY()-A153,"")</f>
        <v/>
      </c>
    </row>
    <row r="154">
      <c r="A154" s="16" t="n"/>
      <c r="B154" s="15" t="n"/>
      <c r="C154" s="15" t="n"/>
      <c r="D154" s="17">
        <f>IF($C154="","",IFERROR(INDEX(สินค้า!$A$5:$A$204,MATCH($C154,สินค้า!$B$5:$B$204,0)),"ไม่พบสินค้า"))</f>
        <v/>
      </c>
      <c r="E154" s="17">
        <f>IF($C154="","",IFERROR(INDEX(สินค้า!$C$5:$C$204,MATCH($C154,สินค้า!$B$5:$B$204,0)),"ไม่พบสินค้า"))</f>
        <v/>
      </c>
      <c r="F154" s="17">
        <f>IF($C154="","",IFERROR(INDEX(สินค้า!$D$5:$D$204,MATCH($C154,สินค้า!$B$5:$B$204,0)),"ไม่พบสินค้า"))</f>
        <v/>
      </c>
      <c r="G154" s="15" t="n"/>
      <c r="H154" s="15" t="n"/>
      <c r="I154" s="18">
        <f>IF(AND(ISNUMBER(G154),ISNUMBER(H154),G154&gt;0),H154/G154,"")</f>
        <v/>
      </c>
      <c r="J154" s="15" t="n"/>
      <c r="K154" s="15" t="n"/>
      <c r="L154" s="17">
        <f>IF(A154="","",TEXT(A154,"yyyy-mm"))</f>
        <v/>
      </c>
      <c r="M154" s="17">
        <f>IF(AND(A154&lt;&gt;"",J154="Pending"),TODAY()-A154,"")</f>
        <v/>
      </c>
    </row>
    <row r="155">
      <c r="A155" s="16" t="n"/>
      <c r="B155" s="15" t="n"/>
      <c r="C155" s="15" t="n"/>
      <c r="D155" s="17">
        <f>IF($C155="","",IFERROR(INDEX(สินค้า!$A$5:$A$204,MATCH($C155,สินค้า!$B$5:$B$204,0)),"ไม่พบสินค้า"))</f>
        <v/>
      </c>
      <c r="E155" s="17">
        <f>IF($C155="","",IFERROR(INDEX(สินค้า!$C$5:$C$204,MATCH($C155,สินค้า!$B$5:$B$204,0)),"ไม่พบสินค้า"))</f>
        <v/>
      </c>
      <c r="F155" s="17">
        <f>IF($C155="","",IFERROR(INDEX(สินค้า!$D$5:$D$204,MATCH($C155,สินค้า!$B$5:$B$204,0)),"ไม่พบสินค้า"))</f>
        <v/>
      </c>
      <c r="G155" s="15" t="n"/>
      <c r="H155" s="15" t="n"/>
      <c r="I155" s="18">
        <f>IF(AND(ISNUMBER(G155),ISNUMBER(H155),G155&gt;0),H155/G155,"")</f>
        <v/>
      </c>
      <c r="J155" s="15" t="n"/>
      <c r="K155" s="15" t="n"/>
      <c r="L155" s="17">
        <f>IF(A155="","",TEXT(A155,"yyyy-mm"))</f>
        <v/>
      </c>
      <c r="M155" s="17">
        <f>IF(AND(A155&lt;&gt;"",J155="Pending"),TODAY()-A155,"")</f>
        <v/>
      </c>
    </row>
    <row r="156">
      <c r="A156" s="16" t="n"/>
      <c r="B156" s="15" t="n"/>
      <c r="C156" s="15" t="n"/>
      <c r="D156" s="17">
        <f>IF($C156="","",IFERROR(INDEX(สินค้า!$A$5:$A$204,MATCH($C156,สินค้า!$B$5:$B$204,0)),"ไม่พบสินค้า"))</f>
        <v/>
      </c>
      <c r="E156" s="17">
        <f>IF($C156="","",IFERROR(INDEX(สินค้า!$C$5:$C$204,MATCH($C156,สินค้า!$B$5:$B$204,0)),"ไม่พบสินค้า"))</f>
        <v/>
      </c>
      <c r="F156" s="17">
        <f>IF($C156="","",IFERROR(INDEX(สินค้า!$D$5:$D$204,MATCH($C156,สินค้า!$B$5:$B$204,0)),"ไม่พบสินค้า"))</f>
        <v/>
      </c>
      <c r="G156" s="15" t="n"/>
      <c r="H156" s="15" t="n"/>
      <c r="I156" s="18">
        <f>IF(AND(ISNUMBER(G156),ISNUMBER(H156),G156&gt;0),H156/G156,"")</f>
        <v/>
      </c>
      <c r="J156" s="15" t="n"/>
      <c r="K156" s="15" t="n"/>
      <c r="L156" s="17">
        <f>IF(A156="","",TEXT(A156,"yyyy-mm"))</f>
        <v/>
      </c>
      <c r="M156" s="17">
        <f>IF(AND(A156&lt;&gt;"",J156="Pending"),TODAY()-A156,"")</f>
        <v/>
      </c>
    </row>
    <row r="157">
      <c r="A157" s="16" t="n"/>
      <c r="B157" s="15" t="n"/>
      <c r="C157" s="15" t="n"/>
      <c r="D157" s="17">
        <f>IF($C157="","",IFERROR(INDEX(สินค้า!$A$5:$A$204,MATCH($C157,สินค้า!$B$5:$B$204,0)),"ไม่พบสินค้า"))</f>
        <v/>
      </c>
      <c r="E157" s="17">
        <f>IF($C157="","",IFERROR(INDEX(สินค้า!$C$5:$C$204,MATCH($C157,สินค้า!$B$5:$B$204,0)),"ไม่พบสินค้า"))</f>
        <v/>
      </c>
      <c r="F157" s="17">
        <f>IF($C157="","",IFERROR(INDEX(สินค้า!$D$5:$D$204,MATCH($C157,สินค้า!$B$5:$B$204,0)),"ไม่พบสินค้า"))</f>
        <v/>
      </c>
      <c r="G157" s="15" t="n"/>
      <c r="H157" s="15" t="n"/>
      <c r="I157" s="18">
        <f>IF(AND(ISNUMBER(G157),ISNUMBER(H157),G157&gt;0),H157/G157,"")</f>
        <v/>
      </c>
      <c r="J157" s="15" t="n"/>
      <c r="K157" s="15" t="n"/>
      <c r="L157" s="17">
        <f>IF(A157="","",TEXT(A157,"yyyy-mm"))</f>
        <v/>
      </c>
      <c r="M157" s="17">
        <f>IF(AND(A157&lt;&gt;"",J157="Pending"),TODAY()-A157,"")</f>
        <v/>
      </c>
    </row>
    <row r="158">
      <c r="A158" s="16" t="n"/>
      <c r="B158" s="15" t="n"/>
      <c r="C158" s="15" t="n"/>
      <c r="D158" s="17">
        <f>IF($C158="","",IFERROR(INDEX(สินค้า!$A$5:$A$204,MATCH($C158,สินค้า!$B$5:$B$204,0)),"ไม่พบสินค้า"))</f>
        <v/>
      </c>
      <c r="E158" s="17">
        <f>IF($C158="","",IFERROR(INDEX(สินค้า!$C$5:$C$204,MATCH($C158,สินค้า!$B$5:$B$204,0)),"ไม่พบสินค้า"))</f>
        <v/>
      </c>
      <c r="F158" s="17">
        <f>IF($C158="","",IFERROR(INDEX(สินค้า!$D$5:$D$204,MATCH($C158,สินค้า!$B$5:$B$204,0)),"ไม่พบสินค้า"))</f>
        <v/>
      </c>
      <c r="G158" s="15" t="n"/>
      <c r="H158" s="15" t="n"/>
      <c r="I158" s="18">
        <f>IF(AND(ISNUMBER(G158),ISNUMBER(H158),G158&gt;0),H158/G158,"")</f>
        <v/>
      </c>
      <c r="J158" s="15" t="n"/>
      <c r="K158" s="15" t="n"/>
      <c r="L158" s="17">
        <f>IF(A158="","",TEXT(A158,"yyyy-mm"))</f>
        <v/>
      </c>
      <c r="M158" s="17">
        <f>IF(AND(A158&lt;&gt;"",J158="Pending"),TODAY()-A158,"")</f>
        <v/>
      </c>
    </row>
    <row r="159">
      <c r="A159" s="16" t="n"/>
      <c r="B159" s="15" t="n"/>
      <c r="C159" s="15" t="n"/>
      <c r="D159" s="17">
        <f>IF($C159="","",IFERROR(INDEX(สินค้า!$A$5:$A$204,MATCH($C159,สินค้า!$B$5:$B$204,0)),"ไม่พบสินค้า"))</f>
        <v/>
      </c>
      <c r="E159" s="17">
        <f>IF($C159="","",IFERROR(INDEX(สินค้า!$C$5:$C$204,MATCH($C159,สินค้า!$B$5:$B$204,0)),"ไม่พบสินค้า"))</f>
        <v/>
      </c>
      <c r="F159" s="17">
        <f>IF($C159="","",IFERROR(INDEX(สินค้า!$D$5:$D$204,MATCH($C159,สินค้า!$B$5:$B$204,0)),"ไม่พบสินค้า"))</f>
        <v/>
      </c>
      <c r="G159" s="15" t="n"/>
      <c r="H159" s="15" t="n"/>
      <c r="I159" s="18">
        <f>IF(AND(ISNUMBER(G159),ISNUMBER(H159),G159&gt;0),H159/G159,"")</f>
        <v/>
      </c>
      <c r="J159" s="15" t="n"/>
      <c r="K159" s="15" t="n"/>
      <c r="L159" s="17">
        <f>IF(A159="","",TEXT(A159,"yyyy-mm"))</f>
        <v/>
      </c>
      <c r="M159" s="17">
        <f>IF(AND(A159&lt;&gt;"",J159="Pending"),TODAY()-A159,"")</f>
        <v/>
      </c>
    </row>
    <row r="160">
      <c r="A160" s="16" t="n"/>
      <c r="B160" s="15" t="n"/>
      <c r="C160" s="15" t="n"/>
      <c r="D160" s="17">
        <f>IF($C160="","",IFERROR(INDEX(สินค้า!$A$5:$A$204,MATCH($C160,สินค้า!$B$5:$B$204,0)),"ไม่พบสินค้า"))</f>
        <v/>
      </c>
      <c r="E160" s="17">
        <f>IF($C160="","",IFERROR(INDEX(สินค้า!$C$5:$C$204,MATCH($C160,สินค้า!$B$5:$B$204,0)),"ไม่พบสินค้า"))</f>
        <v/>
      </c>
      <c r="F160" s="17">
        <f>IF($C160="","",IFERROR(INDEX(สินค้า!$D$5:$D$204,MATCH($C160,สินค้า!$B$5:$B$204,0)),"ไม่พบสินค้า"))</f>
        <v/>
      </c>
      <c r="G160" s="15" t="n"/>
      <c r="H160" s="15" t="n"/>
      <c r="I160" s="18">
        <f>IF(AND(ISNUMBER(G160),ISNUMBER(H160),G160&gt;0),H160/G160,"")</f>
        <v/>
      </c>
      <c r="J160" s="15" t="n"/>
      <c r="K160" s="15" t="n"/>
      <c r="L160" s="17">
        <f>IF(A160="","",TEXT(A160,"yyyy-mm"))</f>
        <v/>
      </c>
      <c r="M160" s="17">
        <f>IF(AND(A160&lt;&gt;"",J160="Pending"),TODAY()-A160,"")</f>
        <v/>
      </c>
    </row>
    <row r="161">
      <c r="A161" s="16" t="n"/>
      <c r="B161" s="15" t="n"/>
      <c r="C161" s="15" t="n"/>
      <c r="D161" s="17">
        <f>IF($C161="","",IFERROR(INDEX(สินค้า!$A$5:$A$204,MATCH($C161,สินค้า!$B$5:$B$204,0)),"ไม่พบสินค้า"))</f>
        <v/>
      </c>
      <c r="E161" s="17">
        <f>IF($C161="","",IFERROR(INDEX(สินค้า!$C$5:$C$204,MATCH($C161,สินค้า!$B$5:$B$204,0)),"ไม่พบสินค้า"))</f>
        <v/>
      </c>
      <c r="F161" s="17">
        <f>IF($C161="","",IFERROR(INDEX(สินค้า!$D$5:$D$204,MATCH($C161,สินค้า!$B$5:$B$204,0)),"ไม่พบสินค้า"))</f>
        <v/>
      </c>
      <c r="G161" s="15" t="n"/>
      <c r="H161" s="15" t="n"/>
      <c r="I161" s="18">
        <f>IF(AND(ISNUMBER(G161),ISNUMBER(H161),G161&gt;0),H161/G161,"")</f>
        <v/>
      </c>
      <c r="J161" s="15" t="n"/>
      <c r="K161" s="15" t="n"/>
      <c r="L161" s="17">
        <f>IF(A161="","",TEXT(A161,"yyyy-mm"))</f>
        <v/>
      </c>
      <c r="M161" s="17">
        <f>IF(AND(A161&lt;&gt;"",J161="Pending"),TODAY()-A161,"")</f>
        <v/>
      </c>
    </row>
    <row r="162">
      <c r="A162" s="16" t="n"/>
      <c r="B162" s="15" t="n"/>
      <c r="C162" s="15" t="n"/>
      <c r="D162" s="17">
        <f>IF($C162="","",IFERROR(INDEX(สินค้า!$A$5:$A$204,MATCH($C162,สินค้า!$B$5:$B$204,0)),"ไม่พบสินค้า"))</f>
        <v/>
      </c>
      <c r="E162" s="17">
        <f>IF($C162="","",IFERROR(INDEX(สินค้า!$C$5:$C$204,MATCH($C162,สินค้า!$B$5:$B$204,0)),"ไม่พบสินค้า"))</f>
        <v/>
      </c>
      <c r="F162" s="17">
        <f>IF($C162="","",IFERROR(INDEX(สินค้า!$D$5:$D$204,MATCH($C162,สินค้า!$B$5:$B$204,0)),"ไม่พบสินค้า"))</f>
        <v/>
      </c>
      <c r="G162" s="15" t="n"/>
      <c r="H162" s="15" t="n"/>
      <c r="I162" s="18">
        <f>IF(AND(ISNUMBER(G162),ISNUMBER(H162),G162&gt;0),H162/G162,"")</f>
        <v/>
      </c>
      <c r="J162" s="15" t="n"/>
      <c r="K162" s="15" t="n"/>
      <c r="L162" s="17">
        <f>IF(A162="","",TEXT(A162,"yyyy-mm"))</f>
        <v/>
      </c>
      <c r="M162" s="17">
        <f>IF(AND(A162&lt;&gt;"",J162="Pending"),TODAY()-A162,"")</f>
        <v/>
      </c>
    </row>
    <row r="163">
      <c r="A163" s="16" t="n"/>
      <c r="B163" s="15" t="n"/>
      <c r="C163" s="15" t="n"/>
      <c r="D163" s="17">
        <f>IF($C163="","",IFERROR(INDEX(สินค้า!$A$5:$A$204,MATCH($C163,สินค้า!$B$5:$B$204,0)),"ไม่พบสินค้า"))</f>
        <v/>
      </c>
      <c r="E163" s="17">
        <f>IF($C163="","",IFERROR(INDEX(สินค้า!$C$5:$C$204,MATCH($C163,สินค้า!$B$5:$B$204,0)),"ไม่พบสินค้า"))</f>
        <v/>
      </c>
      <c r="F163" s="17">
        <f>IF($C163="","",IFERROR(INDEX(สินค้า!$D$5:$D$204,MATCH($C163,สินค้า!$B$5:$B$204,0)),"ไม่พบสินค้า"))</f>
        <v/>
      </c>
      <c r="G163" s="15" t="n"/>
      <c r="H163" s="15" t="n"/>
      <c r="I163" s="18">
        <f>IF(AND(ISNUMBER(G163),ISNUMBER(H163),G163&gt;0),H163/G163,"")</f>
        <v/>
      </c>
      <c r="J163" s="15" t="n"/>
      <c r="K163" s="15" t="n"/>
      <c r="L163" s="17">
        <f>IF(A163="","",TEXT(A163,"yyyy-mm"))</f>
        <v/>
      </c>
      <c r="M163" s="17">
        <f>IF(AND(A163&lt;&gt;"",J163="Pending"),TODAY()-A163,"")</f>
        <v/>
      </c>
    </row>
    <row r="164">
      <c r="A164" s="16" t="n"/>
      <c r="B164" s="15" t="n"/>
      <c r="C164" s="15" t="n"/>
      <c r="D164" s="17">
        <f>IF($C164="","",IFERROR(INDEX(สินค้า!$A$5:$A$204,MATCH($C164,สินค้า!$B$5:$B$204,0)),"ไม่พบสินค้า"))</f>
        <v/>
      </c>
      <c r="E164" s="17">
        <f>IF($C164="","",IFERROR(INDEX(สินค้า!$C$5:$C$204,MATCH($C164,สินค้า!$B$5:$B$204,0)),"ไม่พบสินค้า"))</f>
        <v/>
      </c>
      <c r="F164" s="17">
        <f>IF($C164="","",IFERROR(INDEX(สินค้า!$D$5:$D$204,MATCH($C164,สินค้า!$B$5:$B$204,0)),"ไม่พบสินค้า"))</f>
        <v/>
      </c>
      <c r="G164" s="15" t="n"/>
      <c r="H164" s="15" t="n"/>
      <c r="I164" s="18">
        <f>IF(AND(ISNUMBER(G164),ISNUMBER(H164),G164&gt;0),H164/G164,"")</f>
        <v/>
      </c>
      <c r="J164" s="15" t="n"/>
      <c r="K164" s="15" t="n"/>
      <c r="L164" s="17">
        <f>IF(A164="","",TEXT(A164,"yyyy-mm"))</f>
        <v/>
      </c>
      <c r="M164" s="17">
        <f>IF(AND(A164&lt;&gt;"",J164="Pending"),TODAY()-A164,"")</f>
        <v/>
      </c>
    </row>
    <row r="165">
      <c r="A165" s="16" t="n"/>
      <c r="B165" s="15" t="n"/>
      <c r="C165" s="15" t="n"/>
      <c r="D165" s="17">
        <f>IF($C165="","",IFERROR(INDEX(สินค้า!$A$5:$A$204,MATCH($C165,สินค้า!$B$5:$B$204,0)),"ไม่พบสินค้า"))</f>
        <v/>
      </c>
      <c r="E165" s="17">
        <f>IF($C165="","",IFERROR(INDEX(สินค้า!$C$5:$C$204,MATCH($C165,สินค้า!$B$5:$B$204,0)),"ไม่พบสินค้า"))</f>
        <v/>
      </c>
      <c r="F165" s="17">
        <f>IF($C165="","",IFERROR(INDEX(สินค้า!$D$5:$D$204,MATCH($C165,สินค้า!$B$5:$B$204,0)),"ไม่พบสินค้า"))</f>
        <v/>
      </c>
      <c r="G165" s="15" t="n"/>
      <c r="H165" s="15" t="n"/>
      <c r="I165" s="18">
        <f>IF(AND(ISNUMBER(G165),ISNUMBER(H165),G165&gt;0),H165/G165,"")</f>
        <v/>
      </c>
      <c r="J165" s="15" t="n"/>
      <c r="K165" s="15" t="n"/>
      <c r="L165" s="17">
        <f>IF(A165="","",TEXT(A165,"yyyy-mm"))</f>
        <v/>
      </c>
      <c r="M165" s="17">
        <f>IF(AND(A165&lt;&gt;"",J165="Pending"),TODAY()-A165,"")</f>
        <v/>
      </c>
    </row>
    <row r="166">
      <c r="A166" s="16" t="n"/>
      <c r="B166" s="15" t="n"/>
      <c r="C166" s="15" t="n"/>
      <c r="D166" s="17">
        <f>IF($C166="","",IFERROR(INDEX(สินค้า!$A$5:$A$204,MATCH($C166,สินค้า!$B$5:$B$204,0)),"ไม่พบสินค้า"))</f>
        <v/>
      </c>
      <c r="E166" s="17">
        <f>IF($C166="","",IFERROR(INDEX(สินค้า!$C$5:$C$204,MATCH($C166,สินค้า!$B$5:$B$204,0)),"ไม่พบสินค้า"))</f>
        <v/>
      </c>
      <c r="F166" s="17">
        <f>IF($C166="","",IFERROR(INDEX(สินค้า!$D$5:$D$204,MATCH($C166,สินค้า!$B$5:$B$204,0)),"ไม่พบสินค้า"))</f>
        <v/>
      </c>
      <c r="G166" s="15" t="n"/>
      <c r="H166" s="15" t="n"/>
      <c r="I166" s="18">
        <f>IF(AND(ISNUMBER(G166),ISNUMBER(H166),G166&gt;0),H166/G166,"")</f>
        <v/>
      </c>
      <c r="J166" s="15" t="n"/>
      <c r="K166" s="15" t="n"/>
      <c r="L166" s="17">
        <f>IF(A166="","",TEXT(A166,"yyyy-mm"))</f>
        <v/>
      </c>
      <c r="M166" s="17">
        <f>IF(AND(A166&lt;&gt;"",J166="Pending"),TODAY()-A166,"")</f>
        <v/>
      </c>
    </row>
    <row r="167">
      <c r="A167" s="16" t="n"/>
      <c r="B167" s="15" t="n"/>
      <c r="C167" s="15" t="n"/>
      <c r="D167" s="17">
        <f>IF($C167="","",IFERROR(INDEX(สินค้า!$A$5:$A$204,MATCH($C167,สินค้า!$B$5:$B$204,0)),"ไม่พบสินค้า"))</f>
        <v/>
      </c>
      <c r="E167" s="17">
        <f>IF($C167="","",IFERROR(INDEX(สินค้า!$C$5:$C$204,MATCH($C167,สินค้า!$B$5:$B$204,0)),"ไม่พบสินค้า"))</f>
        <v/>
      </c>
      <c r="F167" s="17">
        <f>IF($C167="","",IFERROR(INDEX(สินค้า!$D$5:$D$204,MATCH($C167,สินค้า!$B$5:$B$204,0)),"ไม่พบสินค้า"))</f>
        <v/>
      </c>
      <c r="G167" s="15" t="n"/>
      <c r="H167" s="15" t="n"/>
      <c r="I167" s="18">
        <f>IF(AND(ISNUMBER(G167),ISNUMBER(H167),G167&gt;0),H167/G167,"")</f>
        <v/>
      </c>
      <c r="J167" s="15" t="n"/>
      <c r="K167" s="15" t="n"/>
      <c r="L167" s="17">
        <f>IF(A167="","",TEXT(A167,"yyyy-mm"))</f>
        <v/>
      </c>
      <c r="M167" s="17">
        <f>IF(AND(A167&lt;&gt;"",J167="Pending"),TODAY()-A167,"")</f>
        <v/>
      </c>
    </row>
    <row r="168">
      <c r="A168" s="16" t="n"/>
      <c r="B168" s="15" t="n"/>
      <c r="C168" s="15" t="n"/>
      <c r="D168" s="17">
        <f>IF($C168="","",IFERROR(INDEX(สินค้า!$A$5:$A$204,MATCH($C168,สินค้า!$B$5:$B$204,0)),"ไม่พบสินค้า"))</f>
        <v/>
      </c>
      <c r="E168" s="17">
        <f>IF($C168="","",IFERROR(INDEX(สินค้า!$C$5:$C$204,MATCH($C168,สินค้า!$B$5:$B$204,0)),"ไม่พบสินค้า"))</f>
        <v/>
      </c>
      <c r="F168" s="17">
        <f>IF($C168="","",IFERROR(INDEX(สินค้า!$D$5:$D$204,MATCH($C168,สินค้า!$B$5:$B$204,0)),"ไม่พบสินค้า"))</f>
        <v/>
      </c>
      <c r="G168" s="15" t="n"/>
      <c r="H168" s="15" t="n"/>
      <c r="I168" s="18">
        <f>IF(AND(ISNUMBER(G168),ISNUMBER(H168),G168&gt;0),H168/G168,"")</f>
        <v/>
      </c>
      <c r="J168" s="15" t="n"/>
      <c r="K168" s="15" t="n"/>
      <c r="L168" s="17">
        <f>IF(A168="","",TEXT(A168,"yyyy-mm"))</f>
        <v/>
      </c>
      <c r="M168" s="17">
        <f>IF(AND(A168&lt;&gt;"",J168="Pending"),TODAY()-A168,"")</f>
        <v/>
      </c>
    </row>
    <row r="169">
      <c r="A169" s="16" t="n"/>
      <c r="B169" s="15" t="n"/>
      <c r="C169" s="15" t="n"/>
      <c r="D169" s="17">
        <f>IF($C169="","",IFERROR(INDEX(สินค้า!$A$5:$A$204,MATCH($C169,สินค้า!$B$5:$B$204,0)),"ไม่พบสินค้า"))</f>
        <v/>
      </c>
      <c r="E169" s="17">
        <f>IF($C169="","",IFERROR(INDEX(สินค้า!$C$5:$C$204,MATCH($C169,สินค้า!$B$5:$B$204,0)),"ไม่พบสินค้า"))</f>
        <v/>
      </c>
      <c r="F169" s="17">
        <f>IF($C169="","",IFERROR(INDEX(สินค้า!$D$5:$D$204,MATCH($C169,สินค้า!$B$5:$B$204,0)),"ไม่พบสินค้า"))</f>
        <v/>
      </c>
      <c r="G169" s="15" t="n"/>
      <c r="H169" s="15" t="n"/>
      <c r="I169" s="18">
        <f>IF(AND(ISNUMBER(G169),ISNUMBER(H169),G169&gt;0),H169/G169,"")</f>
        <v/>
      </c>
      <c r="J169" s="15" t="n"/>
      <c r="K169" s="15" t="n"/>
      <c r="L169" s="17">
        <f>IF(A169="","",TEXT(A169,"yyyy-mm"))</f>
        <v/>
      </c>
      <c r="M169" s="17">
        <f>IF(AND(A169&lt;&gt;"",J169="Pending"),TODAY()-A169,"")</f>
        <v/>
      </c>
    </row>
    <row r="170">
      <c r="A170" s="16" t="n"/>
      <c r="B170" s="15" t="n"/>
      <c r="C170" s="15" t="n"/>
      <c r="D170" s="17">
        <f>IF($C170="","",IFERROR(INDEX(สินค้า!$A$5:$A$204,MATCH($C170,สินค้า!$B$5:$B$204,0)),"ไม่พบสินค้า"))</f>
        <v/>
      </c>
      <c r="E170" s="17">
        <f>IF($C170="","",IFERROR(INDEX(สินค้า!$C$5:$C$204,MATCH($C170,สินค้า!$B$5:$B$204,0)),"ไม่พบสินค้า"))</f>
        <v/>
      </c>
      <c r="F170" s="17">
        <f>IF($C170="","",IFERROR(INDEX(สินค้า!$D$5:$D$204,MATCH($C170,สินค้า!$B$5:$B$204,0)),"ไม่พบสินค้า"))</f>
        <v/>
      </c>
      <c r="G170" s="15" t="n"/>
      <c r="H170" s="15" t="n"/>
      <c r="I170" s="18">
        <f>IF(AND(ISNUMBER(G170),ISNUMBER(H170),G170&gt;0),H170/G170,"")</f>
        <v/>
      </c>
      <c r="J170" s="15" t="n"/>
      <c r="K170" s="15" t="n"/>
      <c r="L170" s="17">
        <f>IF(A170="","",TEXT(A170,"yyyy-mm"))</f>
        <v/>
      </c>
      <c r="M170" s="17">
        <f>IF(AND(A170&lt;&gt;"",J170="Pending"),TODAY()-A170,"")</f>
        <v/>
      </c>
    </row>
    <row r="171">
      <c r="A171" s="16" t="n"/>
      <c r="B171" s="15" t="n"/>
      <c r="C171" s="15" t="n"/>
      <c r="D171" s="17">
        <f>IF($C171="","",IFERROR(INDEX(สินค้า!$A$5:$A$204,MATCH($C171,สินค้า!$B$5:$B$204,0)),"ไม่พบสินค้า"))</f>
        <v/>
      </c>
      <c r="E171" s="17">
        <f>IF($C171="","",IFERROR(INDEX(สินค้า!$C$5:$C$204,MATCH($C171,สินค้า!$B$5:$B$204,0)),"ไม่พบสินค้า"))</f>
        <v/>
      </c>
      <c r="F171" s="17">
        <f>IF($C171="","",IFERROR(INDEX(สินค้า!$D$5:$D$204,MATCH($C171,สินค้า!$B$5:$B$204,0)),"ไม่พบสินค้า"))</f>
        <v/>
      </c>
      <c r="G171" s="15" t="n"/>
      <c r="H171" s="15" t="n"/>
      <c r="I171" s="18">
        <f>IF(AND(ISNUMBER(G171),ISNUMBER(H171),G171&gt;0),H171/G171,"")</f>
        <v/>
      </c>
      <c r="J171" s="15" t="n"/>
      <c r="K171" s="15" t="n"/>
      <c r="L171" s="17">
        <f>IF(A171="","",TEXT(A171,"yyyy-mm"))</f>
        <v/>
      </c>
      <c r="M171" s="17">
        <f>IF(AND(A171&lt;&gt;"",J171="Pending"),TODAY()-A171,"")</f>
        <v/>
      </c>
    </row>
    <row r="172">
      <c r="A172" s="16" t="n"/>
      <c r="B172" s="15" t="n"/>
      <c r="C172" s="15" t="n"/>
      <c r="D172" s="17">
        <f>IF($C172="","",IFERROR(INDEX(สินค้า!$A$5:$A$204,MATCH($C172,สินค้า!$B$5:$B$204,0)),"ไม่พบสินค้า"))</f>
        <v/>
      </c>
      <c r="E172" s="17">
        <f>IF($C172="","",IFERROR(INDEX(สินค้า!$C$5:$C$204,MATCH($C172,สินค้า!$B$5:$B$204,0)),"ไม่พบสินค้า"))</f>
        <v/>
      </c>
      <c r="F172" s="17">
        <f>IF($C172="","",IFERROR(INDEX(สินค้า!$D$5:$D$204,MATCH($C172,สินค้า!$B$5:$B$204,0)),"ไม่พบสินค้า"))</f>
        <v/>
      </c>
      <c r="G172" s="15" t="n"/>
      <c r="H172" s="15" t="n"/>
      <c r="I172" s="18">
        <f>IF(AND(ISNUMBER(G172),ISNUMBER(H172),G172&gt;0),H172/G172,"")</f>
        <v/>
      </c>
      <c r="J172" s="15" t="n"/>
      <c r="K172" s="15" t="n"/>
      <c r="L172" s="17">
        <f>IF(A172="","",TEXT(A172,"yyyy-mm"))</f>
        <v/>
      </c>
      <c r="M172" s="17">
        <f>IF(AND(A172&lt;&gt;"",J172="Pending"),TODAY()-A172,"")</f>
        <v/>
      </c>
    </row>
    <row r="173">
      <c r="A173" s="16" t="n"/>
      <c r="B173" s="15" t="n"/>
      <c r="C173" s="15" t="n"/>
      <c r="D173" s="17">
        <f>IF($C173="","",IFERROR(INDEX(สินค้า!$A$5:$A$204,MATCH($C173,สินค้า!$B$5:$B$204,0)),"ไม่พบสินค้า"))</f>
        <v/>
      </c>
      <c r="E173" s="17">
        <f>IF($C173="","",IFERROR(INDEX(สินค้า!$C$5:$C$204,MATCH($C173,สินค้า!$B$5:$B$204,0)),"ไม่พบสินค้า"))</f>
        <v/>
      </c>
      <c r="F173" s="17">
        <f>IF($C173="","",IFERROR(INDEX(สินค้า!$D$5:$D$204,MATCH($C173,สินค้า!$B$5:$B$204,0)),"ไม่พบสินค้า"))</f>
        <v/>
      </c>
      <c r="G173" s="15" t="n"/>
      <c r="H173" s="15" t="n"/>
      <c r="I173" s="18">
        <f>IF(AND(ISNUMBER(G173),ISNUMBER(H173),G173&gt;0),H173/G173,"")</f>
        <v/>
      </c>
      <c r="J173" s="15" t="n"/>
      <c r="K173" s="15" t="n"/>
      <c r="L173" s="17">
        <f>IF(A173="","",TEXT(A173,"yyyy-mm"))</f>
        <v/>
      </c>
      <c r="M173" s="17">
        <f>IF(AND(A173&lt;&gt;"",J173="Pending"),TODAY()-A173,"")</f>
        <v/>
      </c>
    </row>
    <row r="174">
      <c r="A174" s="16" t="n"/>
      <c r="B174" s="15" t="n"/>
      <c r="C174" s="15" t="n"/>
      <c r="D174" s="17">
        <f>IF($C174="","",IFERROR(INDEX(สินค้า!$A$5:$A$204,MATCH($C174,สินค้า!$B$5:$B$204,0)),"ไม่พบสินค้า"))</f>
        <v/>
      </c>
      <c r="E174" s="17">
        <f>IF($C174="","",IFERROR(INDEX(สินค้า!$C$5:$C$204,MATCH($C174,สินค้า!$B$5:$B$204,0)),"ไม่พบสินค้า"))</f>
        <v/>
      </c>
      <c r="F174" s="17">
        <f>IF($C174="","",IFERROR(INDEX(สินค้า!$D$5:$D$204,MATCH($C174,สินค้า!$B$5:$B$204,0)),"ไม่พบสินค้า"))</f>
        <v/>
      </c>
      <c r="G174" s="15" t="n"/>
      <c r="H174" s="15" t="n"/>
      <c r="I174" s="18">
        <f>IF(AND(ISNUMBER(G174),ISNUMBER(H174),G174&gt;0),H174/G174,"")</f>
        <v/>
      </c>
      <c r="J174" s="15" t="n"/>
      <c r="K174" s="15" t="n"/>
      <c r="L174" s="17">
        <f>IF(A174="","",TEXT(A174,"yyyy-mm"))</f>
        <v/>
      </c>
      <c r="M174" s="17">
        <f>IF(AND(A174&lt;&gt;"",J174="Pending"),TODAY()-A174,"")</f>
        <v/>
      </c>
    </row>
    <row r="175">
      <c r="A175" s="16" t="n"/>
      <c r="B175" s="15" t="n"/>
      <c r="C175" s="15" t="n"/>
      <c r="D175" s="17">
        <f>IF($C175="","",IFERROR(INDEX(สินค้า!$A$5:$A$204,MATCH($C175,สินค้า!$B$5:$B$204,0)),"ไม่พบสินค้า"))</f>
        <v/>
      </c>
      <c r="E175" s="17">
        <f>IF($C175="","",IFERROR(INDEX(สินค้า!$C$5:$C$204,MATCH($C175,สินค้า!$B$5:$B$204,0)),"ไม่พบสินค้า"))</f>
        <v/>
      </c>
      <c r="F175" s="17">
        <f>IF($C175="","",IFERROR(INDEX(สินค้า!$D$5:$D$204,MATCH($C175,สินค้า!$B$5:$B$204,0)),"ไม่พบสินค้า"))</f>
        <v/>
      </c>
      <c r="G175" s="15" t="n"/>
      <c r="H175" s="15" t="n"/>
      <c r="I175" s="18">
        <f>IF(AND(ISNUMBER(G175),ISNUMBER(H175),G175&gt;0),H175/G175,"")</f>
        <v/>
      </c>
      <c r="J175" s="15" t="n"/>
      <c r="K175" s="15" t="n"/>
      <c r="L175" s="17">
        <f>IF(A175="","",TEXT(A175,"yyyy-mm"))</f>
        <v/>
      </c>
      <c r="M175" s="17">
        <f>IF(AND(A175&lt;&gt;"",J175="Pending"),TODAY()-A175,"")</f>
        <v/>
      </c>
    </row>
    <row r="176">
      <c r="A176" s="16" t="n"/>
      <c r="B176" s="15" t="n"/>
      <c r="C176" s="15" t="n"/>
      <c r="D176" s="17">
        <f>IF($C176="","",IFERROR(INDEX(สินค้า!$A$5:$A$204,MATCH($C176,สินค้า!$B$5:$B$204,0)),"ไม่พบสินค้า"))</f>
        <v/>
      </c>
      <c r="E176" s="17">
        <f>IF($C176="","",IFERROR(INDEX(สินค้า!$C$5:$C$204,MATCH($C176,สินค้า!$B$5:$B$204,0)),"ไม่พบสินค้า"))</f>
        <v/>
      </c>
      <c r="F176" s="17">
        <f>IF($C176="","",IFERROR(INDEX(สินค้า!$D$5:$D$204,MATCH($C176,สินค้า!$B$5:$B$204,0)),"ไม่พบสินค้า"))</f>
        <v/>
      </c>
      <c r="G176" s="15" t="n"/>
      <c r="H176" s="15" t="n"/>
      <c r="I176" s="18">
        <f>IF(AND(ISNUMBER(G176),ISNUMBER(H176),G176&gt;0),H176/G176,"")</f>
        <v/>
      </c>
      <c r="J176" s="15" t="n"/>
      <c r="K176" s="15" t="n"/>
      <c r="L176" s="17">
        <f>IF(A176="","",TEXT(A176,"yyyy-mm"))</f>
        <v/>
      </c>
      <c r="M176" s="17">
        <f>IF(AND(A176&lt;&gt;"",J176="Pending"),TODAY()-A176,"")</f>
        <v/>
      </c>
    </row>
    <row r="177">
      <c r="A177" s="16" t="n"/>
      <c r="B177" s="15" t="n"/>
      <c r="C177" s="15" t="n"/>
      <c r="D177" s="17">
        <f>IF($C177="","",IFERROR(INDEX(สินค้า!$A$5:$A$204,MATCH($C177,สินค้า!$B$5:$B$204,0)),"ไม่พบสินค้า"))</f>
        <v/>
      </c>
      <c r="E177" s="17">
        <f>IF($C177="","",IFERROR(INDEX(สินค้า!$C$5:$C$204,MATCH($C177,สินค้า!$B$5:$B$204,0)),"ไม่พบสินค้า"))</f>
        <v/>
      </c>
      <c r="F177" s="17">
        <f>IF($C177="","",IFERROR(INDEX(สินค้า!$D$5:$D$204,MATCH($C177,สินค้า!$B$5:$B$204,0)),"ไม่พบสินค้า"))</f>
        <v/>
      </c>
      <c r="G177" s="15" t="n"/>
      <c r="H177" s="15" t="n"/>
      <c r="I177" s="18">
        <f>IF(AND(ISNUMBER(G177),ISNUMBER(H177),G177&gt;0),H177/G177,"")</f>
        <v/>
      </c>
      <c r="J177" s="15" t="n"/>
      <c r="K177" s="15" t="n"/>
      <c r="L177" s="17">
        <f>IF(A177="","",TEXT(A177,"yyyy-mm"))</f>
        <v/>
      </c>
      <c r="M177" s="17">
        <f>IF(AND(A177&lt;&gt;"",J177="Pending"),TODAY()-A177,"")</f>
        <v/>
      </c>
    </row>
    <row r="178">
      <c r="A178" s="16" t="n"/>
      <c r="B178" s="15" t="n"/>
      <c r="C178" s="15" t="n"/>
      <c r="D178" s="17">
        <f>IF($C178="","",IFERROR(INDEX(สินค้า!$A$5:$A$204,MATCH($C178,สินค้า!$B$5:$B$204,0)),"ไม่พบสินค้า"))</f>
        <v/>
      </c>
      <c r="E178" s="17">
        <f>IF($C178="","",IFERROR(INDEX(สินค้า!$C$5:$C$204,MATCH($C178,สินค้า!$B$5:$B$204,0)),"ไม่พบสินค้า"))</f>
        <v/>
      </c>
      <c r="F178" s="17">
        <f>IF($C178="","",IFERROR(INDEX(สินค้า!$D$5:$D$204,MATCH($C178,สินค้า!$B$5:$B$204,0)),"ไม่พบสินค้า"))</f>
        <v/>
      </c>
      <c r="G178" s="15" t="n"/>
      <c r="H178" s="15" t="n"/>
      <c r="I178" s="18">
        <f>IF(AND(ISNUMBER(G178),ISNUMBER(H178),G178&gt;0),H178/G178,"")</f>
        <v/>
      </c>
      <c r="J178" s="15" t="n"/>
      <c r="K178" s="15" t="n"/>
      <c r="L178" s="17">
        <f>IF(A178="","",TEXT(A178,"yyyy-mm"))</f>
        <v/>
      </c>
      <c r="M178" s="17">
        <f>IF(AND(A178&lt;&gt;"",J178="Pending"),TODAY()-A178,"")</f>
        <v/>
      </c>
    </row>
    <row r="179">
      <c r="A179" s="16" t="n"/>
      <c r="B179" s="15" t="n"/>
      <c r="C179" s="15" t="n"/>
      <c r="D179" s="17">
        <f>IF($C179="","",IFERROR(INDEX(สินค้า!$A$5:$A$204,MATCH($C179,สินค้า!$B$5:$B$204,0)),"ไม่พบสินค้า"))</f>
        <v/>
      </c>
      <c r="E179" s="17">
        <f>IF($C179="","",IFERROR(INDEX(สินค้า!$C$5:$C$204,MATCH($C179,สินค้า!$B$5:$B$204,0)),"ไม่พบสินค้า"))</f>
        <v/>
      </c>
      <c r="F179" s="17">
        <f>IF($C179="","",IFERROR(INDEX(สินค้า!$D$5:$D$204,MATCH($C179,สินค้า!$B$5:$B$204,0)),"ไม่พบสินค้า"))</f>
        <v/>
      </c>
      <c r="G179" s="15" t="n"/>
      <c r="H179" s="15" t="n"/>
      <c r="I179" s="18">
        <f>IF(AND(ISNUMBER(G179),ISNUMBER(H179),G179&gt;0),H179/G179,"")</f>
        <v/>
      </c>
      <c r="J179" s="15" t="n"/>
      <c r="K179" s="15" t="n"/>
      <c r="L179" s="17">
        <f>IF(A179="","",TEXT(A179,"yyyy-mm"))</f>
        <v/>
      </c>
      <c r="M179" s="17">
        <f>IF(AND(A179&lt;&gt;"",J179="Pending"),TODAY()-A179,"")</f>
        <v/>
      </c>
    </row>
    <row r="180">
      <c r="A180" s="16" t="n"/>
      <c r="B180" s="15" t="n"/>
      <c r="C180" s="15" t="n"/>
      <c r="D180" s="17">
        <f>IF($C180="","",IFERROR(INDEX(สินค้า!$A$5:$A$204,MATCH($C180,สินค้า!$B$5:$B$204,0)),"ไม่พบสินค้า"))</f>
        <v/>
      </c>
      <c r="E180" s="17">
        <f>IF($C180="","",IFERROR(INDEX(สินค้า!$C$5:$C$204,MATCH($C180,สินค้า!$B$5:$B$204,0)),"ไม่พบสินค้า"))</f>
        <v/>
      </c>
      <c r="F180" s="17">
        <f>IF($C180="","",IFERROR(INDEX(สินค้า!$D$5:$D$204,MATCH($C180,สินค้า!$B$5:$B$204,0)),"ไม่พบสินค้า"))</f>
        <v/>
      </c>
      <c r="G180" s="15" t="n"/>
      <c r="H180" s="15" t="n"/>
      <c r="I180" s="18">
        <f>IF(AND(ISNUMBER(G180),ISNUMBER(H180),G180&gt;0),H180/G180,"")</f>
        <v/>
      </c>
      <c r="J180" s="15" t="n"/>
      <c r="K180" s="15" t="n"/>
      <c r="L180" s="17">
        <f>IF(A180="","",TEXT(A180,"yyyy-mm"))</f>
        <v/>
      </c>
      <c r="M180" s="17">
        <f>IF(AND(A180&lt;&gt;"",J180="Pending"),TODAY()-A180,"")</f>
        <v/>
      </c>
    </row>
    <row r="181">
      <c r="A181" s="16" t="n"/>
      <c r="B181" s="15" t="n"/>
      <c r="C181" s="15" t="n"/>
      <c r="D181" s="17">
        <f>IF($C181="","",IFERROR(INDEX(สินค้า!$A$5:$A$204,MATCH($C181,สินค้า!$B$5:$B$204,0)),"ไม่พบสินค้า"))</f>
        <v/>
      </c>
      <c r="E181" s="17">
        <f>IF($C181="","",IFERROR(INDEX(สินค้า!$C$5:$C$204,MATCH($C181,สินค้า!$B$5:$B$204,0)),"ไม่พบสินค้า"))</f>
        <v/>
      </c>
      <c r="F181" s="17">
        <f>IF($C181="","",IFERROR(INDEX(สินค้า!$D$5:$D$204,MATCH($C181,สินค้า!$B$5:$B$204,0)),"ไม่พบสินค้า"))</f>
        <v/>
      </c>
      <c r="G181" s="15" t="n"/>
      <c r="H181" s="15" t="n"/>
      <c r="I181" s="18">
        <f>IF(AND(ISNUMBER(G181),ISNUMBER(H181),G181&gt;0),H181/G181,"")</f>
        <v/>
      </c>
      <c r="J181" s="15" t="n"/>
      <c r="K181" s="15" t="n"/>
      <c r="L181" s="17">
        <f>IF(A181="","",TEXT(A181,"yyyy-mm"))</f>
        <v/>
      </c>
      <c r="M181" s="17">
        <f>IF(AND(A181&lt;&gt;"",J181="Pending"),TODAY()-A181,"")</f>
        <v/>
      </c>
    </row>
    <row r="182">
      <c r="A182" s="16" t="n"/>
      <c r="B182" s="15" t="n"/>
      <c r="C182" s="15" t="n"/>
      <c r="D182" s="17">
        <f>IF($C182="","",IFERROR(INDEX(สินค้า!$A$5:$A$204,MATCH($C182,สินค้า!$B$5:$B$204,0)),"ไม่พบสินค้า"))</f>
        <v/>
      </c>
      <c r="E182" s="17">
        <f>IF($C182="","",IFERROR(INDEX(สินค้า!$C$5:$C$204,MATCH($C182,สินค้า!$B$5:$B$204,0)),"ไม่พบสินค้า"))</f>
        <v/>
      </c>
      <c r="F182" s="17">
        <f>IF($C182="","",IFERROR(INDEX(สินค้า!$D$5:$D$204,MATCH($C182,สินค้า!$B$5:$B$204,0)),"ไม่พบสินค้า"))</f>
        <v/>
      </c>
      <c r="G182" s="15" t="n"/>
      <c r="H182" s="15" t="n"/>
      <c r="I182" s="18">
        <f>IF(AND(ISNUMBER(G182),ISNUMBER(H182),G182&gt;0),H182/G182,"")</f>
        <v/>
      </c>
      <c r="J182" s="15" t="n"/>
      <c r="K182" s="15" t="n"/>
      <c r="L182" s="17">
        <f>IF(A182="","",TEXT(A182,"yyyy-mm"))</f>
        <v/>
      </c>
      <c r="M182" s="17">
        <f>IF(AND(A182&lt;&gt;"",J182="Pending"),TODAY()-A182,"")</f>
        <v/>
      </c>
    </row>
    <row r="183">
      <c r="A183" s="16" t="n"/>
      <c r="B183" s="15" t="n"/>
      <c r="C183" s="15" t="n"/>
      <c r="D183" s="17">
        <f>IF($C183="","",IFERROR(INDEX(สินค้า!$A$5:$A$204,MATCH($C183,สินค้า!$B$5:$B$204,0)),"ไม่พบสินค้า"))</f>
        <v/>
      </c>
      <c r="E183" s="17">
        <f>IF($C183="","",IFERROR(INDEX(สินค้า!$C$5:$C$204,MATCH($C183,สินค้า!$B$5:$B$204,0)),"ไม่พบสินค้า"))</f>
        <v/>
      </c>
      <c r="F183" s="17">
        <f>IF($C183="","",IFERROR(INDEX(สินค้า!$D$5:$D$204,MATCH($C183,สินค้า!$B$5:$B$204,0)),"ไม่พบสินค้า"))</f>
        <v/>
      </c>
      <c r="G183" s="15" t="n"/>
      <c r="H183" s="15" t="n"/>
      <c r="I183" s="18">
        <f>IF(AND(ISNUMBER(G183),ISNUMBER(H183),G183&gt;0),H183/G183,"")</f>
        <v/>
      </c>
      <c r="J183" s="15" t="n"/>
      <c r="K183" s="15" t="n"/>
      <c r="L183" s="17">
        <f>IF(A183="","",TEXT(A183,"yyyy-mm"))</f>
        <v/>
      </c>
      <c r="M183" s="17">
        <f>IF(AND(A183&lt;&gt;"",J183="Pending"),TODAY()-A183,"")</f>
        <v/>
      </c>
    </row>
    <row r="184">
      <c r="A184" s="16" t="n"/>
      <c r="B184" s="15" t="n"/>
      <c r="C184" s="15" t="n"/>
      <c r="D184" s="17">
        <f>IF($C184="","",IFERROR(INDEX(สินค้า!$A$5:$A$204,MATCH($C184,สินค้า!$B$5:$B$204,0)),"ไม่พบสินค้า"))</f>
        <v/>
      </c>
      <c r="E184" s="17">
        <f>IF($C184="","",IFERROR(INDEX(สินค้า!$C$5:$C$204,MATCH($C184,สินค้า!$B$5:$B$204,0)),"ไม่พบสินค้า"))</f>
        <v/>
      </c>
      <c r="F184" s="17">
        <f>IF($C184="","",IFERROR(INDEX(สินค้า!$D$5:$D$204,MATCH($C184,สินค้า!$B$5:$B$204,0)),"ไม่พบสินค้า"))</f>
        <v/>
      </c>
      <c r="G184" s="15" t="n"/>
      <c r="H184" s="15" t="n"/>
      <c r="I184" s="18">
        <f>IF(AND(ISNUMBER(G184),ISNUMBER(H184),G184&gt;0),H184/G184,"")</f>
        <v/>
      </c>
      <c r="J184" s="15" t="n"/>
      <c r="K184" s="15" t="n"/>
      <c r="L184" s="17">
        <f>IF(A184="","",TEXT(A184,"yyyy-mm"))</f>
        <v/>
      </c>
      <c r="M184" s="17">
        <f>IF(AND(A184&lt;&gt;"",J184="Pending"),TODAY()-A184,"")</f>
        <v/>
      </c>
    </row>
    <row r="185">
      <c r="A185" s="16" t="n"/>
      <c r="B185" s="15" t="n"/>
      <c r="C185" s="15" t="n"/>
      <c r="D185" s="17">
        <f>IF($C185="","",IFERROR(INDEX(สินค้า!$A$5:$A$204,MATCH($C185,สินค้า!$B$5:$B$204,0)),"ไม่พบสินค้า"))</f>
        <v/>
      </c>
      <c r="E185" s="17">
        <f>IF($C185="","",IFERROR(INDEX(สินค้า!$C$5:$C$204,MATCH($C185,สินค้า!$B$5:$B$204,0)),"ไม่พบสินค้า"))</f>
        <v/>
      </c>
      <c r="F185" s="17">
        <f>IF($C185="","",IFERROR(INDEX(สินค้า!$D$5:$D$204,MATCH($C185,สินค้า!$B$5:$B$204,0)),"ไม่พบสินค้า"))</f>
        <v/>
      </c>
      <c r="G185" s="15" t="n"/>
      <c r="H185" s="15" t="n"/>
      <c r="I185" s="18">
        <f>IF(AND(ISNUMBER(G185),ISNUMBER(H185),G185&gt;0),H185/G185,"")</f>
        <v/>
      </c>
      <c r="J185" s="15" t="n"/>
      <c r="K185" s="15" t="n"/>
      <c r="L185" s="17">
        <f>IF(A185="","",TEXT(A185,"yyyy-mm"))</f>
        <v/>
      </c>
      <c r="M185" s="17">
        <f>IF(AND(A185&lt;&gt;"",J185="Pending"),TODAY()-A185,"")</f>
        <v/>
      </c>
    </row>
    <row r="186">
      <c r="A186" s="16" t="n"/>
      <c r="B186" s="15" t="n"/>
      <c r="C186" s="15" t="n"/>
      <c r="D186" s="17">
        <f>IF($C186="","",IFERROR(INDEX(สินค้า!$A$5:$A$204,MATCH($C186,สินค้า!$B$5:$B$204,0)),"ไม่พบสินค้า"))</f>
        <v/>
      </c>
      <c r="E186" s="17">
        <f>IF($C186="","",IFERROR(INDEX(สินค้า!$C$5:$C$204,MATCH($C186,สินค้า!$B$5:$B$204,0)),"ไม่พบสินค้า"))</f>
        <v/>
      </c>
      <c r="F186" s="17">
        <f>IF($C186="","",IFERROR(INDEX(สินค้า!$D$5:$D$204,MATCH($C186,สินค้า!$B$5:$B$204,0)),"ไม่พบสินค้า"))</f>
        <v/>
      </c>
      <c r="G186" s="15" t="n"/>
      <c r="H186" s="15" t="n"/>
      <c r="I186" s="18">
        <f>IF(AND(ISNUMBER(G186),ISNUMBER(H186),G186&gt;0),H186/G186,"")</f>
        <v/>
      </c>
      <c r="J186" s="15" t="n"/>
      <c r="K186" s="15" t="n"/>
      <c r="L186" s="17">
        <f>IF(A186="","",TEXT(A186,"yyyy-mm"))</f>
        <v/>
      </c>
      <c r="M186" s="17">
        <f>IF(AND(A186&lt;&gt;"",J186="Pending"),TODAY()-A186,"")</f>
        <v/>
      </c>
    </row>
    <row r="187">
      <c r="A187" s="16" t="n"/>
      <c r="B187" s="15" t="n"/>
      <c r="C187" s="15" t="n"/>
      <c r="D187" s="17">
        <f>IF($C187="","",IFERROR(INDEX(สินค้า!$A$5:$A$204,MATCH($C187,สินค้า!$B$5:$B$204,0)),"ไม่พบสินค้า"))</f>
        <v/>
      </c>
      <c r="E187" s="17">
        <f>IF($C187="","",IFERROR(INDEX(สินค้า!$C$5:$C$204,MATCH($C187,สินค้า!$B$5:$B$204,0)),"ไม่พบสินค้า"))</f>
        <v/>
      </c>
      <c r="F187" s="17">
        <f>IF($C187="","",IFERROR(INDEX(สินค้า!$D$5:$D$204,MATCH($C187,สินค้า!$B$5:$B$204,0)),"ไม่พบสินค้า"))</f>
        <v/>
      </c>
      <c r="G187" s="15" t="n"/>
      <c r="H187" s="15" t="n"/>
      <c r="I187" s="18">
        <f>IF(AND(ISNUMBER(G187),ISNUMBER(H187),G187&gt;0),H187/G187,"")</f>
        <v/>
      </c>
      <c r="J187" s="15" t="n"/>
      <c r="K187" s="15" t="n"/>
      <c r="L187" s="17">
        <f>IF(A187="","",TEXT(A187,"yyyy-mm"))</f>
        <v/>
      </c>
      <c r="M187" s="17">
        <f>IF(AND(A187&lt;&gt;"",J187="Pending"),TODAY()-A187,"")</f>
        <v/>
      </c>
    </row>
    <row r="188">
      <c r="A188" s="16" t="n"/>
      <c r="B188" s="15" t="n"/>
      <c r="C188" s="15" t="n"/>
      <c r="D188" s="17">
        <f>IF($C188="","",IFERROR(INDEX(สินค้า!$A$5:$A$204,MATCH($C188,สินค้า!$B$5:$B$204,0)),"ไม่พบสินค้า"))</f>
        <v/>
      </c>
      <c r="E188" s="17">
        <f>IF($C188="","",IFERROR(INDEX(สินค้า!$C$5:$C$204,MATCH($C188,สินค้า!$B$5:$B$204,0)),"ไม่พบสินค้า"))</f>
        <v/>
      </c>
      <c r="F188" s="17">
        <f>IF($C188="","",IFERROR(INDEX(สินค้า!$D$5:$D$204,MATCH($C188,สินค้า!$B$5:$B$204,0)),"ไม่พบสินค้า"))</f>
        <v/>
      </c>
      <c r="G188" s="15" t="n"/>
      <c r="H188" s="15" t="n"/>
      <c r="I188" s="18">
        <f>IF(AND(ISNUMBER(G188),ISNUMBER(H188),G188&gt;0),H188/G188,"")</f>
        <v/>
      </c>
      <c r="J188" s="15" t="n"/>
      <c r="K188" s="15" t="n"/>
      <c r="L188" s="17">
        <f>IF(A188="","",TEXT(A188,"yyyy-mm"))</f>
        <v/>
      </c>
      <c r="M188" s="17">
        <f>IF(AND(A188&lt;&gt;"",J188="Pending"),TODAY()-A188,"")</f>
        <v/>
      </c>
    </row>
    <row r="189">
      <c r="A189" s="16" t="n"/>
      <c r="B189" s="15" t="n"/>
      <c r="C189" s="15" t="n"/>
      <c r="D189" s="17">
        <f>IF($C189="","",IFERROR(INDEX(สินค้า!$A$5:$A$204,MATCH($C189,สินค้า!$B$5:$B$204,0)),"ไม่พบสินค้า"))</f>
        <v/>
      </c>
      <c r="E189" s="17">
        <f>IF($C189="","",IFERROR(INDEX(สินค้า!$C$5:$C$204,MATCH($C189,สินค้า!$B$5:$B$204,0)),"ไม่พบสินค้า"))</f>
        <v/>
      </c>
      <c r="F189" s="17">
        <f>IF($C189="","",IFERROR(INDEX(สินค้า!$D$5:$D$204,MATCH($C189,สินค้า!$B$5:$B$204,0)),"ไม่พบสินค้า"))</f>
        <v/>
      </c>
      <c r="G189" s="15" t="n"/>
      <c r="H189" s="15" t="n"/>
      <c r="I189" s="18">
        <f>IF(AND(ISNUMBER(G189),ISNUMBER(H189),G189&gt;0),H189/G189,"")</f>
        <v/>
      </c>
      <c r="J189" s="15" t="n"/>
      <c r="K189" s="15" t="n"/>
      <c r="L189" s="17">
        <f>IF(A189="","",TEXT(A189,"yyyy-mm"))</f>
        <v/>
      </c>
      <c r="M189" s="17">
        <f>IF(AND(A189&lt;&gt;"",J189="Pending"),TODAY()-A189,"")</f>
        <v/>
      </c>
    </row>
    <row r="190">
      <c r="A190" s="16" t="n"/>
      <c r="B190" s="15" t="n"/>
      <c r="C190" s="15" t="n"/>
      <c r="D190" s="17">
        <f>IF($C190="","",IFERROR(INDEX(สินค้า!$A$5:$A$204,MATCH($C190,สินค้า!$B$5:$B$204,0)),"ไม่พบสินค้า"))</f>
        <v/>
      </c>
      <c r="E190" s="17">
        <f>IF($C190="","",IFERROR(INDEX(สินค้า!$C$5:$C$204,MATCH($C190,สินค้า!$B$5:$B$204,0)),"ไม่พบสินค้า"))</f>
        <v/>
      </c>
      <c r="F190" s="17">
        <f>IF($C190="","",IFERROR(INDEX(สินค้า!$D$5:$D$204,MATCH($C190,สินค้า!$B$5:$B$204,0)),"ไม่พบสินค้า"))</f>
        <v/>
      </c>
      <c r="G190" s="15" t="n"/>
      <c r="H190" s="15" t="n"/>
      <c r="I190" s="18">
        <f>IF(AND(ISNUMBER(G190),ISNUMBER(H190),G190&gt;0),H190/G190,"")</f>
        <v/>
      </c>
      <c r="J190" s="15" t="n"/>
      <c r="K190" s="15" t="n"/>
      <c r="L190" s="17">
        <f>IF(A190="","",TEXT(A190,"yyyy-mm"))</f>
        <v/>
      </c>
      <c r="M190" s="17">
        <f>IF(AND(A190&lt;&gt;"",J190="Pending"),TODAY()-A190,"")</f>
        <v/>
      </c>
    </row>
    <row r="191">
      <c r="A191" s="16" t="n"/>
      <c r="B191" s="15" t="n"/>
      <c r="C191" s="15" t="n"/>
      <c r="D191" s="17">
        <f>IF($C191="","",IFERROR(INDEX(สินค้า!$A$5:$A$204,MATCH($C191,สินค้า!$B$5:$B$204,0)),"ไม่พบสินค้า"))</f>
        <v/>
      </c>
      <c r="E191" s="17">
        <f>IF($C191="","",IFERROR(INDEX(สินค้า!$C$5:$C$204,MATCH($C191,สินค้า!$B$5:$B$204,0)),"ไม่พบสินค้า"))</f>
        <v/>
      </c>
      <c r="F191" s="17">
        <f>IF($C191="","",IFERROR(INDEX(สินค้า!$D$5:$D$204,MATCH($C191,สินค้า!$B$5:$B$204,0)),"ไม่พบสินค้า"))</f>
        <v/>
      </c>
      <c r="G191" s="15" t="n"/>
      <c r="H191" s="15" t="n"/>
      <c r="I191" s="18">
        <f>IF(AND(ISNUMBER(G191),ISNUMBER(H191),G191&gt;0),H191/G191,"")</f>
        <v/>
      </c>
      <c r="J191" s="15" t="n"/>
      <c r="K191" s="15" t="n"/>
      <c r="L191" s="17">
        <f>IF(A191="","",TEXT(A191,"yyyy-mm"))</f>
        <v/>
      </c>
      <c r="M191" s="17">
        <f>IF(AND(A191&lt;&gt;"",J191="Pending"),TODAY()-A191,"")</f>
        <v/>
      </c>
    </row>
    <row r="192">
      <c r="A192" s="16" t="n"/>
      <c r="B192" s="15" t="n"/>
      <c r="C192" s="15" t="n"/>
      <c r="D192" s="17">
        <f>IF($C192="","",IFERROR(INDEX(สินค้า!$A$5:$A$204,MATCH($C192,สินค้า!$B$5:$B$204,0)),"ไม่พบสินค้า"))</f>
        <v/>
      </c>
      <c r="E192" s="17">
        <f>IF($C192="","",IFERROR(INDEX(สินค้า!$C$5:$C$204,MATCH($C192,สินค้า!$B$5:$B$204,0)),"ไม่พบสินค้า"))</f>
        <v/>
      </c>
      <c r="F192" s="17">
        <f>IF($C192="","",IFERROR(INDEX(สินค้า!$D$5:$D$204,MATCH($C192,สินค้า!$B$5:$B$204,0)),"ไม่พบสินค้า"))</f>
        <v/>
      </c>
      <c r="G192" s="15" t="n"/>
      <c r="H192" s="15" t="n"/>
      <c r="I192" s="18">
        <f>IF(AND(ISNUMBER(G192),ISNUMBER(H192),G192&gt;0),H192/G192,"")</f>
        <v/>
      </c>
      <c r="J192" s="15" t="n"/>
      <c r="K192" s="15" t="n"/>
      <c r="L192" s="17">
        <f>IF(A192="","",TEXT(A192,"yyyy-mm"))</f>
        <v/>
      </c>
      <c r="M192" s="17">
        <f>IF(AND(A192&lt;&gt;"",J192="Pending"),TODAY()-A192,"")</f>
        <v/>
      </c>
    </row>
    <row r="193">
      <c r="A193" s="16" t="n"/>
      <c r="B193" s="15" t="n"/>
      <c r="C193" s="15" t="n"/>
      <c r="D193" s="17">
        <f>IF($C193="","",IFERROR(INDEX(สินค้า!$A$5:$A$204,MATCH($C193,สินค้า!$B$5:$B$204,0)),"ไม่พบสินค้า"))</f>
        <v/>
      </c>
      <c r="E193" s="17">
        <f>IF($C193="","",IFERROR(INDEX(สินค้า!$C$5:$C$204,MATCH($C193,สินค้า!$B$5:$B$204,0)),"ไม่พบสินค้า"))</f>
        <v/>
      </c>
      <c r="F193" s="17">
        <f>IF($C193="","",IFERROR(INDEX(สินค้า!$D$5:$D$204,MATCH($C193,สินค้า!$B$5:$B$204,0)),"ไม่พบสินค้า"))</f>
        <v/>
      </c>
      <c r="G193" s="15" t="n"/>
      <c r="H193" s="15" t="n"/>
      <c r="I193" s="18">
        <f>IF(AND(ISNUMBER(G193),ISNUMBER(H193),G193&gt;0),H193/G193,"")</f>
        <v/>
      </c>
      <c r="J193" s="15" t="n"/>
      <c r="K193" s="15" t="n"/>
      <c r="L193" s="17">
        <f>IF(A193="","",TEXT(A193,"yyyy-mm"))</f>
        <v/>
      </c>
      <c r="M193" s="17">
        <f>IF(AND(A193&lt;&gt;"",J193="Pending"),TODAY()-A193,"")</f>
        <v/>
      </c>
    </row>
    <row r="194">
      <c r="A194" s="16" t="n"/>
      <c r="B194" s="15" t="n"/>
      <c r="C194" s="15" t="n"/>
      <c r="D194" s="17">
        <f>IF($C194="","",IFERROR(INDEX(สินค้า!$A$5:$A$204,MATCH($C194,สินค้า!$B$5:$B$204,0)),"ไม่พบสินค้า"))</f>
        <v/>
      </c>
      <c r="E194" s="17">
        <f>IF($C194="","",IFERROR(INDEX(สินค้า!$C$5:$C$204,MATCH($C194,สินค้า!$B$5:$B$204,0)),"ไม่พบสินค้า"))</f>
        <v/>
      </c>
      <c r="F194" s="17">
        <f>IF($C194="","",IFERROR(INDEX(สินค้า!$D$5:$D$204,MATCH($C194,สินค้า!$B$5:$B$204,0)),"ไม่พบสินค้า"))</f>
        <v/>
      </c>
      <c r="G194" s="15" t="n"/>
      <c r="H194" s="15" t="n"/>
      <c r="I194" s="18">
        <f>IF(AND(ISNUMBER(G194),ISNUMBER(H194),G194&gt;0),H194/G194,"")</f>
        <v/>
      </c>
      <c r="J194" s="15" t="n"/>
      <c r="K194" s="15" t="n"/>
      <c r="L194" s="17">
        <f>IF(A194="","",TEXT(A194,"yyyy-mm"))</f>
        <v/>
      </c>
      <c r="M194" s="17">
        <f>IF(AND(A194&lt;&gt;"",J194="Pending"),TODAY()-A194,"")</f>
        <v/>
      </c>
    </row>
    <row r="195">
      <c r="A195" s="16" t="n"/>
      <c r="B195" s="15" t="n"/>
      <c r="C195" s="15" t="n"/>
      <c r="D195" s="17">
        <f>IF($C195="","",IFERROR(INDEX(สินค้า!$A$5:$A$204,MATCH($C195,สินค้า!$B$5:$B$204,0)),"ไม่พบสินค้า"))</f>
        <v/>
      </c>
      <c r="E195" s="17">
        <f>IF($C195="","",IFERROR(INDEX(สินค้า!$C$5:$C$204,MATCH($C195,สินค้า!$B$5:$B$204,0)),"ไม่พบสินค้า"))</f>
        <v/>
      </c>
      <c r="F195" s="17">
        <f>IF($C195="","",IFERROR(INDEX(สินค้า!$D$5:$D$204,MATCH($C195,สินค้า!$B$5:$B$204,0)),"ไม่พบสินค้า"))</f>
        <v/>
      </c>
      <c r="G195" s="15" t="n"/>
      <c r="H195" s="15" t="n"/>
      <c r="I195" s="18">
        <f>IF(AND(ISNUMBER(G195),ISNUMBER(H195),G195&gt;0),H195/G195,"")</f>
        <v/>
      </c>
      <c r="J195" s="15" t="n"/>
      <c r="K195" s="15" t="n"/>
      <c r="L195" s="17">
        <f>IF(A195="","",TEXT(A195,"yyyy-mm"))</f>
        <v/>
      </c>
      <c r="M195" s="17">
        <f>IF(AND(A195&lt;&gt;"",J195="Pending"),TODAY()-A195,"")</f>
        <v/>
      </c>
    </row>
    <row r="196">
      <c r="A196" s="16" t="n"/>
      <c r="B196" s="15" t="n"/>
      <c r="C196" s="15" t="n"/>
      <c r="D196" s="17">
        <f>IF($C196="","",IFERROR(INDEX(สินค้า!$A$5:$A$204,MATCH($C196,สินค้า!$B$5:$B$204,0)),"ไม่พบสินค้า"))</f>
        <v/>
      </c>
      <c r="E196" s="17">
        <f>IF($C196="","",IFERROR(INDEX(สินค้า!$C$5:$C$204,MATCH($C196,สินค้า!$B$5:$B$204,0)),"ไม่พบสินค้า"))</f>
        <v/>
      </c>
      <c r="F196" s="17">
        <f>IF($C196="","",IFERROR(INDEX(สินค้า!$D$5:$D$204,MATCH($C196,สินค้า!$B$5:$B$204,0)),"ไม่พบสินค้า"))</f>
        <v/>
      </c>
      <c r="G196" s="15" t="n"/>
      <c r="H196" s="15" t="n"/>
      <c r="I196" s="18">
        <f>IF(AND(ISNUMBER(G196),ISNUMBER(H196),G196&gt;0),H196/G196,"")</f>
        <v/>
      </c>
      <c r="J196" s="15" t="n"/>
      <c r="K196" s="15" t="n"/>
      <c r="L196" s="17">
        <f>IF(A196="","",TEXT(A196,"yyyy-mm"))</f>
        <v/>
      </c>
      <c r="M196" s="17">
        <f>IF(AND(A196&lt;&gt;"",J196="Pending"),TODAY()-A196,"")</f>
        <v/>
      </c>
    </row>
    <row r="197">
      <c r="A197" s="16" t="n"/>
      <c r="B197" s="15" t="n"/>
      <c r="C197" s="15" t="n"/>
      <c r="D197" s="17">
        <f>IF($C197="","",IFERROR(INDEX(สินค้า!$A$5:$A$204,MATCH($C197,สินค้า!$B$5:$B$204,0)),"ไม่พบสินค้า"))</f>
        <v/>
      </c>
      <c r="E197" s="17">
        <f>IF($C197="","",IFERROR(INDEX(สินค้า!$C$5:$C$204,MATCH($C197,สินค้า!$B$5:$B$204,0)),"ไม่พบสินค้า"))</f>
        <v/>
      </c>
      <c r="F197" s="17">
        <f>IF($C197="","",IFERROR(INDEX(สินค้า!$D$5:$D$204,MATCH($C197,สินค้า!$B$5:$B$204,0)),"ไม่พบสินค้า"))</f>
        <v/>
      </c>
      <c r="G197" s="15" t="n"/>
      <c r="H197" s="15" t="n"/>
      <c r="I197" s="18">
        <f>IF(AND(ISNUMBER(G197),ISNUMBER(H197),G197&gt;0),H197/G197,"")</f>
        <v/>
      </c>
      <c r="J197" s="15" t="n"/>
      <c r="K197" s="15" t="n"/>
      <c r="L197" s="17">
        <f>IF(A197="","",TEXT(A197,"yyyy-mm"))</f>
        <v/>
      </c>
      <c r="M197" s="17">
        <f>IF(AND(A197&lt;&gt;"",J197="Pending"),TODAY()-A197,"")</f>
        <v/>
      </c>
    </row>
    <row r="198">
      <c r="A198" s="16" t="n"/>
      <c r="B198" s="15" t="n"/>
      <c r="C198" s="15" t="n"/>
      <c r="D198" s="17">
        <f>IF($C198="","",IFERROR(INDEX(สินค้า!$A$5:$A$204,MATCH($C198,สินค้า!$B$5:$B$204,0)),"ไม่พบสินค้า"))</f>
        <v/>
      </c>
      <c r="E198" s="17">
        <f>IF($C198="","",IFERROR(INDEX(สินค้า!$C$5:$C$204,MATCH($C198,สินค้า!$B$5:$B$204,0)),"ไม่พบสินค้า"))</f>
        <v/>
      </c>
      <c r="F198" s="17">
        <f>IF($C198="","",IFERROR(INDEX(สินค้า!$D$5:$D$204,MATCH($C198,สินค้า!$B$5:$B$204,0)),"ไม่พบสินค้า"))</f>
        <v/>
      </c>
      <c r="G198" s="15" t="n"/>
      <c r="H198" s="15" t="n"/>
      <c r="I198" s="18">
        <f>IF(AND(ISNUMBER(G198),ISNUMBER(H198),G198&gt;0),H198/G198,"")</f>
        <v/>
      </c>
      <c r="J198" s="15" t="n"/>
      <c r="K198" s="15" t="n"/>
      <c r="L198" s="17">
        <f>IF(A198="","",TEXT(A198,"yyyy-mm"))</f>
        <v/>
      </c>
      <c r="M198" s="17">
        <f>IF(AND(A198&lt;&gt;"",J198="Pending"),TODAY()-A198,"")</f>
        <v/>
      </c>
    </row>
    <row r="199">
      <c r="A199" s="16" t="n"/>
      <c r="B199" s="15" t="n"/>
      <c r="C199" s="15" t="n"/>
      <c r="D199" s="17">
        <f>IF($C199="","",IFERROR(INDEX(สินค้า!$A$5:$A$204,MATCH($C199,สินค้า!$B$5:$B$204,0)),"ไม่พบสินค้า"))</f>
        <v/>
      </c>
      <c r="E199" s="17">
        <f>IF($C199="","",IFERROR(INDEX(สินค้า!$C$5:$C$204,MATCH($C199,สินค้า!$B$5:$B$204,0)),"ไม่พบสินค้า"))</f>
        <v/>
      </c>
      <c r="F199" s="17">
        <f>IF($C199="","",IFERROR(INDEX(สินค้า!$D$5:$D$204,MATCH($C199,สินค้า!$B$5:$B$204,0)),"ไม่พบสินค้า"))</f>
        <v/>
      </c>
      <c r="G199" s="15" t="n"/>
      <c r="H199" s="15" t="n"/>
      <c r="I199" s="18">
        <f>IF(AND(ISNUMBER(G199),ISNUMBER(H199),G199&gt;0),H199/G199,"")</f>
        <v/>
      </c>
      <c r="J199" s="15" t="n"/>
      <c r="K199" s="15" t="n"/>
      <c r="L199" s="17">
        <f>IF(A199="","",TEXT(A199,"yyyy-mm"))</f>
        <v/>
      </c>
      <c r="M199" s="17">
        <f>IF(AND(A199&lt;&gt;"",J199="Pending"),TODAY()-A199,"")</f>
        <v/>
      </c>
    </row>
    <row r="200">
      <c r="A200" s="16" t="n"/>
      <c r="B200" s="15" t="n"/>
      <c r="C200" s="15" t="n"/>
      <c r="D200" s="17">
        <f>IF($C200="","",IFERROR(INDEX(สินค้า!$A$5:$A$204,MATCH($C200,สินค้า!$B$5:$B$204,0)),"ไม่พบสินค้า"))</f>
        <v/>
      </c>
      <c r="E200" s="17">
        <f>IF($C200="","",IFERROR(INDEX(สินค้า!$C$5:$C$204,MATCH($C200,สินค้า!$B$5:$B$204,0)),"ไม่พบสินค้า"))</f>
        <v/>
      </c>
      <c r="F200" s="17">
        <f>IF($C200="","",IFERROR(INDEX(สินค้า!$D$5:$D$204,MATCH($C200,สินค้า!$B$5:$B$204,0)),"ไม่พบสินค้า"))</f>
        <v/>
      </c>
      <c r="G200" s="15" t="n"/>
      <c r="H200" s="15" t="n"/>
      <c r="I200" s="18">
        <f>IF(AND(ISNUMBER(G200),ISNUMBER(H200),G200&gt;0),H200/G200,"")</f>
        <v/>
      </c>
      <c r="J200" s="15" t="n"/>
      <c r="K200" s="15" t="n"/>
      <c r="L200" s="17">
        <f>IF(A200="","",TEXT(A200,"yyyy-mm"))</f>
        <v/>
      </c>
      <c r="M200" s="17">
        <f>IF(AND(A200&lt;&gt;"",J200="Pending"),TODAY()-A200,"")</f>
        <v/>
      </c>
    </row>
    <row r="201">
      <c r="A201" s="16" t="n"/>
      <c r="B201" s="15" t="n"/>
      <c r="C201" s="15" t="n"/>
      <c r="D201" s="17">
        <f>IF($C201="","",IFERROR(INDEX(สินค้า!$A$5:$A$204,MATCH($C201,สินค้า!$B$5:$B$204,0)),"ไม่พบสินค้า"))</f>
        <v/>
      </c>
      <c r="E201" s="17">
        <f>IF($C201="","",IFERROR(INDEX(สินค้า!$C$5:$C$204,MATCH($C201,สินค้า!$B$5:$B$204,0)),"ไม่พบสินค้า"))</f>
        <v/>
      </c>
      <c r="F201" s="17">
        <f>IF($C201="","",IFERROR(INDEX(สินค้า!$D$5:$D$204,MATCH($C201,สินค้า!$B$5:$B$204,0)),"ไม่พบสินค้า"))</f>
        <v/>
      </c>
      <c r="G201" s="15" t="n"/>
      <c r="H201" s="15" t="n"/>
      <c r="I201" s="18">
        <f>IF(AND(ISNUMBER(G201),ISNUMBER(H201),G201&gt;0),H201/G201,"")</f>
        <v/>
      </c>
      <c r="J201" s="15" t="n"/>
      <c r="K201" s="15" t="n"/>
      <c r="L201" s="17">
        <f>IF(A201="","",TEXT(A201,"yyyy-mm"))</f>
        <v/>
      </c>
      <c r="M201" s="17">
        <f>IF(AND(A201&lt;&gt;"",J201="Pending"),TODAY()-A201,"")</f>
        <v/>
      </c>
    </row>
    <row r="202">
      <c r="A202" s="16" t="n"/>
      <c r="B202" s="15" t="n"/>
      <c r="C202" s="15" t="n"/>
      <c r="D202" s="17">
        <f>IF($C202="","",IFERROR(INDEX(สินค้า!$A$5:$A$204,MATCH($C202,สินค้า!$B$5:$B$204,0)),"ไม่พบสินค้า"))</f>
        <v/>
      </c>
      <c r="E202" s="17">
        <f>IF($C202="","",IFERROR(INDEX(สินค้า!$C$5:$C$204,MATCH($C202,สินค้า!$B$5:$B$204,0)),"ไม่พบสินค้า"))</f>
        <v/>
      </c>
      <c r="F202" s="17">
        <f>IF($C202="","",IFERROR(INDEX(สินค้า!$D$5:$D$204,MATCH($C202,สินค้า!$B$5:$B$204,0)),"ไม่พบสินค้า"))</f>
        <v/>
      </c>
      <c r="G202" s="15" t="n"/>
      <c r="H202" s="15" t="n"/>
      <c r="I202" s="18">
        <f>IF(AND(ISNUMBER(G202),ISNUMBER(H202),G202&gt;0),H202/G202,"")</f>
        <v/>
      </c>
      <c r="J202" s="15" t="n"/>
      <c r="K202" s="15" t="n"/>
      <c r="L202" s="17">
        <f>IF(A202="","",TEXT(A202,"yyyy-mm"))</f>
        <v/>
      </c>
      <c r="M202" s="17">
        <f>IF(AND(A202&lt;&gt;"",J202="Pending"),TODAY()-A202,"")</f>
        <v/>
      </c>
    </row>
    <row r="203">
      <c r="A203" s="16" t="n"/>
      <c r="B203" s="15" t="n"/>
      <c r="C203" s="15" t="n"/>
      <c r="D203" s="17">
        <f>IF($C203="","",IFERROR(INDEX(สินค้า!$A$5:$A$204,MATCH($C203,สินค้า!$B$5:$B$204,0)),"ไม่พบสินค้า"))</f>
        <v/>
      </c>
      <c r="E203" s="17">
        <f>IF($C203="","",IFERROR(INDEX(สินค้า!$C$5:$C$204,MATCH($C203,สินค้า!$B$5:$B$204,0)),"ไม่พบสินค้า"))</f>
        <v/>
      </c>
      <c r="F203" s="17">
        <f>IF($C203="","",IFERROR(INDEX(สินค้า!$D$5:$D$204,MATCH($C203,สินค้า!$B$5:$B$204,0)),"ไม่พบสินค้า"))</f>
        <v/>
      </c>
      <c r="G203" s="15" t="n"/>
      <c r="H203" s="15" t="n"/>
      <c r="I203" s="18">
        <f>IF(AND(ISNUMBER(G203),ISNUMBER(H203),G203&gt;0),H203/G203,"")</f>
        <v/>
      </c>
      <c r="J203" s="15" t="n"/>
      <c r="K203" s="15" t="n"/>
      <c r="L203" s="17">
        <f>IF(A203="","",TEXT(A203,"yyyy-mm"))</f>
        <v/>
      </c>
      <c r="M203" s="17">
        <f>IF(AND(A203&lt;&gt;"",J203="Pending"),TODAY()-A203,"")</f>
        <v/>
      </c>
    </row>
    <row r="204">
      <c r="A204" s="16" t="n"/>
      <c r="B204" s="15" t="n"/>
      <c r="C204" s="15" t="n"/>
      <c r="D204" s="17">
        <f>IF($C204="","",IFERROR(INDEX(สินค้า!$A$5:$A$204,MATCH($C204,สินค้า!$B$5:$B$204,0)),"ไม่พบสินค้า"))</f>
        <v/>
      </c>
      <c r="E204" s="17">
        <f>IF($C204="","",IFERROR(INDEX(สินค้า!$C$5:$C$204,MATCH($C204,สินค้า!$B$5:$B$204,0)),"ไม่พบสินค้า"))</f>
        <v/>
      </c>
      <c r="F204" s="17">
        <f>IF($C204="","",IFERROR(INDEX(สินค้า!$D$5:$D$204,MATCH($C204,สินค้า!$B$5:$B$204,0)),"ไม่พบสินค้า"))</f>
        <v/>
      </c>
      <c r="G204" s="15" t="n"/>
      <c r="H204" s="15" t="n"/>
      <c r="I204" s="18">
        <f>IF(AND(ISNUMBER(G204),ISNUMBER(H204),G204&gt;0),H204/G204,"")</f>
        <v/>
      </c>
      <c r="J204" s="15" t="n"/>
      <c r="K204" s="15" t="n"/>
      <c r="L204" s="17">
        <f>IF(A204="","",TEXT(A204,"yyyy-mm"))</f>
        <v/>
      </c>
      <c r="M204" s="17">
        <f>IF(AND(A204&lt;&gt;"",J204="Pending"),TODAY()-A204,"")</f>
        <v/>
      </c>
    </row>
    <row r="205">
      <c r="A205" s="16" t="n"/>
      <c r="B205" s="15" t="n"/>
      <c r="C205" s="15" t="n"/>
      <c r="D205" s="17">
        <f>IF($C205="","",IFERROR(INDEX(สินค้า!$A$5:$A$204,MATCH($C205,สินค้า!$B$5:$B$204,0)),"ไม่พบสินค้า"))</f>
        <v/>
      </c>
      <c r="E205" s="17">
        <f>IF($C205="","",IFERROR(INDEX(สินค้า!$C$5:$C$204,MATCH($C205,สินค้า!$B$5:$B$204,0)),"ไม่พบสินค้า"))</f>
        <v/>
      </c>
      <c r="F205" s="17">
        <f>IF($C205="","",IFERROR(INDEX(สินค้า!$D$5:$D$204,MATCH($C205,สินค้า!$B$5:$B$204,0)),"ไม่พบสินค้า"))</f>
        <v/>
      </c>
      <c r="G205" s="15" t="n"/>
      <c r="H205" s="15" t="n"/>
      <c r="I205" s="18">
        <f>IF(AND(ISNUMBER(G205),ISNUMBER(H205),G205&gt;0),H205/G205,"")</f>
        <v/>
      </c>
      <c r="J205" s="15" t="n"/>
      <c r="K205" s="15" t="n"/>
      <c r="L205" s="17">
        <f>IF(A205="","",TEXT(A205,"yyyy-mm"))</f>
        <v/>
      </c>
      <c r="M205" s="17">
        <f>IF(AND(A205&lt;&gt;"",J205="Pending"),TODAY()-A205,"")</f>
        <v/>
      </c>
    </row>
    <row r="206">
      <c r="A206" s="16" t="n"/>
      <c r="B206" s="15" t="n"/>
      <c r="C206" s="15" t="n"/>
      <c r="D206" s="17">
        <f>IF($C206="","",IFERROR(INDEX(สินค้า!$A$5:$A$204,MATCH($C206,สินค้า!$B$5:$B$204,0)),"ไม่พบสินค้า"))</f>
        <v/>
      </c>
      <c r="E206" s="17">
        <f>IF($C206="","",IFERROR(INDEX(สินค้า!$C$5:$C$204,MATCH($C206,สินค้า!$B$5:$B$204,0)),"ไม่พบสินค้า"))</f>
        <v/>
      </c>
      <c r="F206" s="17">
        <f>IF($C206="","",IFERROR(INDEX(สินค้า!$D$5:$D$204,MATCH($C206,สินค้า!$B$5:$B$204,0)),"ไม่พบสินค้า"))</f>
        <v/>
      </c>
      <c r="G206" s="15" t="n"/>
      <c r="H206" s="15" t="n"/>
      <c r="I206" s="18">
        <f>IF(AND(ISNUMBER(G206),ISNUMBER(H206),G206&gt;0),H206/G206,"")</f>
        <v/>
      </c>
      <c r="J206" s="15" t="n"/>
      <c r="K206" s="15" t="n"/>
      <c r="L206" s="17">
        <f>IF(A206="","",TEXT(A206,"yyyy-mm"))</f>
        <v/>
      </c>
      <c r="M206" s="17">
        <f>IF(AND(A206&lt;&gt;"",J206="Pending"),TODAY()-A206,"")</f>
        <v/>
      </c>
    </row>
    <row r="207">
      <c r="A207" s="16" t="n"/>
      <c r="B207" s="15" t="n"/>
      <c r="C207" s="15" t="n"/>
      <c r="D207" s="17">
        <f>IF($C207="","",IFERROR(INDEX(สินค้า!$A$5:$A$204,MATCH($C207,สินค้า!$B$5:$B$204,0)),"ไม่พบสินค้า"))</f>
        <v/>
      </c>
      <c r="E207" s="17">
        <f>IF($C207="","",IFERROR(INDEX(สินค้า!$C$5:$C$204,MATCH($C207,สินค้า!$B$5:$B$204,0)),"ไม่พบสินค้า"))</f>
        <v/>
      </c>
      <c r="F207" s="17">
        <f>IF($C207="","",IFERROR(INDEX(สินค้า!$D$5:$D$204,MATCH($C207,สินค้า!$B$5:$B$204,0)),"ไม่พบสินค้า"))</f>
        <v/>
      </c>
      <c r="G207" s="15" t="n"/>
      <c r="H207" s="15" t="n"/>
      <c r="I207" s="18">
        <f>IF(AND(ISNUMBER(G207),ISNUMBER(H207),G207&gt;0),H207/G207,"")</f>
        <v/>
      </c>
      <c r="J207" s="15" t="n"/>
      <c r="K207" s="15" t="n"/>
      <c r="L207" s="17">
        <f>IF(A207="","",TEXT(A207,"yyyy-mm"))</f>
        <v/>
      </c>
      <c r="M207" s="17">
        <f>IF(AND(A207&lt;&gt;"",J207="Pending"),TODAY()-A207,"")</f>
        <v/>
      </c>
    </row>
    <row r="208">
      <c r="A208" s="16" t="n"/>
      <c r="B208" s="15" t="n"/>
      <c r="C208" s="15" t="n"/>
      <c r="D208" s="17">
        <f>IF($C208="","",IFERROR(INDEX(สินค้า!$A$5:$A$204,MATCH($C208,สินค้า!$B$5:$B$204,0)),"ไม่พบสินค้า"))</f>
        <v/>
      </c>
      <c r="E208" s="17">
        <f>IF($C208="","",IFERROR(INDEX(สินค้า!$C$5:$C$204,MATCH($C208,สินค้า!$B$5:$B$204,0)),"ไม่พบสินค้า"))</f>
        <v/>
      </c>
      <c r="F208" s="17">
        <f>IF($C208="","",IFERROR(INDEX(สินค้า!$D$5:$D$204,MATCH($C208,สินค้า!$B$5:$B$204,0)),"ไม่พบสินค้า"))</f>
        <v/>
      </c>
      <c r="G208" s="15" t="n"/>
      <c r="H208" s="15" t="n"/>
      <c r="I208" s="18">
        <f>IF(AND(ISNUMBER(G208),ISNUMBER(H208),G208&gt;0),H208/G208,"")</f>
        <v/>
      </c>
      <c r="J208" s="15" t="n"/>
      <c r="K208" s="15" t="n"/>
      <c r="L208" s="17">
        <f>IF(A208="","",TEXT(A208,"yyyy-mm"))</f>
        <v/>
      </c>
      <c r="M208" s="17">
        <f>IF(AND(A208&lt;&gt;"",J208="Pending"),TODAY()-A208,"")</f>
        <v/>
      </c>
    </row>
    <row r="209">
      <c r="A209" s="16" t="n"/>
      <c r="B209" s="15" t="n"/>
      <c r="C209" s="15" t="n"/>
      <c r="D209" s="17">
        <f>IF($C209="","",IFERROR(INDEX(สินค้า!$A$5:$A$204,MATCH($C209,สินค้า!$B$5:$B$204,0)),"ไม่พบสินค้า"))</f>
        <v/>
      </c>
      <c r="E209" s="17">
        <f>IF($C209="","",IFERROR(INDEX(สินค้า!$C$5:$C$204,MATCH($C209,สินค้า!$B$5:$B$204,0)),"ไม่พบสินค้า"))</f>
        <v/>
      </c>
      <c r="F209" s="17">
        <f>IF($C209="","",IFERROR(INDEX(สินค้า!$D$5:$D$204,MATCH($C209,สินค้า!$B$5:$B$204,0)),"ไม่พบสินค้า"))</f>
        <v/>
      </c>
      <c r="G209" s="15" t="n"/>
      <c r="H209" s="15" t="n"/>
      <c r="I209" s="18">
        <f>IF(AND(ISNUMBER(G209),ISNUMBER(H209),G209&gt;0),H209/G209,"")</f>
        <v/>
      </c>
      <c r="J209" s="15" t="n"/>
      <c r="K209" s="15" t="n"/>
      <c r="L209" s="17">
        <f>IF(A209="","",TEXT(A209,"yyyy-mm"))</f>
        <v/>
      </c>
      <c r="M209" s="17">
        <f>IF(AND(A209&lt;&gt;"",J209="Pending"),TODAY()-A209,"")</f>
        <v/>
      </c>
    </row>
    <row r="210">
      <c r="A210" s="16" t="n"/>
      <c r="B210" s="15" t="n"/>
      <c r="C210" s="15" t="n"/>
      <c r="D210" s="17">
        <f>IF($C210="","",IFERROR(INDEX(สินค้า!$A$5:$A$204,MATCH($C210,สินค้า!$B$5:$B$204,0)),"ไม่พบสินค้า"))</f>
        <v/>
      </c>
      <c r="E210" s="17">
        <f>IF($C210="","",IFERROR(INDEX(สินค้า!$C$5:$C$204,MATCH($C210,สินค้า!$B$5:$B$204,0)),"ไม่พบสินค้า"))</f>
        <v/>
      </c>
      <c r="F210" s="17">
        <f>IF($C210="","",IFERROR(INDEX(สินค้า!$D$5:$D$204,MATCH($C210,สินค้า!$B$5:$B$204,0)),"ไม่พบสินค้า"))</f>
        <v/>
      </c>
      <c r="G210" s="15" t="n"/>
      <c r="H210" s="15" t="n"/>
      <c r="I210" s="18">
        <f>IF(AND(ISNUMBER(G210),ISNUMBER(H210),G210&gt;0),H210/G210,"")</f>
        <v/>
      </c>
      <c r="J210" s="15" t="n"/>
      <c r="K210" s="15" t="n"/>
      <c r="L210" s="17">
        <f>IF(A210="","",TEXT(A210,"yyyy-mm"))</f>
        <v/>
      </c>
      <c r="M210" s="17">
        <f>IF(AND(A210&lt;&gt;"",J210="Pending"),TODAY()-A210,"")</f>
        <v/>
      </c>
    </row>
    <row r="211">
      <c r="A211" s="16" t="n"/>
      <c r="B211" s="15" t="n"/>
      <c r="C211" s="15" t="n"/>
      <c r="D211" s="17">
        <f>IF($C211="","",IFERROR(INDEX(สินค้า!$A$5:$A$204,MATCH($C211,สินค้า!$B$5:$B$204,0)),"ไม่พบสินค้า"))</f>
        <v/>
      </c>
      <c r="E211" s="17">
        <f>IF($C211="","",IFERROR(INDEX(สินค้า!$C$5:$C$204,MATCH($C211,สินค้า!$B$5:$B$204,0)),"ไม่พบสินค้า"))</f>
        <v/>
      </c>
      <c r="F211" s="17">
        <f>IF($C211="","",IFERROR(INDEX(สินค้า!$D$5:$D$204,MATCH($C211,สินค้า!$B$5:$B$204,0)),"ไม่พบสินค้า"))</f>
        <v/>
      </c>
      <c r="G211" s="15" t="n"/>
      <c r="H211" s="15" t="n"/>
      <c r="I211" s="18">
        <f>IF(AND(ISNUMBER(G211),ISNUMBER(H211),G211&gt;0),H211/G211,"")</f>
        <v/>
      </c>
      <c r="J211" s="15" t="n"/>
      <c r="K211" s="15" t="n"/>
      <c r="L211" s="17">
        <f>IF(A211="","",TEXT(A211,"yyyy-mm"))</f>
        <v/>
      </c>
      <c r="M211" s="17">
        <f>IF(AND(A211&lt;&gt;"",J211="Pending"),TODAY()-A211,"")</f>
        <v/>
      </c>
    </row>
    <row r="212">
      <c r="A212" s="16" t="n"/>
      <c r="B212" s="15" t="n"/>
      <c r="C212" s="15" t="n"/>
      <c r="D212" s="17">
        <f>IF($C212="","",IFERROR(INDEX(สินค้า!$A$5:$A$204,MATCH($C212,สินค้า!$B$5:$B$204,0)),"ไม่พบสินค้า"))</f>
        <v/>
      </c>
      <c r="E212" s="17">
        <f>IF($C212="","",IFERROR(INDEX(สินค้า!$C$5:$C$204,MATCH($C212,สินค้า!$B$5:$B$204,0)),"ไม่พบสินค้า"))</f>
        <v/>
      </c>
      <c r="F212" s="17">
        <f>IF($C212="","",IFERROR(INDEX(สินค้า!$D$5:$D$204,MATCH($C212,สินค้า!$B$5:$B$204,0)),"ไม่พบสินค้า"))</f>
        <v/>
      </c>
      <c r="G212" s="15" t="n"/>
      <c r="H212" s="15" t="n"/>
      <c r="I212" s="18">
        <f>IF(AND(ISNUMBER(G212),ISNUMBER(H212),G212&gt;0),H212/G212,"")</f>
        <v/>
      </c>
      <c r="J212" s="15" t="n"/>
      <c r="K212" s="15" t="n"/>
      <c r="L212" s="17">
        <f>IF(A212="","",TEXT(A212,"yyyy-mm"))</f>
        <v/>
      </c>
      <c r="M212" s="17">
        <f>IF(AND(A212&lt;&gt;"",J212="Pending"),TODAY()-A212,"")</f>
        <v/>
      </c>
    </row>
    <row r="213">
      <c r="A213" s="16" t="n"/>
      <c r="B213" s="15" t="n"/>
      <c r="C213" s="15" t="n"/>
      <c r="D213" s="17">
        <f>IF($C213="","",IFERROR(INDEX(สินค้า!$A$5:$A$204,MATCH($C213,สินค้า!$B$5:$B$204,0)),"ไม่พบสินค้า"))</f>
        <v/>
      </c>
      <c r="E213" s="17">
        <f>IF($C213="","",IFERROR(INDEX(สินค้า!$C$5:$C$204,MATCH($C213,สินค้า!$B$5:$B$204,0)),"ไม่พบสินค้า"))</f>
        <v/>
      </c>
      <c r="F213" s="17">
        <f>IF($C213="","",IFERROR(INDEX(สินค้า!$D$5:$D$204,MATCH($C213,สินค้า!$B$5:$B$204,0)),"ไม่พบสินค้า"))</f>
        <v/>
      </c>
      <c r="G213" s="15" t="n"/>
      <c r="H213" s="15" t="n"/>
      <c r="I213" s="18">
        <f>IF(AND(ISNUMBER(G213),ISNUMBER(H213),G213&gt;0),H213/G213,"")</f>
        <v/>
      </c>
      <c r="J213" s="15" t="n"/>
      <c r="K213" s="15" t="n"/>
      <c r="L213" s="17">
        <f>IF(A213="","",TEXT(A213,"yyyy-mm"))</f>
        <v/>
      </c>
      <c r="M213" s="17">
        <f>IF(AND(A213&lt;&gt;"",J213="Pending"),TODAY()-A213,"")</f>
        <v/>
      </c>
    </row>
    <row r="214">
      <c r="A214" s="16" t="n"/>
      <c r="B214" s="15" t="n"/>
      <c r="C214" s="15" t="n"/>
      <c r="D214" s="17">
        <f>IF($C214="","",IFERROR(INDEX(สินค้า!$A$5:$A$204,MATCH($C214,สินค้า!$B$5:$B$204,0)),"ไม่พบสินค้า"))</f>
        <v/>
      </c>
      <c r="E214" s="17">
        <f>IF($C214="","",IFERROR(INDEX(สินค้า!$C$5:$C$204,MATCH($C214,สินค้า!$B$5:$B$204,0)),"ไม่พบสินค้า"))</f>
        <v/>
      </c>
      <c r="F214" s="17">
        <f>IF($C214="","",IFERROR(INDEX(สินค้า!$D$5:$D$204,MATCH($C214,สินค้า!$B$5:$B$204,0)),"ไม่พบสินค้า"))</f>
        <v/>
      </c>
      <c r="G214" s="15" t="n"/>
      <c r="H214" s="15" t="n"/>
      <c r="I214" s="18">
        <f>IF(AND(ISNUMBER(G214),ISNUMBER(H214),G214&gt;0),H214/G214,"")</f>
        <v/>
      </c>
      <c r="J214" s="15" t="n"/>
      <c r="K214" s="15" t="n"/>
      <c r="L214" s="17">
        <f>IF(A214="","",TEXT(A214,"yyyy-mm"))</f>
        <v/>
      </c>
      <c r="M214" s="17">
        <f>IF(AND(A214&lt;&gt;"",J214="Pending"),TODAY()-A214,"")</f>
        <v/>
      </c>
    </row>
    <row r="215">
      <c r="A215" s="16" t="n"/>
      <c r="B215" s="15" t="n"/>
      <c r="C215" s="15" t="n"/>
      <c r="D215" s="17">
        <f>IF($C215="","",IFERROR(INDEX(สินค้า!$A$5:$A$204,MATCH($C215,สินค้า!$B$5:$B$204,0)),"ไม่พบสินค้า"))</f>
        <v/>
      </c>
      <c r="E215" s="17">
        <f>IF($C215="","",IFERROR(INDEX(สินค้า!$C$5:$C$204,MATCH($C215,สินค้า!$B$5:$B$204,0)),"ไม่พบสินค้า"))</f>
        <v/>
      </c>
      <c r="F215" s="17">
        <f>IF($C215="","",IFERROR(INDEX(สินค้า!$D$5:$D$204,MATCH($C215,สินค้า!$B$5:$B$204,0)),"ไม่พบสินค้า"))</f>
        <v/>
      </c>
      <c r="G215" s="15" t="n"/>
      <c r="H215" s="15" t="n"/>
      <c r="I215" s="18">
        <f>IF(AND(ISNUMBER(G215),ISNUMBER(H215),G215&gt;0),H215/G215,"")</f>
        <v/>
      </c>
      <c r="J215" s="15" t="n"/>
      <c r="K215" s="15" t="n"/>
      <c r="L215" s="17">
        <f>IF(A215="","",TEXT(A215,"yyyy-mm"))</f>
        <v/>
      </c>
      <c r="M215" s="17">
        <f>IF(AND(A215&lt;&gt;"",J215="Pending"),TODAY()-A215,"")</f>
        <v/>
      </c>
    </row>
    <row r="216">
      <c r="A216" s="16" t="n"/>
      <c r="B216" s="15" t="n"/>
      <c r="C216" s="15" t="n"/>
      <c r="D216" s="17">
        <f>IF($C216="","",IFERROR(INDEX(สินค้า!$A$5:$A$204,MATCH($C216,สินค้า!$B$5:$B$204,0)),"ไม่พบสินค้า"))</f>
        <v/>
      </c>
      <c r="E216" s="17">
        <f>IF($C216="","",IFERROR(INDEX(สินค้า!$C$5:$C$204,MATCH($C216,สินค้า!$B$5:$B$204,0)),"ไม่พบสินค้า"))</f>
        <v/>
      </c>
      <c r="F216" s="17">
        <f>IF($C216="","",IFERROR(INDEX(สินค้า!$D$5:$D$204,MATCH($C216,สินค้า!$B$5:$B$204,0)),"ไม่พบสินค้า"))</f>
        <v/>
      </c>
      <c r="G216" s="15" t="n"/>
      <c r="H216" s="15" t="n"/>
      <c r="I216" s="18">
        <f>IF(AND(ISNUMBER(G216),ISNUMBER(H216),G216&gt;0),H216/G216,"")</f>
        <v/>
      </c>
      <c r="J216" s="15" t="n"/>
      <c r="K216" s="15" t="n"/>
      <c r="L216" s="17">
        <f>IF(A216="","",TEXT(A216,"yyyy-mm"))</f>
        <v/>
      </c>
      <c r="M216" s="17">
        <f>IF(AND(A216&lt;&gt;"",J216="Pending"),TODAY()-A216,"")</f>
        <v/>
      </c>
    </row>
    <row r="217">
      <c r="A217" s="16" t="n"/>
      <c r="B217" s="15" t="n"/>
      <c r="C217" s="15" t="n"/>
      <c r="D217" s="17">
        <f>IF($C217="","",IFERROR(INDEX(สินค้า!$A$5:$A$204,MATCH($C217,สินค้า!$B$5:$B$204,0)),"ไม่พบสินค้า"))</f>
        <v/>
      </c>
      <c r="E217" s="17">
        <f>IF($C217="","",IFERROR(INDEX(สินค้า!$C$5:$C$204,MATCH($C217,สินค้า!$B$5:$B$204,0)),"ไม่พบสินค้า"))</f>
        <v/>
      </c>
      <c r="F217" s="17">
        <f>IF($C217="","",IFERROR(INDEX(สินค้า!$D$5:$D$204,MATCH($C217,สินค้า!$B$5:$B$204,0)),"ไม่พบสินค้า"))</f>
        <v/>
      </c>
      <c r="G217" s="15" t="n"/>
      <c r="H217" s="15" t="n"/>
      <c r="I217" s="18">
        <f>IF(AND(ISNUMBER(G217),ISNUMBER(H217),G217&gt;0),H217/G217,"")</f>
        <v/>
      </c>
      <c r="J217" s="15" t="n"/>
      <c r="K217" s="15" t="n"/>
      <c r="L217" s="17">
        <f>IF(A217="","",TEXT(A217,"yyyy-mm"))</f>
        <v/>
      </c>
      <c r="M217" s="17">
        <f>IF(AND(A217&lt;&gt;"",J217="Pending"),TODAY()-A217,"")</f>
        <v/>
      </c>
    </row>
    <row r="218">
      <c r="A218" s="16" t="n"/>
      <c r="B218" s="15" t="n"/>
      <c r="C218" s="15" t="n"/>
      <c r="D218" s="17">
        <f>IF($C218="","",IFERROR(INDEX(สินค้า!$A$5:$A$204,MATCH($C218,สินค้า!$B$5:$B$204,0)),"ไม่พบสินค้า"))</f>
        <v/>
      </c>
      <c r="E218" s="17">
        <f>IF($C218="","",IFERROR(INDEX(สินค้า!$C$5:$C$204,MATCH($C218,สินค้า!$B$5:$B$204,0)),"ไม่พบสินค้า"))</f>
        <v/>
      </c>
      <c r="F218" s="17">
        <f>IF($C218="","",IFERROR(INDEX(สินค้า!$D$5:$D$204,MATCH($C218,สินค้า!$B$5:$B$204,0)),"ไม่พบสินค้า"))</f>
        <v/>
      </c>
      <c r="G218" s="15" t="n"/>
      <c r="H218" s="15" t="n"/>
      <c r="I218" s="18">
        <f>IF(AND(ISNUMBER(G218),ISNUMBER(H218),G218&gt;0),H218/G218,"")</f>
        <v/>
      </c>
      <c r="J218" s="15" t="n"/>
      <c r="K218" s="15" t="n"/>
      <c r="L218" s="17">
        <f>IF(A218="","",TEXT(A218,"yyyy-mm"))</f>
        <v/>
      </c>
      <c r="M218" s="17">
        <f>IF(AND(A218&lt;&gt;"",J218="Pending"),TODAY()-A218,"")</f>
        <v/>
      </c>
    </row>
    <row r="219">
      <c r="A219" s="16" t="n"/>
      <c r="B219" s="15" t="n"/>
      <c r="C219" s="15" t="n"/>
      <c r="D219" s="17">
        <f>IF($C219="","",IFERROR(INDEX(สินค้า!$A$5:$A$204,MATCH($C219,สินค้า!$B$5:$B$204,0)),"ไม่พบสินค้า"))</f>
        <v/>
      </c>
      <c r="E219" s="17">
        <f>IF($C219="","",IFERROR(INDEX(สินค้า!$C$5:$C$204,MATCH($C219,สินค้า!$B$5:$B$204,0)),"ไม่พบสินค้า"))</f>
        <v/>
      </c>
      <c r="F219" s="17">
        <f>IF($C219="","",IFERROR(INDEX(สินค้า!$D$5:$D$204,MATCH($C219,สินค้า!$B$5:$B$204,0)),"ไม่พบสินค้า"))</f>
        <v/>
      </c>
      <c r="G219" s="15" t="n"/>
      <c r="H219" s="15" t="n"/>
      <c r="I219" s="18">
        <f>IF(AND(ISNUMBER(G219),ISNUMBER(H219),G219&gt;0),H219/G219,"")</f>
        <v/>
      </c>
      <c r="J219" s="15" t="n"/>
      <c r="K219" s="15" t="n"/>
      <c r="L219" s="17">
        <f>IF(A219="","",TEXT(A219,"yyyy-mm"))</f>
        <v/>
      </c>
      <c r="M219" s="17">
        <f>IF(AND(A219&lt;&gt;"",J219="Pending"),TODAY()-A219,"")</f>
        <v/>
      </c>
    </row>
    <row r="220">
      <c r="A220" s="16" t="n"/>
      <c r="B220" s="15" t="n"/>
      <c r="C220" s="15" t="n"/>
      <c r="D220" s="17">
        <f>IF($C220="","",IFERROR(INDEX(สินค้า!$A$5:$A$204,MATCH($C220,สินค้า!$B$5:$B$204,0)),"ไม่พบสินค้า"))</f>
        <v/>
      </c>
      <c r="E220" s="17">
        <f>IF($C220="","",IFERROR(INDEX(สินค้า!$C$5:$C$204,MATCH($C220,สินค้า!$B$5:$B$204,0)),"ไม่พบสินค้า"))</f>
        <v/>
      </c>
      <c r="F220" s="17">
        <f>IF($C220="","",IFERROR(INDEX(สินค้า!$D$5:$D$204,MATCH($C220,สินค้า!$B$5:$B$204,0)),"ไม่พบสินค้า"))</f>
        <v/>
      </c>
      <c r="G220" s="15" t="n"/>
      <c r="H220" s="15" t="n"/>
      <c r="I220" s="18">
        <f>IF(AND(ISNUMBER(G220),ISNUMBER(H220),G220&gt;0),H220/G220,"")</f>
        <v/>
      </c>
      <c r="J220" s="15" t="n"/>
      <c r="K220" s="15" t="n"/>
      <c r="L220" s="17">
        <f>IF(A220="","",TEXT(A220,"yyyy-mm"))</f>
        <v/>
      </c>
      <c r="M220" s="17">
        <f>IF(AND(A220&lt;&gt;"",J220="Pending"),TODAY()-A220,"")</f>
        <v/>
      </c>
    </row>
    <row r="221">
      <c r="A221" s="16" t="n"/>
      <c r="B221" s="15" t="n"/>
      <c r="C221" s="15" t="n"/>
      <c r="D221" s="17">
        <f>IF($C221="","",IFERROR(INDEX(สินค้า!$A$5:$A$204,MATCH($C221,สินค้า!$B$5:$B$204,0)),"ไม่พบสินค้า"))</f>
        <v/>
      </c>
      <c r="E221" s="17">
        <f>IF($C221="","",IFERROR(INDEX(สินค้า!$C$5:$C$204,MATCH($C221,สินค้า!$B$5:$B$204,0)),"ไม่พบสินค้า"))</f>
        <v/>
      </c>
      <c r="F221" s="17">
        <f>IF($C221="","",IFERROR(INDEX(สินค้า!$D$5:$D$204,MATCH($C221,สินค้า!$B$5:$B$204,0)),"ไม่พบสินค้า"))</f>
        <v/>
      </c>
      <c r="G221" s="15" t="n"/>
      <c r="H221" s="15" t="n"/>
      <c r="I221" s="18">
        <f>IF(AND(ISNUMBER(G221),ISNUMBER(H221),G221&gt;0),H221/G221,"")</f>
        <v/>
      </c>
      <c r="J221" s="15" t="n"/>
      <c r="K221" s="15" t="n"/>
      <c r="L221" s="17">
        <f>IF(A221="","",TEXT(A221,"yyyy-mm"))</f>
        <v/>
      </c>
      <c r="M221" s="17">
        <f>IF(AND(A221&lt;&gt;"",J221="Pending"),TODAY()-A221,"")</f>
        <v/>
      </c>
    </row>
    <row r="222">
      <c r="A222" s="16" t="n"/>
      <c r="B222" s="15" t="n"/>
      <c r="C222" s="15" t="n"/>
      <c r="D222" s="17">
        <f>IF($C222="","",IFERROR(INDEX(สินค้า!$A$5:$A$204,MATCH($C222,สินค้า!$B$5:$B$204,0)),"ไม่พบสินค้า"))</f>
        <v/>
      </c>
      <c r="E222" s="17">
        <f>IF($C222="","",IFERROR(INDEX(สินค้า!$C$5:$C$204,MATCH($C222,สินค้า!$B$5:$B$204,0)),"ไม่พบสินค้า"))</f>
        <v/>
      </c>
      <c r="F222" s="17">
        <f>IF($C222="","",IFERROR(INDEX(สินค้า!$D$5:$D$204,MATCH($C222,สินค้า!$B$5:$B$204,0)),"ไม่พบสินค้า"))</f>
        <v/>
      </c>
      <c r="G222" s="15" t="n"/>
      <c r="H222" s="15" t="n"/>
      <c r="I222" s="18">
        <f>IF(AND(ISNUMBER(G222),ISNUMBER(H222),G222&gt;0),H222/G222,"")</f>
        <v/>
      </c>
      <c r="J222" s="15" t="n"/>
      <c r="K222" s="15" t="n"/>
      <c r="L222" s="17">
        <f>IF(A222="","",TEXT(A222,"yyyy-mm"))</f>
        <v/>
      </c>
      <c r="M222" s="17">
        <f>IF(AND(A222&lt;&gt;"",J222="Pending"),TODAY()-A222,"")</f>
        <v/>
      </c>
    </row>
    <row r="223">
      <c r="A223" s="16" t="n"/>
      <c r="B223" s="15" t="n"/>
      <c r="C223" s="15" t="n"/>
      <c r="D223" s="17">
        <f>IF($C223="","",IFERROR(INDEX(สินค้า!$A$5:$A$204,MATCH($C223,สินค้า!$B$5:$B$204,0)),"ไม่พบสินค้า"))</f>
        <v/>
      </c>
      <c r="E223" s="17">
        <f>IF($C223="","",IFERROR(INDEX(สินค้า!$C$5:$C$204,MATCH($C223,สินค้า!$B$5:$B$204,0)),"ไม่พบสินค้า"))</f>
        <v/>
      </c>
      <c r="F223" s="17">
        <f>IF($C223="","",IFERROR(INDEX(สินค้า!$D$5:$D$204,MATCH($C223,สินค้า!$B$5:$B$204,0)),"ไม่พบสินค้า"))</f>
        <v/>
      </c>
      <c r="G223" s="15" t="n"/>
      <c r="H223" s="15" t="n"/>
      <c r="I223" s="18">
        <f>IF(AND(ISNUMBER(G223),ISNUMBER(H223),G223&gt;0),H223/G223,"")</f>
        <v/>
      </c>
      <c r="J223" s="15" t="n"/>
      <c r="K223" s="15" t="n"/>
      <c r="L223" s="17">
        <f>IF(A223="","",TEXT(A223,"yyyy-mm"))</f>
        <v/>
      </c>
      <c r="M223" s="17">
        <f>IF(AND(A223&lt;&gt;"",J223="Pending"),TODAY()-A223,"")</f>
        <v/>
      </c>
    </row>
    <row r="224">
      <c r="A224" s="16" t="n"/>
      <c r="B224" s="15" t="n"/>
      <c r="C224" s="15" t="n"/>
      <c r="D224" s="17">
        <f>IF($C224="","",IFERROR(INDEX(สินค้า!$A$5:$A$204,MATCH($C224,สินค้า!$B$5:$B$204,0)),"ไม่พบสินค้า"))</f>
        <v/>
      </c>
      <c r="E224" s="17">
        <f>IF($C224="","",IFERROR(INDEX(สินค้า!$C$5:$C$204,MATCH($C224,สินค้า!$B$5:$B$204,0)),"ไม่พบสินค้า"))</f>
        <v/>
      </c>
      <c r="F224" s="17">
        <f>IF($C224="","",IFERROR(INDEX(สินค้า!$D$5:$D$204,MATCH($C224,สินค้า!$B$5:$B$204,0)),"ไม่พบสินค้า"))</f>
        <v/>
      </c>
      <c r="G224" s="15" t="n"/>
      <c r="H224" s="15" t="n"/>
      <c r="I224" s="18">
        <f>IF(AND(ISNUMBER(G224),ISNUMBER(H224),G224&gt;0),H224/G224,"")</f>
        <v/>
      </c>
      <c r="J224" s="15" t="n"/>
      <c r="K224" s="15" t="n"/>
      <c r="L224" s="17">
        <f>IF(A224="","",TEXT(A224,"yyyy-mm"))</f>
        <v/>
      </c>
      <c r="M224" s="17">
        <f>IF(AND(A224&lt;&gt;"",J224="Pending"),TODAY()-A224,"")</f>
        <v/>
      </c>
    </row>
    <row r="225">
      <c r="A225" s="16" t="n"/>
      <c r="B225" s="15" t="n"/>
      <c r="C225" s="15" t="n"/>
      <c r="D225" s="17">
        <f>IF($C225="","",IFERROR(INDEX(สินค้า!$A$5:$A$204,MATCH($C225,สินค้า!$B$5:$B$204,0)),"ไม่พบสินค้า"))</f>
        <v/>
      </c>
      <c r="E225" s="17">
        <f>IF($C225="","",IFERROR(INDEX(สินค้า!$C$5:$C$204,MATCH($C225,สินค้า!$B$5:$B$204,0)),"ไม่พบสินค้า"))</f>
        <v/>
      </c>
      <c r="F225" s="17">
        <f>IF($C225="","",IFERROR(INDEX(สินค้า!$D$5:$D$204,MATCH($C225,สินค้า!$B$5:$B$204,0)),"ไม่พบสินค้า"))</f>
        <v/>
      </c>
      <c r="G225" s="15" t="n"/>
      <c r="H225" s="15" t="n"/>
      <c r="I225" s="18">
        <f>IF(AND(ISNUMBER(G225),ISNUMBER(H225),G225&gt;0),H225/G225,"")</f>
        <v/>
      </c>
      <c r="J225" s="15" t="n"/>
      <c r="K225" s="15" t="n"/>
      <c r="L225" s="17">
        <f>IF(A225="","",TEXT(A225,"yyyy-mm"))</f>
        <v/>
      </c>
      <c r="M225" s="17">
        <f>IF(AND(A225&lt;&gt;"",J225="Pending"),TODAY()-A225,"")</f>
        <v/>
      </c>
    </row>
    <row r="226">
      <c r="A226" s="16" t="n"/>
      <c r="B226" s="15" t="n"/>
      <c r="C226" s="15" t="n"/>
      <c r="D226" s="17">
        <f>IF($C226="","",IFERROR(INDEX(สินค้า!$A$5:$A$204,MATCH($C226,สินค้า!$B$5:$B$204,0)),"ไม่พบสินค้า"))</f>
        <v/>
      </c>
      <c r="E226" s="17">
        <f>IF($C226="","",IFERROR(INDEX(สินค้า!$C$5:$C$204,MATCH($C226,สินค้า!$B$5:$B$204,0)),"ไม่พบสินค้า"))</f>
        <v/>
      </c>
      <c r="F226" s="17">
        <f>IF($C226="","",IFERROR(INDEX(สินค้า!$D$5:$D$204,MATCH($C226,สินค้า!$B$5:$B$204,0)),"ไม่พบสินค้า"))</f>
        <v/>
      </c>
      <c r="G226" s="15" t="n"/>
      <c r="H226" s="15" t="n"/>
      <c r="I226" s="18">
        <f>IF(AND(ISNUMBER(G226),ISNUMBER(H226),G226&gt;0),H226/G226,"")</f>
        <v/>
      </c>
      <c r="J226" s="15" t="n"/>
      <c r="K226" s="15" t="n"/>
      <c r="L226" s="17">
        <f>IF(A226="","",TEXT(A226,"yyyy-mm"))</f>
        <v/>
      </c>
      <c r="M226" s="17">
        <f>IF(AND(A226&lt;&gt;"",J226="Pending"),TODAY()-A226,"")</f>
        <v/>
      </c>
    </row>
    <row r="227">
      <c r="A227" s="16" t="n"/>
      <c r="B227" s="15" t="n"/>
      <c r="C227" s="15" t="n"/>
      <c r="D227" s="17">
        <f>IF($C227="","",IFERROR(INDEX(สินค้า!$A$5:$A$204,MATCH($C227,สินค้า!$B$5:$B$204,0)),"ไม่พบสินค้า"))</f>
        <v/>
      </c>
      <c r="E227" s="17">
        <f>IF($C227="","",IFERROR(INDEX(สินค้า!$C$5:$C$204,MATCH($C227,สินค้า!$B$5:$B$204,0)),"ไม่พบสินค้า"))</f>
        <v/>
      </c>
      <c r="F227" s="17">
        <f>IF($C227="","",IFERROR(INDEX(สินค้า!$D$5:$D$204,MATCH($C227,สินค้า!$B$5:$B$204,0)),"ไม่พบสินค้า"))</f>
        <v/>
      </c>
      <c r="G227" s="15" t="n"/>
      <c r="H227" s="15" t="n"/>
      <c r="I227" s="18">
        <f>IF(AND(ISNUMBER(G227),ISNUMBER(H227),G227&gt;0),H227/G227,"")</f>
        <v/>
      </c>
      <c r="J227" s="15" t="n"/>
      <c r="K227" s="15" t="n"/>
      <c r="L227" s="17">
        <f>IF(A227="","",TEXT(A227,"yyyy-mm"))</f>
        <v/>
      </c>
      <c r="M227" s="17">
        <f>IF(AND(A227&lt;&gt;"",J227="Pending"),TODAY()-A227,"")</f>
        <v/>
      </c>
    </row>
    <row r="228">
      <c r="A228" s="16" t="n"/>
      <c r="B228" s="15" t="n"/>
      <c r="C228" s="15" t="n"/>
      <c r="D228" s="17">
        <f>IF($C228="","",IFERROR(INDEX(สินค้า!$A$5:$A$204,MATCH($C228,สินค้า!$B$5:$B$204,0)),"ไม่พบสินค้า"))</f>
        <v/>
      </c>
      <c r="E228" s="17">
        <f>IF($C228="","",IFERROR(INDEX(สินค้า!$C$5:$C$204,MATCH($C228,สินค้า!$B$5:$B$204,0)),"ไม่พบสินค้า"))</f>
        <v/>
      </c>
      <c r="F228" s="17">
        <f>IF($C228="","",IFERROR(INDEX(สินค้า!$D$5:$D$204,MATCH($C228,สินค้า!$B$5:$B$204,0)),"ไม่พบสินค้า"))</f>
        <v/>
      </c>
      <c r="G228" s="15" t="n"/>
      <c r="H228" s="15" t="n"/>
      <c r="I228" s="18">
        <f>IF(AND(ISNUMBER(G228),ISNUMBER(H228),G228&gt;0),H228/G228,"")</f>
        <v/>
      </c>
      <c r="J228" s="15" t="n"/>
      <c r="K228" s="15" t="n"/>
      <c r="L228" s="17">
        <f>IF(A228="","",TEXT(A228,"yyyy-mm"))</f>
        <v/>
      </c>
      <c r="M228" s="17">
        <f>IF(AND(A228&lt;&gt;"",J228="Pending"),TODAY()-A228,"")</f>
        <v/>
      </c>
    </row>
    <row r="229">
      <c r="A229" s="16" t="n"/>
      <c r="B229" s="15" t="n"/>
      <c r="C229" s="15" t="n"/>
      <c r="D229" s="17">
        <f>IF($C229="","",IFERROR(INDEX(สินค้า!$A$5:$A$204,MATCH($C229,สินค้า!$B$5:$B$204,0)),"ไม่พบสินค้า"))</f>
        <v/>
      </c>
      <c r="E229" s="17">
        <f>IF($C229="","",IFERROR(INDEX(สินค้า!$C$5:$C$204,MATCH($C229,สินค้า!$B$5:$B$204,0)),"ไม่พบสินค้า"))</f>
        <v/>
      </c>
      <c r="F229" s="17">
        <f>IF($C229="","",IFERROR(INDEX(สินค้า!$D$5:$D$204,MATCH($C229,สินค้า!$B$5:$B$204,0)),"ไม่พบสินค้า"))</f>
        <v/>
      </c>
      <c r="G229" s="15" t="n"/>
      <c r="H229" s="15" t="n"/>
      <c r="I229" s="18">
        <f>IF(AND(ISNUMBER(G229),ISNUMBER(H229),G229&gt;0),H229/G229,"")</f>
        <v/>
      </c>
      <c r="J229" s="15" t="n"/>
      <c r="K229" s="15" t="n"/>
      <c r="L229" s="17">
        <f>IF(A229="","",TEXT(A229,"yyyy-mm"))</f>
        <v/>
      </c>
      <c r="M229" s="17">
        <f>IF(AND(A229&lt;&gt;"",J229="Pending"),TODAY()-A229,"")</f>
        <v/>
      </c>
    </row>
    <row r="230">
      <c r="A230" s="16" t="n"/>
      <c r="B230" s="15" t="n"/>
      <c r="C230" s="15" t="n"/>
      <c r="D230" s="17">
        <f>IF($C230="","",IFERROR(INDEX(สินค้า!$A$5:$A$204,MATCH($C230,สินค้า!$B$5:$B$204,0)),"ไม่พบสินค้า"))</f>
        <v/>
      </c>
      <c r="E230" s="17">
        <f>IF($C230="","",IFERROR(INDEX(สินค้า!$C$5:$C$204,MATCH($C230,สินค้า!$B$5:$B$204,0)),"ไม่พบสินค้า"))</f>
        <v/>
      </c>
      <c r="F230" s="17">
        <f>IF($C230="","",IFERROR(INDEX(สินค้า!$D$5:$D$204,MATCH($C230,สินค้า!$B$5:$B$204,0)),"ไม่พบสินค้า"))</f>
        <v/>
      </c>
      <c r="G230" s="15" t="n"/>
      <c r="H230" s="15" t="n"/>
      <c r="I230" s="18">
        <f>IF(AND(ISNUMBER(G230),ISNUMBER(H230),G230&gt;0),H230/G230,"")</f>
        <v/>
      </c>
      <c r="J230" s="15" t="n"/>
      <c r="K230" s="15" t="n"/>
      <c r="L230" s="17">
        <f>IF(A230="","",TEXT(A230,"yyyy-mm"))</f>
        <v/>
      </c>
      <c r="M230" s="17">
        <f>IF(AND(A230&lt;&gt;"",J230="Pending"),TODAY()-A230,"")</f>
        <v/>
      </c>
    </row>
    <row r="231">
      <c r="A231" s="16" t="n"/>
      <c r="B231" s="15" t="n"/>
      <c r="C231" s="15" t="n"/>
      <c r="D231" s="17">
        <f>IF($C231="","",IFERROR(INDEX(สินค้า!$A$5:$A$204,MATCH($C231,สินค้า!$B$5:$B$204,0)),"ไม่พบสินค้า"))</f>
        <v/>
      </c>
      <c r="E231" s="17">
        <f>IF($C231="","",IFERROR(INDEX(สินค้า!$C$5:$C$204,MATCH($C231,สินค้า!$B$5:$B$204,0)),"ไม่พบสินค้า"))</f>
        <v/>
      </c>
      <c r="F231" s="17">
        <f>IF($C231="","",IFERROR(INDEX(สินค้า!$D$5:$D$204,MATCH($C231,สินค้า!$B$5:$B$204,0)),"ไม่พบสินค้า"))</f>
        <v/>
      </c>
      <c r="G231" s="15" t="n"/>
      <c r="H231" s="15" t="n"/>
      <c r="I231" s="18">
        <f>IF(AND(ISNUMBER(G231),ISNUMBER(H231),G231&gt;0),H231/G231,"")</f>
        <v/>
      </c>
      <c r="J231" s="15" t="n"/>
      <c r="K231" s="15" t="n"/>
      <c r="L231" s="17">
        <f>IF(A231="","",TEXT(A231,"yyyy-mm"))</f>
        <v/>
      </c>
      <c r="M231" s="17">
        <f>IF(AND(A231&lt;&gt;"",J231="Pending"),TODAY()-A231,"")</f>
        <v/>
      </c>
    </row>
    <row r="232">
      <c r="A232" s="16" t="n"/>
      <c r="B232" s="15" t="n"/>
      <c r="C232" s="15" t="n"/>
      <c r="D232" s="17">
        <f>IF($C232="","",IFERROR(INDEX(สินค้า!$A$5:$A$204,MATCH($C232,สินค้า!$B$5:$B$204,0)),"ไม่พบสินค้า"))</f>
        <v/>
      </c>
      <c r="E232" s="17">
        <f>IF($C232="","",IFERROR(INDEX(สินค้า!$C$5:$C$204,MATCH($C232,สินค้า!$B$5:$B$204,0)),"ไม่พบสินค้า"))</f>
        <v/>
      </c>
      <c r="F232" s="17">
        <f>IF($C232="","",IFERROR(INDEX(สินค้า!$D$5:$D$204,MATCH($C232,สินค้า!$B$5:$B$204,0)),"ไม่พบสินค้า"))</f>
        <v/>
      </c>
      <c r="G232" s="15" t="n"/>
      <c r="H232" s="15" t="n"/>
      <c r="I232" s="18">
        <f>IF(AND(ISNUMBER(G232),ISNUMBER(H232),G232&gt;0),H232/G232,"")</f>
        <v/>
      </c>
      <c r="J232" s="15" t="n"/>
      <c r="K232" s="15" t="n"/>
      <c r="L232" s="17">
        <f>IF(A232="","",TEXT(A232,"yyyy-mm"))</f>
        <v/>
      </c>
      <c r="M232" s="17">
        <f>IF(AND(A232&lt;&gt;"",J232="Pending"),TODAY()-A232,"")</f>
        <v/>
      </c>
    </row>
    <row r="233">
      <c r="A233" s="16" t="n"/>
      <c r="B233" s="15" t="n"/>
      <c r="C233" s="15" t="n"/>
      <c r="D233" s="17">
        <f>IF($C233="","",IFERROR(INDEX(สินค้า!$A$5:$A$204,MATCH($C233,สินค้า!$B$5:$B$204,0)),"ไม่พบสินค้า"))</f>
        <v/>
      </c>
      <c r="E233" s="17">
        <f>IF($C233="","",IFERROR(INDEX(สินค้า!$C$5:$C$204,MATCH($C233,สินค้า!$B$5:$B$204,0)),"ไม่พบสินค้า"))</f>
        <v/>
      </c>
      <c r="F233" s="17">
        <f>IF($C233="","",IFERROR(INDEX(สินค้า!$D$5:$D$204,MATCH($C233,สินค้า!$B$5:$B$204,0)),"ไม่พบสินค้า"))</f>
        <v/>
      </c>
      <c r="G233" s="15" t="n"/>
      <c r="H233" s="15" t="n"/>
      <c r="I233" s="18">
        <f>IF(AND(ISNUMBER(G233),ISNUMBER(H233),G233&gt;0),H233/G233,"")</f>
        <v/>
      </c>
      <c r="J233" s="15" t="n"/>
      <c r="K233" s="15" t="n"/>
      <c r="L233" s="17">
        <f>IF(A233="","",TEXT(A233,"yyyy-mm"))</f>
        <v/>
      </c>
      <c r="M233" s="17">
        <f>IF(AND(A233&lt;&gt;"",J233="Pending"),TODAY()-A233,"")</f>
        <v/>
      </c>
    </row>
    <row r="234">
      <c r="A234" s="16" t="n"/>
      <c r="B234" s="15" t="n"/>
      <c r="C234" s="15" t="n"/>
      <c r="D234" s="17">
        <f>IF($C234="","",IFERROR(INDEX(สินค้า!$A$5:$A$204,MATCH($C234,สินค้า!$B$5:$B$204,0)),"ไม่พบสินค้า"))</f>
        <v/>
      </c>
      <c r="E234" s="17">
        <f>IF($C234="","",IFERROR(INDEX(สินค้า!$C$5:$C$204,MATCH($C234,สินค้า!$B$5:$B$204,0)),"ไม่พบสินค้า"))</f>
        <v/>
      </c>
      <c r="F234" s="17">
        <f>IF($C234="","",IFERROR(INDEX(สินค้า!$D$5:$D$204,MATCH($C234,สินค้า!$B$5:$B$204,0)),"ไม่พบสินค้า"))</f>
        <v/>
      </c>
      <c r="G234" s="15" t="n"/>
      <c r="H234" s="15" t="n"/>
      <c r="I234" s="18">
        <f>IF(AND(ISNUMBER(G234),ISNUMBER(H234),G234&gt;0),H234/G234,"")</f>
        <v/>
      </c>
      <c r="J234" s="15" t="n"/>
      <c r="K234" s="15" t="n"/>
      <c r="L234" s="17">
        <f>IF(A234="","",TEXT(A234,"yyyy-mm"))</f>
        <v/>
      </c>
      <c r="M234" s="17">
        <f>IF(AND(A234&lt;&gt;"",J234="Pending"),TODAY()-A234,"")</f>
        <v/>
      </c>
    </row>
    <row r="235">
      <c r="A235" s="16" t="n"/>
      <c r="B235" s="15" t="n"/>
      <c r="C235" s="15" t="n"/>
      <c r="D235" s="17">
        <f>IF($C235="","",IFERROR(INDEX(สินค้า!$A$5:$A$204,MATCH($C235,สินค้า!$B$5:$B$204,0)),"ไม่พบสินค้า"))</f>
        <v/>
      </c>
      <c r="E235" s="17">
        <f>IF($C235="","",IFERROR(INDEX(สินค้า!$C$5:$C$204,MATCH($C235,สินค้า!$B$5:$B$204,0)),"ไม่พบสินค้า"))</f>
        <v/>
      </c>
      <c r="F235" s="17">
        <f>IF($C235="","",IFERROR(INDEX(สินค้า!$D$5:$D$204,MATCH($C235,สินค้า!$B$5:$B$204,0)),"ไม่พบสินค้า"))</f>
        <v/>
      </c>
      <c r="G235" s="15" t="n"/>
      <c r="H235" s="15" t="n"/>
      <c r="I235" s="18">
        <f>IF(AND(ISNUMBER(G235),ISNUMBER(H235),G235&gt;0),H235/G235,"")</f>
        <v/>
      </c>
      <c r="J235" s="15" t="n"/>
      <c r="K235" s="15" t="n"/>
      <c r="L235" s="17">
        <f>IF(A235="","",TEXT(A235,"yyyy-mm"))</f>
        <v/>
      </c>
      <c r="M235" s="17">
        <f>IF(AND(A235&lt;&gt;"",J235="Pending"),TODAY()-A235,"")</f>
        <v/>
      </c>
    </row>
    <row r="236">
      <c r="A236" s="16" t="n"/>
      <c r="B236" s="15" t="n"/>
      <c r="C236" s="15" t="n"/>
      <c r="D236" s="17">
        <f>IF($C236="","",IFERROR(INDEX(สินค้า!$A$5:$A$204,MATCH($C236,สินค้า!$B$5:$B$204,0)),"ไม่พบสินค้า"))</f>
        <v/>
      </c>
      <c r="E236" s="17">
        <f>IF($C236="","",IFERROR(INDEX(สินค้า!$C$5:$C$204,MATCH($C236,สินค้า!$B$5:$B$204,0)),"ไม่พบสินค้า"))</f>
        <v/>
      </c>
      <c r="F236" s="17">
        <f>IF($C236="","",IFERROR(INDEX(สินค้า!$D$5:$D$204,MATCH($C236,สินค้า!$B$5:$B$204,0)),"ไม่พบสินค้า"))</f>
        <v/>
      </c>
      <c r="G236" s="15" t="n"/>
      <c r="H236" s="15" t="n"/>
      <c r="I236" s="18">
        <f>IF(AND(ISNUMBER(G236),ISNUMBER(H236),G236&gt;0),H236/G236,"")</f>
        <v/>
      </c>
      <c r="J236" s="15" t="n"/>
      <c r="K236" s="15" t="n"/>
      <c r="L236" s="17">
        <f>IF(A236="","",TEXT(A236,"yyyy-mm"))</f>
        <v/>
      </c>
      <c r="M236" s="17">
        <f>IF(AND(A236&lt;&gt;"",J236="Pending"),TODAY()-A236,"")</f>
        <v/>
      </c>
    </row>
    <row r="237">
      <c r="A237" s="16" t="n"/>
      <c r="B237" s="15" t="n"/>
      <c r="C237" s="15" t="n"/>
      <c r="D237" s="17">
        <f>IF($C237="","",IFERROR(INDEX(สินค้า!$A$5:$A$204,MATCH($C237,สินค้า!$B$5:$B$204,0)),"ไม่พบสินค้า"))</f>
        <v/>
      </c>
      <c r="E237" s="17">
        <f>IF($C237="","",IFERROR(INDEX(สินค้า!$C$5:$C$204,MATCH($C237,สินค้า!$B$5:$B$204,0)),"ไม่พบสินค้า"))</f>
        <v/>
      </c>
      <c r="F237" s="17">
        <f>IF($C237="","",IFERROR(INDEX(สินค้า!$D$5:$D$204,MATCH($C237,สินค้า!$B$5:$B$204,0)),"ไม่พบสินค้า"))</f>
        <v/>
      </c>
      <c r="G237" s="15" t="n"/>
      <c r="H237" s="15" t="n"/>
      <c r="I237" s="18">
        <f>IF(AND(ISNUMBER(G237),ISNUMBER(H237),G237&gt;0),H237/G237,"")</f>
        <v/>
      </c>
      <c r="J237" s="15" t="n"/>
      <c r="K237" s="15" t="n"/>
      <c r="L237" s="17">
        <f>IF(A237="","",TEXT(A237,"yyyy-mm"))</f>
        <v/>
      </c>
      <c r="M237" s="17">
        <f>IF(AND(A237&lt;&gt;"",J237="Pending"),TODAY()-A237,"")</f>
        <v/>
      </c>
    </row>
    <row r="238">
      <c r="A238" s="16" t="n"/>
      <c r="B238" s="15" t="n"/>
      <c r="C238" s="15" t="n"/>
      <c r="D238" s="17">
        <f>IF($C238="","",IFERROR(INDEX(สินค้า!$A$5:$A$204,MATCH($C238,สินค้า!$B$5:$B$204,0)),"ไม่พบสินค้า"))</f>
        <v/>
      </c>
      <c r="E238" s="17">
        <f>IF($C238="","",IFERROR(INDEX(สินค้า!$C$5:$C$204,MATCH($C238,สินค้า!$B$5:$B$204,0)),"ไม่พบสินค้า"))</f>
        <v/>
      </c>
      <c r="F238" s="17">
        <f>IF($C238="","",IFERROR(INDEX(สินค้า!$D$5:$D$204,MATCH($C238,สินค้า!$B$5:$B$204,0)),"ไม่พบสินค้า"))</f>
        <v/>
      </c>
      <c r="G238" s="15" t="n"/>
      <c r="H238" s="15" t="n"/>
      <c r="I238" s="18">
        <f>IF(AND(ISNUMBER(G238),ISNUMBER(H238),G238&gt;0),H238/G238,"")</f>
        <v/>
      </c>
      <c r="J238" s="15" t="n"/>
      <c r="K238" s="15" t="n"/>
      <c r="L238" s="17">
        <f>IF(A238="","",TEXT(A238,"yyyy-mm"))</f>
        <v/>
      </c>
      <c r="M238" s="17">
        <f>IF(AND(A238&lt;&gt;"",J238="Pending"),TODAY()-A238,"")</f>
        <v/>
      </c>
    </row>
    <row r="239">
      <c r="A239" s="16" t="n"/>
      <c r="B239" s="15" t="n"/>
      <c r="C239" s="15" t="n"/>
      <c r="D239" s="17">
        <f>IF($C239="","",IFERROR(INDEX(สินค้า!$A$5:$A$204,MATCH($C239,สินค้า!$B$5:$B$204,0)),"ไม่พบสินค้า"))</f>
        <v/>
      </c>
      <c r="E239" s="17">
        <f>IF($C239="","",IFERROR(INDEX(สินค้า!$C$5:$C$204,MATCH($C239,สินค้า!$B$5:$B$204,0)),"ไม่พบสินค้า"))</f>
        <v/>
      </c>
      <c r="F239" s="17">
        <f>IF($C239="","",IFERROR(INDEX(สินค้า!$D$5:$D$204,MATCH($C239,สินค้า!$B$5:$B$204,0)),"ไม่พบสินค้า"))</f>
        <v/>
      </c>
      <c r="G239" s="15" t="n"/>
      <c r="H239" s="15" t="n"/>
      <c r="I239" s="18">
        <f>IF(AND(ISNUMBER(G239),ISNUMBER(H239),G239&gt;0),H239/G239,"")</f>
        <v/>
      </c>
      <c r="J239" s="15" t="n"/>
      <c r="K239" s="15" t="n"/>
      <c r="L239" s="17">
        <f>IF(A239="","",TEXT(A239,"yyyy-mm"))</f>
        <v/>
      </c>
      <c r="M239" s="17">
        <f>IF(AND(A239&lt;&gt;"",J239="Pending"),TODAY()-A239,"")</f>
        <v/>
      </c>
    </row>
    <row r="240">
      <c r="A240" s="16" t="n"/>
      <c r="B240" s="15" t="n"/>
      <c r="C240" s="15" t="n"/>
      <c r="D240" s="17">
        <f>IF($C240="","",IFERROR(INDEX(สินค้า!$A$5:$A$204,MATCH($C240,สินค้า!$B$5:$B$204,0)),"ไม่พบสินค้า"))</f>
        <v/>
      </c>
      <c r="E240" s="17">
        <f>IF($C240="","",IFERROR(INDEX(สินค้า!$C$5:$C$204,MATCH($C240,สินค้า!$B$5:$B$204,0)),"ไม่พบสินค้า"))</f>
        <v/>
      </c>
      <c r="F240" s="17">
        <f>IF($C240="","",IFERROR(INDEX(สินค้า!$D$5:$D$204,MATCH($C240,สินค้า!$B$5:$B$204,0)),"ไม่พบสินค้า"))</f>
        <v/>
      </c>
      <c r="G240" s="15" t="n"/>
      <c r="H240" s="15" t="n"/>
      <c r="I240" s="18">
        <f>IF(AND(ISNUMBER(G240),ISNUMBER(H240),G240&gt;0),H240/G240,"")</f>
        <v/>
      </c>
      <c r="J240" s="15" t="n"/>
      <c r="K240" s="15" t="n"/>
      <c r="L240" s="17">
        <f>IF(A240="","",TEXT(A240,"yyyy-mm"))</f>
        <v/>
      </c>
      <c r="M240" s="17">
        <f>IF(AND(A240&lt;&gt;"",J240="Pending"),TODAY()-A240,"")</f>
        <v/>
      </c>
    </row>
    <row r="241">
      <c r="A241" s="16" t="n"/>
      <c r="B241" s="15" t="n"/>
      <c r="C241" s="15" t="n"/>
      <c r="D241" s="17">
        <f>IF($C241="","",IFERROR(INDEX(สินค้า!$A$5:$A$204,MATCH($C241,สินค้า!$B$5:$B$204,0)),"ไม่พบสินค้า"))</f>
        <v/>
      </c>
      <c r="E241" s="17">
        <f>IF($C241="","",IFERROR(INDEX(สินค้า!$C$5:$C$204,MATCH($C241,สินค้า!$B$5:$B$204,0)),"ไม่พบสินค้า"))</f>
        <v/>
      </c>
      <c r="F241" s="17">
        <f>IF($C241="","",IFERROR(INDEX(สินค้า!$D$5:$D$204,MATCH($C241,สินค้า!$B$5:$B$204,0)),"ไม่พบสินค้า"))</f>
        <v/>
      </c>
      <c r="G241" s="15" t="n"/>
      <c r="H241" s="15" t="n"/>
      <c r="I241" s="18">
        <f>IF(AND(ISNUMBER(G241),ISNUMBER(H241),G241&gt;0),H241/G241,"")</f>
        <v/>
      </c>
      <c r="J241" s="15" t="n"/>
      <c r="K241" s="15" t="n"/>
      <c r="L241" s="17">
        <f>IF(A241="","",TEXT(A241,"yyyy-mm"))</f>
        <v/>
      </c>
      <c r="M241" s="17">
        <f>IF(AND(A241&lt;&gt;"",J241="Pending"),TODAY()-A241,"")</f>
        <v/>
      </c>
    </row>
    <row r="242">
      <c r="A242" s="16" t="n"/>
      <c r="B242" s="15" t="n"/>
      <c r="C242" s="15" t="n"/>
      <c r="D242" s="17">
        <f>IF($C242="","",IFERROR(INDEX(สินค้า!$A$5:$A$204,MATCH($C242,สินค้า!$B$5:$B$204,0)),"ไม่พบสินค้า"))</f>
        <v/>
      </c>
      <c r="E242" s="17">
        <f>IF($C242="","",IFERROR(INDEX(สินค้า!$C$5:$C$204,MATCH($C242,สินค้า!$B$5:$B$204,0)),"ไม่พบสินค้า"))</f>
        <v/>
      </c>
      <c r="F242" s="17">
        <f>IF($C242="","",IFERROR(INDEX(สินค้า!$D$5:$D$204,MATCH($C242,สินค้า!$B$5:$B$204,0)),"ไม่พบสินค้า"))</f>
        <v/>
      </c>
      <c r="G242" s="15" t="n"/>
      <c r="H242" s="15" t="n"/>
      <c r="I242" s="18">
        <f>IF(AND(ISNUMBER(G242),ISNUMBER(H242),G242&gt;0),H242/G242,"")</f>
        <v/>
      </c>
      <c r="J242" s="15" t="n"/>
      <c r="K242" s="15" t="n"/>
      <c r="L242" s="17">
        <f>IF(A242="","",TEXT(A242,"yyyy-mm"))</f>
        <v/>
      </c>
      <c r="M242" s="17">
        <f>IF(AND(A242&lt;&gt;"",J242="Pending"),TODAY()-A242,"")</f>
        <v/>
      </c>
    </row>
    <row r="243">
      <c r="A243" s="16" t="n"/>
      <c r="B243" s="15" t="n"/>
      <c r="C243" s="15" t="n"/>
      <c r="D243" s="17">
        <f>IF($C243="","",IFERROR(INDEX(สินค้า!$A$5:$A$204,MATCH($C243,สินค้า!$B$5:$B$204,0)),"ไม่พบสินค้า"))</f>
        <v/>
      </c>
      <c r="E243" s="17">
        <f>IF($C243="","",IFERROR(INDEX(สินค้า!$C$5:$C$204,MATCH($C243,สินค้า!$B$5:$B$204,0)),"ไม่พบสินค้า"))</f>
        <v/>
      </c>
      <c r="F243" s="17">
        <f>IF($C243="","",IFERROR(INDEX(สินค้า!$D$5:$D$204,MATCH($C243,สินค้า!$B$5:$B$204,0)),"ไม่พบสินค้า"))</f>
        <v/>
      </c>
      <c r="G243" s="15" t="n"/>
      <c r="H243" s="15" t="n"/>
      <c r="I243" s="18">
        <f>IF(AND(ISNUMBER(G243),ISNUMBER(H243),G243&gt;0),H243/G243,"")</f>
        <v/>
      </c>
      <c r="J243" s="15" t="n"/>
      <c r="K243" s="15" t="n"/>
      <c r="L243" s="17">
        <f>IF(A243="","",TEXT(A243,"yyyy-mm"))</f>
        <v/>
      </c>
      <c r="M243" s="17">
        <f>IF(AND(A243&lt;&gt;"",J243="Pending"),TODAY()-A243,"")</f>
        <v/>
      </c>
    </row>
    <row r="244">
      <c r="A244" s="16" t="n"/>
      <c r="B244" s="15" t="n"/>
      <c r="C244" s="15" t="n"/>
      <c r="D244" s="17">
        <f>IF($C244="","",IFERROR(INDEX(สินค้า!$A$5:$A$204,MATCH($C244,สินค้า!$B$5:$B$204,0)),"ไม่พบสินค้า"))</f>
        <v/>
      </c>
      <c r="E244" s="17">
        <f>IF($C244="","",IFERROR(INDEX(สินค้า!$C$5:$C$204,MATCH($C244,สินค้า!$B$5:$B$204,0)),"ไม่พบสินค้า"))</f>
        <v/>
      </c>
      <c r="F244" s="17">
        <f>IF($C244="","",IFERROR(INDEX(สินค้า!$D$5:$D$204,MATCH($C244,สินค้า!$B$5:$B$204,0)),"ไม่พบสินค้า"))</f>
        <v/>
      </c>
      <c r="G244" s="15" t="n"/>
      <c r="H244" s="15" t="n"/>
      <c r="I244" s="18">
        <f>IF(AND(ISNUMBER(G244),ISNUMBER(H244),G244&gt;0),H244/G244,"")</f>
        <v/>
      </c>
      <c r="J244" s="15" t="n"/>
      <c r="K244" s="15" t="n"/>
      <c r="L244" s="17">
        <f>IF(A244="","",TEXT(A244,"yyyy-mm"))</f>
        <v/>
      </c>
      <c r="M244" s="17">
        <f>IF(AND(A244&lt;&gt;"",J244="Pending"),TODAY()-A244,"")</f>
        <v/>
      </c>
    </row>
    <row r="245">
      <c r="A245" s="16" t="n"/>
      <c r="B245" s="15" t="n"/>
      <c r="C245" s="15" t="n"/>
      <c r="D245" s="17">
        <f>IF($C245="","",IFERROR(INDEX(สินค้า!$A$5:$A$204,MATCH($C245,สินค้า!$B$5:$B$204,0)),"ไม่พบสินค้า"))</f>
        <v/>
      </c>
      <c r="E245" s="17">
        <f>IF($C245="","",IFERROR(INDEX(สินค้า!$C$5:$C$204,MATCH($C245,สินค้า!$B$5:$B$204,0)),"ไม่พบสินค้า"))</f>
        <v/>
      </c>
      <c r="F245" s="17">
        <f>IF($C245="","",IFERROR(INDEX(สินค้า!$D$5:$D$204,MATCH($C245,สินค้า!$B$5:$B$204,0)),"ไม่พบสินค้า"))</f>
        <v/>
      </c>
      <c r="G245" s="15" t="n"/>
      <c r="H245" s="15" t="n"/>
      <c r="I245" s="18">
        <f>IF(AND(ISNUMBER(G245),ISNUMBER(H245),G245&gt;0),H245/G245,"")</f>
        <v/>
      </c>
      <c r="J245" s="15" t="n"/>
      <c r="K245" s="15" t="n"/>
      <c r="L245" s="17">
        <f>IF(A245="","",TEXT(A245,"yyyy-mm"))</f>
        <v/>
      </c>
      <c r="M245" s="17">
        <f>IF(AND(A245&lt;&gt;"",J245="Pending"),TODAY()-A245,"")</f>
        <v/>
      </c>
    </row>
    <row r="246">
      <c r="A246" s="16" t="n"/>
      <c r="B246" s="15" t="n"/>
      <c r="C246" s="15" t="n"/>
      <c r="D246" s="17">
        <f>IF($C246="","",IFERROR(INDEX(สินค้า!$A$5:$A$204,MATCH($C246,สินค้า!$B$5:$B$204,0)),"ไม่พบสินค้า"))</f>
        <v/>
      </c>
      <c r="E246" s="17">
        <f>IF($C246="","",IFERROR(INDEX(สินค้า!$C$5:$C$204,MATCH($C246,สินค้า!$B$5:$B$204,0)),"ไม่พบสินค้า"))</f>
        <v/>
      </c>
      <c r="F246" s="17">
        <f>IF($C246="","",IFERROR(INDEX(สินค้า!$D$5:$D$204,MATCH($C246,สินค้า!$B$5:$B$204,0)),"ไม่พบสินค้า"))</f>
        <v/>
      </c>
      <c r="G246" s="15" t="n"/>
      <c r="H246" s="15" t="n"/>
      <c r="I246" s="18">
        <f>IF(AND(ISNUMBER(G246),ISNUMBER(H246),G246&gt;0),H246/G246,"")</f>
        <v/>
      </c>
      <c r="J246" s="15" t="n"/>
      <c r="K246" s="15" t="n"/>
      <c r="L246" s="17">
        <f>IF(A246="","",TEXT(A246,"yyyy-mm"))</f>
        <v/>
      </c>
      <c r="M246" s="17">
        <f>IF(AND(A246&lt;&gt;"",J246="Pending"),TODAY()-A246,"")</f>
        <v/>
      </c>
    </row>
    <row r="247">
      <c r="A247" s="16" t="n"/>
      <c r="B247" s="15" t="n"/>
      <c r="C247" s="15" t="n"/>
      <c r="D247" s="17">
        <f>IF($C247="","",IFERROR(INDEX(สินค้า!$A$5:$A$204,MATCH($C247,สินค้า!$B$5:$B$204,0)),"ไม่พบสินค้า"))</f>
        <v/>
      </c>
      <c r="E247" s="17">
        <f>IF($C247="","",IFERROR(INDEX(สินค้า!$C$5:$C$204,MATCH($C247,สินค้า!$B$5:$B$204,0)),"ไม่พบสินค้า"))</f>
        <v/>
      </c>
      <c r="F247" s="17">
        <f>IF($C247="","",IFERROR(INDEX(สินค้า!$D$5:$D$204,MATCH($C247,สินค้า!$B$5:$B$204,0)),"ไม่พบสินค้า"))</f>
        <v/>
      </c>
      <c r="G247" s="15" t="n"/>
      <c r="H247" s="15" t="n"/>
      <c r="I247" s="18">
        <f>IF(AND(ISNUMBER(G247),ISNUMBER(H247),G247&gt;0),H247/G247,"")</f>
        <v/>
      </c>
      <c r="J247" s="15" t="n"/>
      <c r="K247" s="15" t="n"/>
      <c r="L247" s="17">
        <f>IF(A247="","",TEXT(A247,"yyyy-mm"))</f>
        <v/>
      </c>
      <c r="M247" s="17">
        <f>IF(AND(A247&lt;&gt;"",J247="Pending"),TODAY()-A247,"")</f>
        <v/>
      </c>
    </row>
    <row r="248">
      <c r="A248" s="16" t="n"/>
      <c r="B248" s="15" t="n"/>
      <c r="C248" s="15" t="n"/>
      <c r="D248" s="17">
        <f>IF($C248="","",IFERROR(INDEX(สินค้า!$A$5:$A$204,MATCH($C248,สินค้า!$B$5:$B$204,0)),"ไม่พบสินค้า"))</f>
        <v/>
      </c>
      <c r="E248" s="17">
        <f>IF($C248="","",IFERROR(INDEX(สินค้า!$C$5:$C$204,MATCH($C248,สินค้า!$B$5:$B$204,0)),"ไม่พบสินค้า"))</f>
        <v/>
      </c>
      <c r="F248" s="17">
        <f>IF($C248="","",IFERROR(INDEX(สินค้า!$D$5:$D$204,MATCH($C248,สินค้า!$B$5:$B$204,0)),"ไม่พบสินค้า"))</f>
        <v/>
      </c>
      <c r="G248" s="15" t="n"/>
      <c r="H248" s="15" t="n"/>
      <c r="I248" s="18">
        <f>IF(AND(ISNUMBER(G248),ISNUMBER(H248),G248&gt;0),H248/G248,"")</f>
        <v/>
      </c>
      <c r="J248" s="15" t="n"/>
      <c r="K248" s="15" t="n"/>
      <c r="L248" s="17">
        <f>IF(A248="","",TEXT(A248,"yyyy-mm"))</f>
        <v/>
      </c>
      <c r="M248" s="17">
        <f>IF(AND(A248&lt;&gt;"",J248="Pending"),TODAY()-A248,"")</f>
        <v/>
      </c>
    </row>
    <row r="249">
      <c r="A249" s="16" t="n"/>
      <c r="B249" s="15" t="n"/>
      <c r="C249" s="15" t="n"/>
      <c r="D249" s="17">
        <f>IF($C249="","",IFERROR(INDEX(สินค้า!$A$5:$A$204,MATCH($C249,สินค้า!$B$5:$B$204,0)),"ไม่พบสินค้า"))</f>
        <v/>
      </c>
      <c r="E249" s="17">
        <f>IF($C249="","",IFERROR(INDEX(สินค้า!$C$5:$C$204,MATCH($C249,สินค้า!$B$5:$B$204,0)),"ไม่พบสินค้า"))</f>
        <v/>
      </c>
      <c r="F249" s="17">
        <f>IF($C249="","",IFERROR(INDEX(สินค้า!$D$5:$D$204,MATCH($C249,สินค้า!$B$5:$B$204,0)),"ไม่พบสินค้า"))</f>
        <v/>
      </c>
      <c r="G249" s="15" t="n"/>
      <c r="H249" s="15" t="n"/>
      <c r="I249" s="18">
        <f>IF(AND(ISNUMBER(G249),ISNUMBER(H249),G249&gt;0),H249/G249,"")</f>
        <v/>
      </c>
      <c r="J249" s="15" t="n"/>
      <c r="K249" s="15" t="n"/>
      <c r="L249" s="17">
        <f>IF(A249="","",TEXT(A249,"yyyy-mm"))</f>
        <v/>
      </c>
      <c r="M249" s="17">
        <f>IF(AND(A249&lt;&gt;"",J249="Pending"),TODAY()-A249,"")</f>
        <v/>
      </c>
    </row>
    <row r="250">
      <c r="A250" s="16" t="n"/>
      <c r="B250" s="15" t="n"/>
      <c r="C250" s="15" t="n"/>
      <c r="D250" s="17">
        <f>IF($C250="","",IFERROR(INDEX(สินค้า!$A$5:$A$204,MATCH($C250,สินค้า!$B$5:$B$204,0)),"ไม่พบสินค้า"))</f>
        <v/>
      </c>
      <c r="E250" s="17">
        <f>IF($C250="","",IFERROR(INDEX(สินค้า!$C$5:$C$204,MATCH($C250,สินค้า!$B$5:$B$204,0)),"ไม่พบสินค้า"))</f>
        <v/>
      </c>
      <c r="F250" s="17">
        <f>IF($C250="","",IFERROR(INDEX(สินค้า!$D$5:$D$204,MATCH($C250,สินค้า!$B$5:$B$204,0)),"ไม่พบสินค้า"))</f>
        <v/>
      </c>
      <c r="G250" s="15" t="n"/>
      <c r="H250" s="15" t="n"/>
      <c r="I250" s="18">
        <f>IF(AND(ISNUMBER(G250),ISNUMBER(H250),G250&gt;0),H250/G250,"")</f>
        <v/>
      </c>
      <c r="J250" s="15" t="n"/>
      <c r="K250" s="15" t="n"/>
      <c r="L250" s="17">
        <f>IF(A250="","",TEXT(A250,"yyyy-mm"))</f>
        <v/>
      </c>
      <c r="M250" s="17">
        <f>IF(AND(A250&lt;&gt;"",J250="Pending"),TODAY()-A250,"")</f>
        <v/>
      </c>
    </row>
    <row r="251">
      <c r="A251" s="16" t="n"/>
      <c r="B251" s="15" t="n"/>
      <c r="C251" s="15" t="n"/>
      <c r="D251" s="17">
        <f>IF($C251="","",IFERROR(INDEX(สินค้า!$A$5:$A$204,MATCH($C251,สินค้า!$B$5:$B$204,0)),"ไม่พบสินค้า"))</f>
        <v/>
      </c>
      <c r="E251" s="17">
        <f>IF($C251="","",IFERROR(INDEX(สินค้า!$C$5:$C$204,MATCH($C251,สินค้า!$B$5:$B$204,0)),"ไม่พบสินค้า"))</f>
        <v/>
      </c>
      <c r="F251" s="17">
        <f>IF($C251="","",IFERROR(INDEX(สินค้า!$D$5:$D$204,MATCH($C251,สินค้า!$B$5:$B$204,0)),"ไม่พบสินค้า"))</f>
        <v/>
      </c>
      <c r="G251" s="15" t="n"/>
      <c r="H251" s="15" t="n"/>
      <c r="I251" s="18">
        <f>IF(AND(ISNUMBER(G251),ISNUMBER(H251),G251&gt;0),H251/G251,"")</f>
        <v/>
      </c>
      <c r="J251" s="15" t="n"/>
      <c r="K251" s="15" t="n"/>
      <c r="L251" s="17">
        <f>IF(A251="","",TEXT(A251,"yyyy-mm"))</f>
        <v/>
      </c>
      <c r="M251" s="17">
        <f>IF(AND(A251&lt;&gt;"",J251="Pending"),TODAY()-A251,"")</f>
        <v/>
      </c>
    </row>
    <row r="252">
      <c r="A252" s="16" t="n"/>
      <c r="B252" s="15" t="n"/>
      <c r="C252" s="15" t="n"/>
      <c r="D252" s="17">
        <f>IF($C252="","",IFERROR(INDEX(สินค้า!$A$5:$A$204,MATCH($C252,สินค้า!$B$5:$B$204,0)),"ไม่พบสินค้า"))</f>
        <v/>
      </c>
      <c r="E252" s="17">
        <f>IF($C252="","",IFERROR(INDEX(สินค้า!$C$5:$C$204,MATCH($C252,สินค้า!$B$5:$B$204,0)),"ไม่พบสินค้า"))</f>
        <v/>
      </c>
      <c r="F252" s="17">
        <f>IF($C252="","",IFERROR(INDEX(สินค้า!$D$5:$D$204,MATCH($C252,สินค้า!$B$5:$B$204,0)),"ไม่พบสินค้า"))</f>
        <v/>
      </c>
      <c r="G252" s="15" t="n"/>
      <c r="H252" s="15" t="n"/>
      <c r="I252" s="18">
        <f>IF(AND(ISNUMBER(G252),ISNUMBER(H252),G252&gt;0),H252/G252,"")</f>
        <v/>
      </c>
      <c r="J252" s="15" t="n"/>
      <c r="K252" s="15" t="n"/>
      <c r="L252" s="17">
        <f>IF(A252="","",TEXT(A252,"yyyy-mm"))</f>
        <v/>
      </c>
      <c r="M252" s="17">
        <f>IF(AND(A252&lt;&gt;"",J252="Pending"),TODAY()-A252,"")</f>
        <v/>
      </c>
    </row>
    <row r="253">
      <c r="A253" s="16" t="n"/>
      <c r="B253" s="15" t="n"/>
      <c r="C253" s="15" t="n"/>
      <c r="D253" s="17">
        <f>IF($C253="","",IFERROR(INDEX(สินค้า!$A$5:$A$204,MATCH($C253,สินค้า!$B$5:$B$204,0)),"ไม่พบสินค้า"))</f>
        <v/>
      </c>
      <c r="E253" s="17">
        <f>IF($C253="","",IFERROR(INDEX(สินค้า!$C$5:$C$204,MATCH($C253,สินค้า!$B$5:$B$204,0)),"ไม่พบสินค้า"))</f>
        <v/>
      </c>
      <c r="F253" s="17">
        <f>IF($C253="","",IFERROR(INDEX(สินค้า!$D$5:$D$204,MATCH($C253,สินค้า!$B$5:$B$204,0)),"ไม่พบสินค้า"))</f>
        <v/>
      </c>
      <c r="G253" s="15" t="n"/>
      <c r="H253" s="15" t="n"/>
      <c r="I253" s="18">
        <f>IF(AND(ISNUMBER(G253),ISNUMBER(H253),G253&gt;0),H253/G253,"")</f>
        <v/>
      </c>
      <c r="J253" s="15" t="n"/>
      <c r="K253" s="15" t="n"/>
      <c r="L253" s="17">
        <f>IF(A253="","",TEXT(A253,"yyyy-mm"))</f>
        <v/>
      </c>
      <c r="M253" s="17">
        <f>IF(AND(A253&lt;&gt;"",J253="Pending"),TODAY()-A253,"")</f>
        <v/>
      </c>
    </row>
    <row r="254">
      <c r="A254" s="16" t="n"/>
      <c r="B254" s="15" t="n"/>
      <c r="C254" s="15" t="n"/>
      <c r="D254" s="17">
        <f>IF($C254="","",IFERROR(INDEX(สินค้า!$A$5:$A$204,MATCH($C254,สินค้า!$B$5:$B$204,0)),"ไม่พบสินค้า"))</f>
        <v/>
      </c>
      <c r="E254" s="17">
        <f>IF($C254="","",IFERROR(INDEX(สินค้า!$C$5:$C$204,MATCH($C254,สินค้า!$B$5:$B$204,0)),"ไม่พบสินค้า"))</f>
        <v/>
      </c>
      <c r="F254" s="17">
        <f>IF($C254="","",IFERROR(INDEX(สินค้า!$D$5:$D$204,MATCH($C254,สินค้า!$B$5:$B$204,0)),"ไม่พบสินค้า"))</f>
        <v/>
      </c>
      <c r="G254" s="15" t="n"/>
      <c r="H254" s="15" t="n"/>
      <c r="I254" s="18">
        <f>IF(AND(ISNUMBER(G254),ISNUMBER(H254),G254&gt;0),H254/G254,"")</f>
        <v/>
      </c>
      <c r="J254" s="15" t="n"/>
      <c r="K254" s="15" t="n"/>
      <c r="L254" s="17">
        <f>IF(A254="","",TEXT(A254,"yyyy-mm"))</f>
        <v/>
      </c>
      <c r="M254" s="17">
        <f>IF(AND(A254&lt;&gt;"",J254="Pending"),TODAY()-A254,"")</f>
        <v/>
      </c>
    </row>
    <row r="255">
      <c r="A255" s="16" t="n"/>
      <c r="B255" s="15" t="n"/>
      <c r="C255" s="15" t="n"/>
      <c r="D255" s="17">
        <f>IF($C255="","",IFERROR(INDEX(สินค้า!$A$5:$A$204,MATCH($C255,สินค้า!$B$5:$B$204,0)),"ไม่พบสินค้า"))</f>
        <v/>
      </c>
      <c r="E255" s="17">
        <f>IF($C255="","",IFERROR(INDEX(สินค้า!$C$5:$C$204,MATCH($C255,สินค้า!$B$5:$B$204,0)),"ไม่พบสินค้า"))</f>
        <v/>
      </c>
      <c r="F255" s="17">
        <f>IF($C255="","",IFERROR(INDEX(สินค้า!$D$5:$D$204,MATCH($C255,สินค้า!$B$5:$B$204,0)),"ไม่พบสินค้า"))</f>
        <v/>
      </c>
      <c r="G255" s="15" t="n"/>
      <c r="H255" s="15" t="n"/>
      <c r="I255" s="18">
        <f>IF(AND(ISNUMBER(G255),ISNUMBER(H255),G255&gt;0),H255/G255,"")</f>
        <v/>
      </c>
      <c r="J255" s="15" t="n"/>
      <c r="K255" s="15" t="n"/>
      <c r="L255" s="17">
        <f>IF(A255="","",TEXT(A255,"yyyy-mm"))</f>
        <v/>
      </c>
      <c r="M255" s="17">
        <f>IF(AND(A255&lt;&gt;"",J255="Pending"),TODAY()-A255,"")</f>
        <v/>
      </c>
    </row>
    <row r="256">
      <c r="A256" s="16" t="n"/>
      <c r="B256" s="15" t="n"/>
      <c r="C256" s="15" t="n"/>
      <c r="D256" s="17">
        <f>IF($C256="","",IFERROR(INDEX(สินค้า!$A$5:$A$204,MATCH($C256,สินค้า!$B$5:$B$204,0)),"ไม่พบสินค้า"))</f>
        <v/>
      </c>
      <c r="E256" s="17">
        <f>IF($C256="","",IFERROR(INDEX(สินค้า!$C$5:$C$204,MATCH($C256,สินค้า!$B$5:$B$204,0)),"ไม่พบสินค้า"))</f>
        <v/>
      </c>
      <c r="F256" s="17">
        <f>IF($C256="","",IFERROR(INDEX(สินค้า!$D$5:$D$204,MATCH($C256,สินค้า!$B$5:$B$204,0)),"ไม่พบสินค้า"))</f>
        <v/>
      </c>
      <c r="G256" s="15" t="n"/>
      <c r="H256" s="15" t="n"/>
      <c r="I256" s="18">
        <f>IF(AND(ISNUMBER(G256),ISNUMBER(H256),G256&gt;0),H256/G256,"")</f>
        <v/>
      </c>
      <c r="J256" s="15" t="n"/>
      <c r="K256" s="15" t="n"/>
      <c r="L256" s="17">
        <f>IF(A256="","",TEXT(A256,"yyyy-mm"))</f>
        <v/>
      </c>
      <c r="M256" s="17">
        <f>IF(AND(A256&lt;&gt;"",J256="Pending"),TODAY()-A256,"")</f>
        <v/>
      </c>
    </row>
    <row r="257">
      <c r="A257" s="16" t="n"/>
      <c r="B257" s="15" t="n"/>
      <c r="C257" s="15" t="n"/>
      <c r="D257" s="17">
        <f>IF($C257="","",IFERROR(INDEX(สินค้า!$A$5:$A$204,MATCH($C257,สินค้า!$B$5:$B$204,0)),"ไม่พบสินค้า"))</f>
        <v/>
      </c>
      <c r="E257" s="17">
        <f>IF($C257="","",IFERROR(INDEX(สินค้า!$C$5:$C$204,MATCH($C257,สินค้า!$B$5:$B$204,0)),"ไม่พบสินค้า"))</f>
        <v/>
      </c>
      <c r="F257" s="17">
        <f>IF($C257="","",IFERROR(INDEX(สินค้า!$D$5:$D$204,MATCH($C257,สินค้า!$B$5:$B$204,0)),"ไม่พบสินค้า"))</f>
        <v/>
      </c>
      <c r="G257" s="15" t="n"/>
      <c r="H257" s="15" t="n"/>
      <c r="I257" s="18">
        <f>IF(AND(ISNUMBER(G257),ISNUMBER(H257),G257&gt;0),H257/G257,"")</f>
        <v/>
      </c>
      <c r="J257" s="15" t="n"/>
      <c r="K257" s="15" t="n"/>
      <c r="L257" s="17">
        <f>IF(A257="","",TEXT(A257,"yyyy-mm"))</f>
        <v/>
      </c>
      <c r="M257" s="17">
        <f>IF(AND(A257&lt;&gt;"",J257="Pending"),TODAY()-A257,"")</f>
        <v/>
      </c>
    </row>
    <row r="258">
      <c r="A258" s="16" t="n"/>
      <c r="B258" s="15" t="n"/>
      <c r="C258" s="15" t="n"/>
      <c r="D258" s="17">
        <f>IF($C258="","",IFERROR(INDEX(สินค้า!$A$5:$A$204,MATCH($C258,สินค้า!$B$5:$B$204,0)),"ไม่พบสินค้า"))</f>
        <v/>
      </c>
      <c r="E258" s="17">
        <f>IF($C258="","",IFERROR(INDEX(สินค้า!$C$5:$C$204,MATCH($C258,สินค้า!$B$5:$B$204,0)),"ไม่พบสินค้า"))</f>
        <v/>
      </c>
      <c r="F258" s="17">
        <f>IF($C258="","",IFERROR(INDEX(สินค้า!$D$5:$D$204,MATCH($C258,สินค้า!$B$5:$B$204,0)),"ไม่พบสินค้า"))</f>
        <v/>
      </c>
      <c r="G258" s="15" t="n"/>
      <c r="H258" s="15" t="n"/>
      <c r="I258" s="18">
        <f>IF(AND(ISNUMBER(G258),ISNUMBER(H258),G258&gt;0),H258/G258,"")</f>
        <v/>
      </c>
      <c r="J258" s="15" t="n"/>
      <c r="K258" s="15" t="n"/>
      <c r="L258" s="17">
        <f>IF(A258="","",TEXT(A258,"yyyy-mm"))</f>
        <v/>
      </c>
      <c r="M258" s="17">
        <f>IF(AND(A258&lt;&gt;"",J258="Pending"),TODAY()-A258,"")</f>
        <v/>
      </c>
    </row>
    <row r="259">
      <c r="A259" s="16" t="n"/>
      <c r="B259" s="15" t="n"/>
      <c r="C259" s="15" t="n"/>
      <c r="D259" s="17">
        <f>IF($C259="","",IFERROR(INDEX(สินค้า!$A$5:$A$204,MATCH($C259,สินค้า!$B$5:$B$204,0)),"ไม่พบสินค้า"))</f>
        <v/>
      </c>
      <c r="E259" s="17">
        <f>IF($C259="","",IFERROR(INDEX(สินค้า!$C$5:$C$204,MATCH($C259,สินค้า!$B$5:$B$204,0)),"ไม่พบสินค้า"))</f>
        <v/>
      </c>
      <c r="F259" s="17">
        <f>IF($C259="","",IFERROR(INDEX(สินค้า!$D$5:$D$204,MATCH($C259,สินค้า!$B$5:$B$204,0)),"ไม่พบสินค้า"))</f>
        <v/>
      </c>
      <c r="G259" s="15" t="n"/>
      <c r="H259" s="15" t="n"/>
      <c r="I259" s="18">
        <f>IF(AND(ISNUMBER(G259),ISNUMBER(H259),G259&gt;0),H259/G259,"")</f>
        <v/>
      </c>
      <c r="J259" s="15" t="n"/>
      <c r="K259" s="15" t="n"/>
      <c r="L259" s="17">
        <f>IF(A259="","",TEXT(A259,"yyyy-mm"))</f>
        <v/>
      </c>
      <c r="M259" s="17">
        <f>IF(AND(A259&lt;&gt;"",J259="Pending"),TODAY()-A259,"")</f>
        <v/>
      </c>
    </row>
    <row r="260">
      <c r="A260" s="16" t="n"/>
      <c r="B260" s="15" t="n"/>
      <c r="C260" s="15" t="n"/>
      <c r="D260" s="17">
        <f>IF($C260="","",IFERROR(INDEX(สินค้า!$A$5:$A$204,MATCH($C260,สินค้า!$B$5:$B$204,0)),"ไม่พบสินค้า"))</f>
        <v/>
      </c>
      <c r="E260" s="17">
        <f>IF($C260="","",IFERROR(INDEX(สินค้า!$C$5:$C$204,MATCH($C260,สินค้า!$B$5:$B$204,0)),"ไม่พบสินค้า"))</f>
        <v/>
      </c>
      <c r="F260" s="17">
        <f>IF($C260="","",IFERROR(INDEX(สินค้า!$D$5:$D$204,MATCH($C260,สินค้า!$B$5:$B$204,0)),"ไม่พบสินค้า"))</f>
        <v/>
      </c>
      <c r="G260" s="15" t="n"/>
      <c r="H260" s="15" t="n"/>
      <c r="I260" s="18">
        <f>IF(AND(ISNUMBER(G260),ISNUMBER(H260),G260&gt;0),H260/G260,"")</f>
        <v/>
      </c>
      <c r="J260" s="15" t="n"/>
      <c r="K260" s="15" t="n"/>
      <c r="L260" s="17">
        <f>IF(A260="","",TEXT(A260,"yyyy-mm"))</f>
        <v/>
      </c>
      <c r="M260" s="17">
        <f>IF(AND(A260&lt;&gt;"",J260="Pending"),TODAY()-A260,"")</f>
        <v/>
      </c>
    </row>
    <row r="261">
      <c r="A261" s="16" t="n"/>
      <c r="B261" s="15" t="n"/>
      <c r="C261" s="15" t="n"/>
      <c r="D261" s="17">
        <f>IF($C261="","",IFERROR(INDEX(สินค้า!$A$5:$A$204,MATCH($C261,สินค้า!$B$5:$B$204,0)),"ไม่พบสินค้า"))</f>
        <v/>
      </c>
      <c r="E261" s="17">
        <f>IF($C261="","",IFERROR(INDEX(สินค้า!$C$5:$C$204,MATCH($C261,สินค้า!$B$5:$B$204,0)),"ไม่พบสินค้า"))</f>
        <v/>
      </c>
      <c r="F261" s="17">
        <f>IF($C261="","",IFERROR(INDEX(สินค้า!$D$5:$D$204,MATCH($C261,สินค้า!$B$5:$B$204,0)),"ไม่พบสินค้า"))</f>
        <v/>
      </c>
      <c r="G261" s="15" t="n"/>
      <c r="H261" s="15" t="n"/>
      <c r="I261" s="18">
        <f>IF(AND(ISNUMBER(G261),ISNUMBER(H261),G261&gt;0),H261/G261,"")</f>
        <v/>
      </c>
      <c r="J261" s="15" t="n"/>
      <c r="K261" s="15" t="n"/>
      <c r="L261" s="17">
        <f>IF(A261="","",TEXT(A261,"yyyy-mm"))</f>
        <v/>
      </c>
      <c r="M261" s="17">
        <f>IF(AND(A261&lt;&gt;"",J261="Pending"),TODAY()-A261,"")</f>
        <v/>
      </c>
    </row>
    <row r="262">
      <c r="A262" s="16" t="n"/>
      <c r="B262" s="15" t="n"/>
      <c r="C262" s="15" t="n"/>
      <c r="D262" s="17">
        <f>IF($C262="","",IFERROR(INDEX(สินค้า!$A$5:$A$204,MATCH($C262,สินค้า!$B$5:$B$204,0)),"ไม่พบสินค้า"))</f>
        <v/>
      </c>
      <c r="E262" s="17">
        <f>IF($C262="","",IFERROR(INDEX(สินค้า!$C$5:$C$204,MATCH($C262,สินค้า!$B$5:$B$204,0)),"ไม่พบสินค้า"))</f>
        <v/>
      </c>
      <c r="F262" s="17">
        <f>IF($C262="","",IFERROR(INDEX(สินค้า!$D$5:$D$204,MATCH($C262,สินค้า!$B$5:$B$204,0)),"ไม่พบสินค้า"))</f>
        <v/>
      </c>
      <c r="G262" s="15" t="n"/>
      <c r="H262" s="15" t="n"/>
      <c r="I262" s="18">
        <f>IF(AND(ISNUMBER(G262),ISNUMBER(H262),G262&gt;0),H262/G262,"")</f>
        <v/>
      </c>
      <c r="J262" s="15" t="n"/>
      <c r="K262" s="15" t="n"/>
      <c r="L262" s="17">
        <f>IF(A262="","",TEXT(A262,"yyyy-mm"))</f>
        <v/>
      </c>
      <c r="M262" s="17">
        <f>IF(AND(A262&lt;&gt;"",J262="Pending"),TODAY()-A262,"")</f>
        <v/>
      </c>
    </row>
    <row r="263">
      <c r="A263" s="16" t="n"/>
      <c r="B263" s="15" t="n"/>
      <c r="C263" s="15" t="n"/>
      <c r="D263" s="17">
        <f>IF($C263="","",IFERROR(INDEX(สินค้า!$A$5:$A$204,MATCH($C263,สินค้า!$B$5:$B$204,0)),"ไม่พบสินค้า"))</f>
        <v/>
      </c>
      <c r="E263" s="17">
        <f>IF($C263="","",IFERROR(INDEX(สินค้า!$C$5:$C$204,MATCH($C263,สินค้า!$B$5:$B$204,0)),"ไม่พบสินค้า"))</f>
        <v/>
      </c>
      <c r="F263" s="17">
        <f>IF($C263="","",IFERROR(INDEX(สินค้า!$D$5:$D$204,MATCH($C263,สินค้า!$B$5:$B$204,0)),"ไม่พบสินค้า"))</f>
        <v/>
      </c>
      <c r="G263" s="15" t="n"/>
      <c r="H263" s="15" t="n"/>
      <c r="I263" s="18">
        <f>IF(AND(ISNUMBER(G263),ISNUMBER(H263),G263&gt;0),H263/G263,"")</f>
        <v/>
      </c>
      <c r="J263" s="15" t="n"/>
      <c r="K263" s="15" t="n"/>
      <c r="L263" s="17">
        <f>IF(A263="","",TEXT(A263,"yyyy-mm"))</f>
        <v/>
      </c>
      <c r="M263" s="17">
        <f>IF(AND(A263&lt;&gt;"",J263="Pending"),TODAY()-A263,"")</f>
        <v/>
      </c>
    </row>
    <row r="264">
      <c r="A264" s="16" t="n"/>
      <c r="B264" s="15" t="n"/>
      <c r="C264" s="15" t="n"/>
      <c r="D264" s="17">
        <f>IF($C264="","",IFERROR(INDEX(สินค้า!$A$5:$A$204,MATCH($C264,สินค้า!$B$5:$B$204,0)),"ไม่พบสินค้า"))</f>
        <v/>
      </c>
      <c r="E264" s="17">
        <f>IF($C264="","",IFERROR(INDEX(สินค้า!$C$5:$C$204,MATCH($C264,สินค้า!$B$5:$B$204,0)),"ไม่พบสินค้า"))</f>
        <v/>
      </c>
      <c r="F264" s="17">
        <f>IF($C264="","",IFERROR(INDEX(สินค้า!$D$5:$D$204,MATCH($C264,สินค้า!$B$5:$B$204,0)),"ไม่พบสินค้า"))</f>
        <v/>
      </c>
      <c r="G264" s="15" t="n"/>
      <c r="H264" s="15" t="n"/>
      <c r="I264" s="18">
        <f>IF(AND(ISNUMBER(G264),ISNUMBER(H264),G264&gt;0),H264/G264,"")</f>
        <v/>
      </c>
      <c r="J264" s="15" t="n"/>
      <c r="K264" s="15" t="n"/>
      <c r="L264" s="17">
        <f>IF(A264="","",TEXT(A264,"yyyy-mm"))</f>
        <v/>
      </c>
      <c r="M264" s="17">
        <f>IF(AND(A264&lt;&gt;"",J264="Pending"),TODAY()-A264,"")</f>
        <v/>
      </c>
    </row>
    <row r="265">
      <c r="A265" s="16" t="n"/>
      <c r="B265" s="15" t="n"/>
      <c r="C265" s="15" t="n"/>
      <c r="D265" s="17">
        <f>IF($C265="","",IFERROR(INDEX(สินค้า!$A$5:$A$204,MATCH($C265,สินค้า!$B$5:$B$204,0)),"ไม่พบสินค้า"))</f>
        <v/>
      </c>
      <c r="E265" s="17">
        <f>IF($C265="","",IFERROR(INDEX(สินค้า!$C$5:$C$204,MATCH($C265,สินค้า!$B$5:$B$204,0)),"ไม่พบสินค้า"))</f>
        <v/>
      </c>
      <c r="F265" s="17">
        <f>IF($C265="","",IFERROR(INDEX(สินค้า!$D$5:$D$204,MATCH($C265,สินค้า!$B$5:$B$204,0)),"ไม่พบสินค้า"))</f>
        <v/>
      </c>
      <c r="G265" s="15" t="n"/>
      <c r="H265" s="15" t="n"/>
      <c r="I265" s="18">
        <f>IF(AND(ISNUMBER(G265),ISNUMBER(H265),G265&gt;0),H265/G265,"")</f>
        <v/>
      </c>
      <c r="J265" s="15" t="n"/>
      <c r="K265" s="15" t="n"/>
      <c r="L265" s="17">
        <f>IF(A265="","",TEXT(A265,"yyyy-mm"))</f>
        <v/>
      </c>
      <c r="M265" s="17">
        <f>IF(AND(A265&lt;&gt;"",J265="Pending"),TODAY()-A265,"")</f>
        <v/>
      </c>
    </row>
    <row r="266">
      <c r="A266" s="16" t="n"/>
      <c r="B266" s="15" t="n"/>
      <c r="C266" s="15" t="n"/>
      <c r="D266" s="17">
        <f>IF($C266="","",IFERROR(INDEX(สินค้า!$A$5:$A$204,MATCH($C266,สินค้า!$B$5:$B$204,0)),"ไม่พบสินค้า"))</f>
        <v/>
      </c>
      <c r="E266" s="17">
        <f>IF($C266="","",IFERROR(INDEX(สินค้า!$C$5:$C$204,MATCH($C266,สินค้า!$B$5:$B$204,0)),"ไม่พบสินค้า"))</f>
        <v/>
      </c>
      <c r="F266" s="17">
        <f>IF($C266="","",IFERROR(INDEX(สินค้า!$D$5:$D$204,MATCH($C266,สินค้า!$B$5:$B$204,0)),"ไม่พบสินค้า"))</f>
        <v/>
      </c>
      <c r="G266" s="15" t="n"/>
      <c r="H266" s="15" t="n"/>
      <c r="I266" s="18">
        <f>IF(AND(ISNUMBER(G266),ISNUMBER(H266),G266&gt;0),H266/G266,"")</f>
        <v/>
      </c>
      <c r="J266" s="15" t="n"/>
      <c r="K266" s="15" t="n"/>
      <c r="L266" s="17">
        <f>IF(A266="","",TEXT(A266,"yyyy-mm"))</f>
        <v/>
      </c>
      <c r="M266" s="17">
        <f>IF(AND(A266&lt;&gt;"",J266="Pending"),TODAY()-A266,"")</f>
        <v/>
      </c>
    </row>
    <row r="267">
      <c r="A267" s="16" t="n"/>
      <c r="B267" s="15" t="n"/>
      <c r="C267" s="15" t="n"/>
      <c r="D267" s="17">
        <f>IF($C267="","",IFERROR(INDEX(สินค้า!$A$5:$A$204,MATCH($C267,สินค้า!$B$5:$B$204,0)),"ไม่พบสินค้า"))</f>
        <v/>
      </c>
      <c r="E267" s="17">
        <f>IF($C267="","",IFERROR(INDEX(สินค้า!$C$5:$C$204,MATCH($C267,สินค้า!$B$5:$B$204,0)),"ไม่พบสินค้า"))</f>
        <v/>
      </c>
      <c r="F267" s="17">
        <f>IF($C267="","",IFERROR(INDEX(สินค้า!$D$5:$D$204,MATCH($C267,สินค้า!$B$5:$B$204,0)),"ไม่พบสินค้า"))</f>
        <v/>
      </c>
      <c r="G267" s="15" t="n"/>
      <c r="H267" s="15" t="n"/>
      <c r="I267" s="18">
        <f>IF(AND(ISNUMBER(G267),ISNUMBER(H267),G267&gt;0),H267/G267,"")</f>
        <v/>
      </c>
      <c r="J267" s="15" t="n"/>
      <c r="K267" s="15" t="n"/>
      <c r="L267" s="17">
        <f>IF(A267="","",TEXT(A267,"yyyy-mm"))</f>
        <v/>
      </c>
      <c r="M267" s="17">
        <f>IF(AND(A267&lt;&gt;"",J267="Pending"),TODAY()-A267,"")</f>
        <v/>
      </c>
    </row>
    <row r="268">
      <c r="A268" s="16" t="n"/>
      <c r="B268" s="15" t="n"/>
      <c r="C268" s="15" t="n"/>
      <c r="D268" s="17">
        <f>IF($C268="","",IFERROR(INDEX(สินค้า!$A$5:$A$204,MATCH($C268,สินค้า!$B$5:$B$204,0)),"ไม่พบสินค้า"))</f>
        <v/>
      </c>
      <c r="E268" s="17">
        <f>IF($C268="","",IFERROR(INDEX(สินค้า!$C$5:$C$204,MATCH($C268,สินค้า!$B$5:$B$204,0)),"ไม่พบสินค้า"))</f>
        <v/>
      </c>
      <c r="F268" s="17">
        <f>IF($C268="","",IFERROR(INDEX(สินค้า!$D$5:$D$204,MATCH($C268,สินค้า!$B$5:$B$204,0)),"ไม่พบสินค้า"))</f>
        <v/>
      </c>
      <c r="G268" s="15" t="n"/>
      <c r="H268" s="15" t="n"/>
      <c r="I268" s="18">
        <f>IF(AND(ISNUMBER(G268),ISNUMBER(H268),G268&gt;0),H268/G268,"")</f>
        <v/>
      </c>
      <c r="J268" s="15" t="n"/>
      <c r="K268" s="15" t="n"/>
      <c r="L268" s="17">
        <f>IF(A268="","",TEXT(A268,"yyyy-mm"))</f>
        <v/>
      </c>
      <c r="M268" s="17">
        <f>IF(AND(A268&lt;&gt;"",J268="Pending"),TODAY()-A268,"")</f>
        <v/>
      </c>
    </row>
    <row r="269">
      <c r="A269" s="16" t="n"/>
      <c r="B269" s="15" t="n"/>
      <c r="C269" s="15" t="n"/>
      <c r="D269" s="17">
        <f>IF($C269="","",IFERROR(INDEX(สินค้า!$A$5:$A$204,MATCH($C269,สินค้า!$B$5:$B$204,0)),"ไม่พบสินค้า"))</f>
        <v/>
      </c>
      <c r="E269" s="17">
        <f>IF($C269="","",IFERROR(INDEX(สินค้า!$C$5:$C$204,MATCH($C269,สินค้า!$B$5:$B$204,0)),"ไม่พบสินค้า"))</f>
        <v/>
      </c>
      <c r="F269" s="17">
        <f>IF($C269="","",IFERROR(INDEX(สินค้า!$D$5:$D$204,MATCH($C269,สินค้า!$B$5:$B$204,0)),"ไม่พบสินค้า"))</f>
        <v/>
      </c>
      <c r="G269" s="15" t="n"/>
      <c r="H269" s="15" t="n"/>
      <c r="I269" s="18">
        <f>IF(AND(ISNUMBER(G269),ISNUMBER(H269),G269&gt;0),H269/G269,"")</f>
        <v/>
      </c>
      <c r="J269" s="15" t="n"/>
      <c r="K269" s="15" t="n"/>
      <c r="L269" s="17">
        <f>IF(A269="","",TEXT(A269,"yyyy-mm"))</f>
        <v/>
      </c>
      <c r="M269" s="17">
        <f>IF(AND(A269&lt;&gt;"",J269="Pending"),TODAY()-A269,"")</f>
        <v/>
      </c>
    </row>
    <row r="270">
      <c r="A270" s="16" t="n"/>
      <c r="B270" s="15" t="n"/>
      <c r="C270" s="15" t="n"/>
      <c r="D270" s="17">
        <f>IF($C270="","",IFERROR(INDEX(สินค้า!$A$5:$A$204,MATCH($C270,สินค้า!$B$5:$B$204,0)),"ไม่พบสินค้า"))</f>
        <v/>
      </c>
      <c r="E270" s="17">
        <f>IF($C270="","",IFERROR(INDEX(สินค้า!$C$5:$C$204,MATCH($C270,สินค้า!$B$5:$B$204,0)),"ไม่พบสินค้า"))</f>
        <v/>
      </c>
      <c r="F270" s="17">
        <f>IF($C270="","",IFERROR(INDEX(สินค้า!$D$5:$D$204,MATCH($C270,สินค้า!$B$5:$B$204,0)),"ไม่พบสินค้า"))</f>
        <v/>
      </c>
      <c r="G270" s="15" t="n"/>
      <c r="H270" s="15" t="n"/>
      <c r="I270" s="18">
        <f>IF(AND(ISNUMBER(G270),ISNUMBER(H270),G270&gt;0),H270/G270,"")</f>
        <v/>
      </c>
      <c r="J270" s="15" t="n"/>
      <c r="K270" s="15" t="n"/>
      <c r="L270" s="17">
        <f>IF(A270="","",TEXT(A270,"yyyy-mm"))</f>
        <v/>
      </c>
      <c r="M270" s="17">
        <f>IF(AND(A270&lt;&gt;"",J270="Pending"),TODAY()-A270,"")</f>
        <v/>
      </c>
    </row>
    <row r="271">
      <c r="A271" s="16" t="n"/>
      <c r="B271" s="15" t="n"/>
      <c r="C271" s="15" t="n"/>
      <c r="D271" s="17">
        <f>IF($C271="","",IFERROR(INDEX(สินค้า!$A$5:$A$204,MATCH($C271,สินค้า!$B$5:$B$204,0)),"ไม่พบสินค้า"))</f>
        <v/>
      </c>
      <c r="E271" s="17">
        <f>IF($C271="","",IFERROR(INDEX(สินค้า!$C$5:$C$204,MATCH($C271,สินค้า!$B$5:$B$204,0)),"ไม่พบสินค้า"))</f>
        <v/>
      </c>
      <c r="F271" s="17">
        <f>IF($C271="","",IFERROR(INDEX(สินค้า!$D$5:$D$204,MATCH($C271,สินค้า!$B$5:$B$204,0)),"ไม่พบสินค้า"))</f>
        <v/>
      </c>
      <c r="G271" s="15" t="n"/>
      <c r="H271" s="15" t="n"/>
      <c r="I271" s="18">
        <f>IF(AND(ISNUMBER(G271),ISNUMBER(H271),G271&gt;0),H271/G271,"")</f>
        <v/>
      </c>
      <c r="J271" s="15" t="n"/>
      <c r="K271" s="15" t="n"/>
      <c r="L271" s="17">
        <f>IF(A271="","",TEXT(A271,"yyyy-mm"))</f>
        <v/>
      </c>
      <c r="M271" s="17">
        <f>IF(AND(A271&lt;&gt;"",J271="Pending"),TODAY()-A271,"")</f>
        <v/>
      </c>
    </row>
    <row r="272">
      <c r="A272" s="16" t="n"/>
      <c r="B272" s="15" t="n"/>
      <c r="C272" s="15" t="n"/>
      <c r="D272" s="17">
        <f>IF($C272="","",IFERROR(INDEX(สินค้า!$A$5:$A$204,MATCH($C272,สินค้า!$B$5:$B$204,0)),"ไม่พบสินค้า"))</f>
        <v/>
      </c>
      <c r="E272" s="17">
        <f>IF($C272="","",IFERROR(INDEX(สินค้า!$C$5:$C$204,MATCH($C272,สินค้า!$B$5:$B$204,0)),"ไม่พบสินค้า"))</f>
        <v/>
      </c>
      <c r="F272" s="17">
        <f>IF($C272="","",IFERROR(INDEX(สินค้า!$D$5:$D$204,MATCH($C272,สินค้า!$B$5:$B$204,0)),"ไม่พบสินค้า"))</f>
        <v/>
      </c>
      <c r="G272" s="15" t="n"/>
      <c r="H272" s="15" t="n"/>
      <c r="I272" s="18">
        <f>IF(AND(ISNUMBER(G272),ISNUMBER(H272),G272&gt;0),H272/G272,"")</f>
        <v/>
      </c>
      <c r="J272" s="15" t="n"/>
      <c r="K272" s="15" t="n"/>
      <c r="L272" s="17">
        <f>IF(A272="","",TEXT(A272,"yyyy-mm"))</f>
        <v/>
      </c>
      <c r="M272" s="17">
        <f>IF(AND(A272&lt;&gt;"",J272="Pending"),TODAY()-A272,"")</f>
        <v/>
      </c>
    </row>
    <row r="273">
      <c r="A273" s="16" t="n"/>
      <c r="B273" s="15" t="n"/>
      <c r="C273" s="15" t="n"/>
      <c r="D273" s="17">
        <f>IF($C273="","",IFERROR(INDEX(สินค้า!$A$5:$A$204,MATCH($C273,สินค้า!$B$5:$B$204,0)),"ไม่พบสินค้า"))</f>
        <v/>
      </c>
      <c r="E273" s="17">
        <f>IF($C273="","",IFERROR(INDEX(สินค้า!$C$5:$C$204,MATCH($C273,สินค้า!$B$5:$B$204,0)),"ไม่พบสินค้า"))</f>
        <v/>
      </c>
      <c r="F273" s="17">
        <f>IF($C273="","",IFERROR(INDEX(สินค้า!$D$5:$D$204,MATCH($C273,สินค้า!$B$5:$B$204,0)),"ไม่พบสินค้า"))</f>
        <v/>
      </c>
      <c r="G273" s="15" t="n"/>
      <c r="H273" s="15" t="n"/>
      <c r="I273" s="18">
        <f>IF(AND(ISNUMBER(G273),ISNUMBER(H273),G273&gt;0),H273/G273,"")</f>
        <v/>
      </c>
      <c r="J273" s="15" t="n"/>
      <c r="K273" s="15" t="n"/>
      <c r="L273" s="17">
        <f>IF(A273="","",TEXT(A273,"yyyy-mm"))</f>
        <v/>
      </c>
      <c r="M273" s="17">
        <f>IF(AND(A273&lt;&gt;"",J273="Pending"),TODAY()-A273,"")</f>
        <v/>
      </c>
    </row>
    <row r="274">
      <c r="A274" s="16" t="n"/>
      <c r="B274" s="15" t="n"/>
      <c r="C274" s="15" t="n"/>
      <c r="D274" s="17">
        <f>IF($C274="","",IFERROR(INDEX(สินค้า!$A$5:$A$204,MATCH($C274,สินค้า!$B$5:$B$204,0)),"ไม่พบสินค้า"))</f>
        <v/>
      </c>
      <c r="E274" s="17">
        <f>IF($C274="","",IFERROR(INDEX(สินค้า!$C$5:$C$204,MATCH($C274,สินค้า!$B$5:$B$204,0)),"ไม่พบสินค้า"))</f>
        <v/>
      </c>
      <c r="F274" s="17">
        <f>IF($C274="","",IFERROR(INDEX(สินค้า!$D$5:$D$204,MATCH($C274,สินค้า!$B$5:$B$204,0)),"ไม่พบสินค้า"))</f>
        <v/>
      </c>
      <c r="G274" s="15" t="n"/>
      <c r="H274" s="15" t="n"/>
      <c r="I274" s="18">
        <f>IF(AND(ISNUMBER(G274),ISNUMBER(H274),G274&gt;0),H274/G274,"")</f>
        <v/>
      </c>
      <c r="J274" s="15" t="n"/>
      <c r="K274" s="15" t="n"/>
      <c r="L274" s="17">
        <f>IF(A274="","",TEXT(A274,"yyyy-mm"))</f>
        <v/>
      </c>
      <c r="M274" s="17">
        <f>IF(AND(A274&lt;&gt;"",J274="Pending"),TODAY()-A274,"")</f>
        <v/>
      </c>
    </row>
    <row r="275">
      <c r="A275" s="16" t="n"/>
      <c r="B275" s="15" t="n"/>
      <c r="C275" s="15" t="n"/>
      <c r="D275" s="17">
        <f>IF($C275="","",IFERROR(INDEX(สินค้า!$A$5:$A$204,MATCH($C275,สินค้า!$B$5:$B$204,0)),"ไม่พบสินค้า"))</f>
        <v/>
      </c>
      <c r="E275" s="17">
        <f>IF($C275="","",IFERROR(INDEX(สินค้า!$C$5:$C$204,MATCH($C275,สินค้า!$B$5:$B$204,0)),"ไม่พบสินค้า"))</f>
        <v/>
      </c>
      <c r="F275" s="17">
        <f>IF($C275="","",IFERROR(INDEX(สินค้า!$D$5:$D$204,MATCH($C275,สินค้า!$B$5:$B$204,0)),"ไม่พบสินค้า"))</f>
        <v/>
      </c>
      <c r="G275" s="15" t="n"/>
      <c r="H275" s="15" t="n"/>
      <c r="I275" s="18">
        <f>IF(AND(ISNUMBER(G275),ISNUMBER(H275),G275&gt;0),H275/G275,"")</f>
        <v/>
      </c>
      <c r="J275" s="15" t="n"/>
      <c r="K275" s="15" t="n"/>
      <c r="L275" s="17">
        <f>IF(A275="","",TEXT(A275,"yyyy-mm"))</f>
        <v/>
      </c>
      <c r="M275" s="17">
        <f>IF(AND(A275&lt;&gt;"",J275="Pending"),TODAY()-A275,"")</f>
        <v/>
      </c>
    </row>
    <row r="276">
      <c r="A276" s="16" t="n"/>
      <c r="B276" s="15" t="n"/>
      <c r="C276" s="15" t="n"/>
      <c r="D276" s="17">
        <f>IF($C276="","",IFERROR(INDEX(สินค้า!$A$5:$A$204,MATCH($C276,สินค้า!$B$5:$B$204,0)),"ไม่พบสินค้า"))</f>
        <v/>
      </c>
      <c r="E276" s="17">
        <f>IF($C276="","",IFERROR(INDEX(สินค้า!$C$5:$C$204,MATCH($C276,สินค้า!$B$5:$B$204,0)),"ไม่พบสินค้า"))</f>
        <v/>
      </c>
      <c r="F276" s="17">
        <f>IF($C276="","",IFERROR(INDEX(สินค้า!$D$5:$D$204,MATCH($C276,สินค้า!$B$5:$B$204,0)),"ไม่พบสินค้า"))</f>
        <v/>
      </c>
      <c r="G276" s="15" t="n"/>
      <c r="H276" s="15" t="n"/>
      <c r="I276" s="18">
        <f>IF(AND(ISNUMBER(G276),ISNUMBER(H276),G276&gt;0),H276/G276,"")</f>
        <v/>
      </c>
      <c r="J276" s="15" t="n"/>
      <c r="K276" s="15" t="n"/>
      <c r="L276" s="17">
        <f>IF(A276="","",TEXT(A276,"yyyy-mm"))</f>
        <v/>
      </c>
      <c r="M276" s="17">
        <f>IF(AND(A276&lt;&gt;"",J276="Pending"),TODAY()-A276,"")</f>
        <v/>
      </c>
    </row>
    <row r="277">
      <c r="A277" s="16" t="n"/>
      <c r="B277" s="15" t="n"/>
      <c r="C277" s="15" t="n"/>
      <c r="D277" s="17">
        <f>IF($C277="","",IFERROR(INDEX(สินค้า!$A$5:$A$204,MATCH($C277,สินค้า!$B$5:$B$204,0)),"ไม่พบสินค้า"))</f>
        <v/>
      </c>
      <c r="E277" s="17">
        <f>IF($C277="","",IFERROR(INDEX(สินค้า!$C$5:$C$204,MATCH($C277,สินค้า!$B$5:$B$204,0)),"ไม่พบสินค้า"))</f>
        <v/>
      </c>
      <c r="F277" s="17">
        <f>IF($C277="","",IFERROR(INDEX(สินค้า!$D$5:$D$204,MATCH($C277,สินค้า!$B$5:$B$204,0)),"ไม่พบสินค้า"))</f>
        <v/>
      </c>
      <c r="G277" s="15" t="n"/>
      <c r="H277" s="15" t="n"/>
      <c r="I277" s="18">
        <f>IF(AND(ISNUMBER(G277),ISNUMBER(H277),G277&gt;0),H277/G277,"")</f>
        <v/>
      </c>
      <c r="J277" s="15" t="n"/>
      <c r="K277" s="15" t="n"/>
      <c r="L277" s="17">
        <f>IF(A277="","",TEXT(A277,"yyyy-mm"))</f>
        <v/>
      </c>
      <c r="M277" s="17">
        <f>IF(AND(A277&lt;&gt;"",J277="Pending"),TODAY()-A277,"")</f>
        <v/>
      </c>
    </row>
    <row r="278">
      <c r="A278" s="16" t="n"/>
      <c r="B278" s="15" t="n"/>
      <c r="C278" s="15" t="n"/>
      <c r="D278" s="17">
        <f>IF($C278="","",IFERROR(INDEX(สินค้า!$A$5:$A$204,MATCH($C278,สินค้า!$B$5:$B$204,0)),"ไม่พบสินค้า"))</f>
        <v/>
      </c>
      <c r="E278" s="17">
        <f>IF($C278="","",IFERROR(INDEX(สินค้า!$C$5:$C$204,MATCH($C278,สินค้า!$B$5:$B$204,0)),"ไม่พบสินค้า"))</f>
        <v/>
      </c>
      <c r="F278" s="17">
        <f>IF($C278="","",IFERROR(INDEX(สินค้า!$D$5:$D$204,MATCH($C278,สินค้า!$B$5:$B$204,0)),"ไม่พบสินค้า"))</f>
        <v/>
      </c>
      <c r="G278" s="15" t="n"/>
      <c r="H278" s="15" t="n"/>
      <c r="I278" s="18">
        <f>IF(AND(ISNUMBER(G278),ISNUMBER(H278),G278&gt;0),H278/G278,"")</f>
        <v/>
      </c>
      <c r="J278" s="15" t="n"/>
      <c r="K278" s="15" t="n"/>
      <c r="L278" s="17">
        <f>IF(A278="","",TEXT(A278,"yyyy-mm"))</f>
        <v/>
      </c>
      <c r="M278" s="17">
        <f>IF(AND(A278&lt;&gt;"",J278="Pending"),TODAY()-A278,"")</f>
        <v/>
      </c>
    </row>
    <row r="279">
      <c r="A279" s="16" t="n"/>
      <c r="B279" s="15" t="n"/>
      <c r="C279" s="15" t="n"/>
      <c r="D279" s="17">
        <f>IF($C279="","",IFERROR(INDEX(สินค้า!$A$5:$A$204,MATCH($C279,สินค้า!$B$5:$B$204,0)),"ไม่พบสินค้า"))</f>
        <v/>
      </c>
      <c r="E279" s="17">
        <f>IF($C279="","",IFERROR(INDEX(สินค้า!$C$5:$C$204,MATCH($C279,สินค้า!$B$5:$B$204,0)),"ไม่พบสินค้า"))</f>
        <v/>
      </c>
      <c r="F279" s="17">
        <f>IF($C279="","",IFERROR(INDEX(สินค้า!$D$5:$D$204,MATCH($C279,สินค้า!$B$5:$B$204,0)),"ไม่พบสินค้า"))</f>
        <v/>
      </c>
      <c r="G279" s="15" t="n"/>
      <c r="H279" s="15" t="n"/>
      <c r="I279" s="18">
        <f>IF(AND(ISNUMBER(G279),ISNUMBER(H279),G279&gt;0),H279/G279,"")</f>
        <v/>
      </c>
      <c r="J279" s="15" t="n"/>
      <c r="K279" s="15" t="n"/>
      <c r="L279" s="17">
        <f>IF(A279="","",TEXT(A279,"yyyy-mm"))</f>
        <v/>
      </c>
      <c r="M279" s="17">
        <f>IF(AND(A279&lt;&gt;"",J279="Pending"),TODAY()-A279,"")</f>
        <v/>
      </c>
    </row>
    <row r="280">
      <c r="A280" s="16" t="n"/>
      <c r="B280" s="15" t="n"/>
      <c r="C280" s="15" t="n"/>
      <c r="D280" s="17">
        <f>IF($C280="","",IFERROR(INDEX(สินค้า!$A$5:$A$204,MATCH($C280,สินค้า!$B$5:$B$204,0)),"ไม่พบสินค้า"))</f>
        <v/>
      </c>
      <c r="E280" s="17">
        <f>IF($C280="","",IFERROR(INDEX(สินค้า!$C$5:$C$204,MATCH($C280,สินค้า!$B$5:$B$204,0)),"ไม่พบสินค้า"))</f>
        <v/>
      </c>
      <c r="F280" s="17">
        <f>IF($C280="","",IFERROR(INDEX(สินค้า!$D$5:$D$204,MATCH($C280,สินค้า!$B$5:$B$204,0)),"ไม่พบสินค้า"))</f>
        <v/>
      </c>
      <c r="G280" s="15" t="n"/>
      <c r="H280" s="15" t="n"/>
      <c r="I280" s="18">
        <f>IF(AND(ISNUMBER(G280),ISNUMBER(H280),G280&gt;0),H280/G280,"")</f>
        <v/>
      </c>
      <c r="J280" s="15" t="n"/>
      <c r="K280" s="15" t="n"/>
      <c r="L280" s="17">
        <f>IF(A280="","",TEXT(A280,"yyyy-mm"))</f>
        <v/>
      </c>
      <c r="M280" s="17">
        <f>IF(AND(A280&lt;&gt;"",J280="Pending"),TODAY()-A280,"")</f>
        <v/>
      </c>
    </row>
    <row r="281">
      <c r="A281" s="16" t="n"/>
      <c r="B281" s="15" t="n"/>
      <c r="C281" s="15" t="n"/>
      <c r="D281" s="17">
        <f>IF($C281="","",IFERROR(INDEX(สินค้า!$A$5:$A$204,MATCH($C281,สินค้า!$B$5:$B$204,0)),"ไม่พบสินค้า"))</f>
        <v/>
      </c>
      <c r="E281" s="17">
        <f>IF($C281="","",IFERROR(INDEX(สินค้า!$C$5:$C$204,MATCH($C281,สินค้า!$B$5:$B$204,0)),"ไม่พบสินค้า"))</f>
        <v/>
      </c>
      <c r="F281" s="17">
        <f>IF($C281="","",IFERROR(INDEX(สินค้า!$D$5:$D$204,MATCH($C281,สินค้า!$B$5:$B$204,0)),"ไม่พบสินค้า"))</f>
        <v/>
      </c>
      <c r="G281" s="15" t="n"/>
      <c r="H281" s="15" t="n"/>
      <c r="I281" s="18">
        <f>IF(AND(ISNUMBER(G281),ISNUMBER(H281),G281&gt;0),H281/G281,"")</f>
        <v/>
      </c>
      <c r="J281" s="15" t="n"/>
      <c r="K281" s="15" t="n"/>
      <c r="L281" s="17">
        <f>IF(A281="","",TEXT(A281,"yyyy-mm"))</f>
        <v/>
      </c>
      <c r="M281" s="17">
        <f>IF(AND(A281&lt;&gt;"",J281="Pending"),TODAY()-A281,"")</f>
        <v/>
      </c>
    </row>
    <row r="282">
      <c r="A282" s="16" t="n"/>
      <c r="B282" s="15" t="n"/>
      <c r="C282" s="15" t="n"/>
      <c r="D282" s="17">
        <f>IF($C282="","",IFERROR(INDEX(สินค้า!$A$5:$A$204,MATCH($C282,สินค้า!$B$5:$B$204,0)),"ไม่พบสินค้า"))</f>
        <v/>
      </c>
      <c r="E282" s="17">
        <f>IF($C282="","",IFERROR(INDEX(สินค้า!$C$5:$C$204,MATCH($C282,สินค้า!$B$5:$B$204,0)),"ไม่พบสินค้า"))</f>
        <v/>
      </c>
      <c r="F282" s="17">
        <f>IF($C282="","",IFERROR(INDEX(สินค้า!$D$5:$D$204,MATCH($C282,สินค้า!$B$5:$B$204,0)),"ไม่พบสินค้า"))</f>
        <v/>
      </c>
      <c r="G282" s="15" t="n"/>
      <c r="H282" s="15" t="n"/>
      <c r="I282" s="18">
        <f>IF(AND(ISNUMBER(G282),ISNUMBER(H282),G282&gt;0),H282/G282,"")</f>
        <v/>
      </c>
      <c r="J282" s="15" t="n"/>
      <c r="K282" s="15" t="n"/>
      <c r="L282" s="17">
        <f>IF(A282="","",TEXT(A282,"yyyy-mm"))</f>
        <v/>
      </c>
      <c r="M282" s="17">
        <f>IF(AND(A282&lt;&gt;"",J282="Pending"),TODAY()-A282,"")</f>
        <v/>
      </c>
    </row>
    <row r="283">
      <c r="A283" s="16" t="n"/>
      <c r="B283" s="15" t="n"/>
      <c r="C283" s="15" t="n"/>
      <c r="D283" s="17">
        <f>IF($C283="","",IFERROR(INDEX(สินค้า!$A$5:$A$204,MATCH($C283,สินค้า!$B$5:$B$204,0)),"ไม่พบสินค้า"))</f>
        <v/>
      </c>
      <c r="E283" s="17">
        <f>IF($C283="","",IFERROR(INDEX(สินค้า!$C$5:$C$204,MATCH($C283,สินค้า!$B$5:$B$204,0)),"ไม่พบสินค้า"))</f>
        <v/>
      </c>
      <c r="F283" s="17">
        <f>IF($C283="","",IFERROR(INDEX(สินค้า!$D$5:$D$204,MATCH($C283,สินค้า!$B$5:$B$204,0)),"ไม่พบสินค้า"))</f>
        <v/>
      </c>
      <c r="G283" s="15" t="n"/>
      <c r="H283" s="15" t="n"/>
      <c r="I283" s="18">
        <f>IF(AND(ISNUMBER(G283),ISNUMBER(H283),G283&gt;0),H283/G283,"")</f>
        <v/>
      </c>
      <c r="J283" s="15" t="n"/>
      <c r="K283" s="15" t="n"/>
      <c r="L283" s="17">
        <f>IF(A283="","",TEXT(A283,"yyyy-mm"))</f>
        <v/>
      </c>
      <c r="M283" s="17">
        <f>IF(AND(A283&lt;&gt;"",J283="Pending"),TODAY()-A283,"")</f>
        <v/>
      </c>
    </row>
    <row r="284">
      <c r="A284" s="16" t="n"/>
      <c r="B284" s="15" t="n"/>
      <c r="C284" s="15" t="n"/>
      <c r="D284" s="17">
        <f>IF($C284="","",IFERROR(INDEX(สินค้า!$A$5:$A$204,MATCH($C284,สินค้า!$B$5:$B$204,0)),"ไม่พบสินค้า"))</f>
        <v/>
      </c>
      <c r="E284" s="17">
        <f>IF($C284="","",IFERROR(INDEX(สินค้า!$C$5:$C$204,MATCH($C284,สินค้า!$B$5:$B$204,0)),"ไม่พบสินค้า"))</f>
        <v/>
      </c>
      <c r="F284" s="17">
        <f>IF($C284="","",IFERROR(INDEX(สินค้า!$D$5:$D$204,MATCH($C284,สินค้า!$B$5:$B$204,0)),"ไม่พบสินค้า"))</f>
        <v/>
      </c>
      <c r="G284" s="15" t="n"/>
      <c r="H284" s="15" t="n"/>
      <c r="I284" s="18">
        <f>IF(AND(ISNUMBER(G284),ISNUMBER(H284),G284&gt;0),H284/G284,"")</f>
        <v/>
      </c>
      <c r="J284" s="15" t="n"/>
      <c r="K284" s="15" t="n"/>
      <c r="L284" s="17">
        <f>IF(A284="","",TEXT(A284,"yyyy-mm"))</f>
        <v/>
      </c>
      <c r="M284" s="17">
        <f>IF(AND(A284&lt;&gt;"",J284="Pending"),TODAY()-A284,"")</f>
        <v/>
      </c>
    </row>
    <row r="285">
      <c r="A285" s="16" t="n"/>
      <c r="B285" s="15" t="n"/>
      <c r="C285" s="15" t="n"/>
      <c r="D285" s="17">
        <f>IF($C285="","",IFERROR(INDEX(สินค้า!$A$5:$A$204,MATCH($C285,สินค้า!$B$5:$B$204,0)),"ไม่พบสินค้า"))</f>
        <v/>
      </c>
      <c r="E285" s="17">
        <f>IF($C285="","",IFERROR(INDEX(สินค้า!$C$5:$C$204,MATCH($C285,สินค้า!$B$5:$B$204,0)),"ไม่พบสินค้า"))</f>
        <v/>
      </c>
      <c r="F285" s="17">
        <f>IF($C285="","",IFERROR(INDEX(สินค้า!$D$5:$D$204,MATCH($C285,สินค้า!$B$5:$B$204,0)),"ไม่พบสินค้า"))</f>
        <v/>
      </c>
      <c r="G285" s="15" t="n"/>
      <c r="H285" s="15" t="n"/>
      <c r="I285" s="18">
        <f>IF(AND(ISNUMBER(G285),ISNUMBER(H285),G285&gt;0),H285/G285,"")</f>
        <v/>
      </c>
      <c r="J285" s="15" t="n"/>
      <c r="K285" s="15" t="n"/>
      <c r="L285" s="17">
        <f>IF(A285="","",TEXT(A285,"yyyy-mm"))</f>
        <v/>
      </c>
      <c r="M285" s="17">
        <f>IF(AND(A285&lt;&gt;"",J285="Pending"),TODAY()-A285,"")</f>
        <v/>
      </c>
    </row>
    <row r="286">
      <c r="A286" s="16" t="n"/>
      <c r="B286" s="15" t="n"/>
      <c r="C286" s="15" t="n"/>
      <c r="D286" s="17">
        <f>IF($C286="","",IFERROR(INDEX(สินค้า!$A$5:$A$204,MATCH($C286,สินค้า!$B$5:$B$204,0)),"ไม่พบสินค้า"))</f>
        <v/>
      </c>
      <c r="E286" s="17">
        <f>IF($C286="","",IFERROR(INDEX(สินค้า!$C$5:$C$204,MATCH($C286,สินค้า!$B$5:$B$204,0)),"ไม่พบสินค้า"))</f>
        <v/>
      </c>
      <c r="F286" s="17">
        <f>IF($C286="","",IFERROR(INDEX(สินค้า!$D$5:$D$204,MATCH($C286,สินค้า!$B$5:$B$204,0)),"ไม่พบสินค้า"))</f>
        <v/>
      </c>
      <c r="G286" s="15" t="n"/>
      <c r="H286" s="15" t="n"/>
      <c r="I286" s="18">
        <f>IF(AND(ISNUMBER(G286),ISNUMBER(H286),G286&gt;0),H286/G286,"")</f>
        <v/>
      </c>
      <c r="J286" s="15" t="n"/>
      <c r="K286" s="15" t="n"/>
      <c r="L286" s="17">
        <f>IF(A286="","",TEXT(A286,"yyyy-mm"))</f>
        <v/>
      </c>
      <c r="M286" s="17">
        <f>IF(AND(A286&lt;&gt;"",J286="Pending"),TODAY()-A286,"")</f>
        <v/>
      </c>
    </row>
    <row r="287">
      <c r="A287" s="16" t="n"/>
      <c r="B287" s="15" t="n"/>
      <c r="C287" s="15" t="n"/>
      <c r="D287" s="17">
        <f>IF($C287="","",IFERROR(INDEX(สินค้า!$A$5:$A$204,MATCH($C287,สินค้า!$B$5:$B$204,0)),"ไม่พบสินค้า"))</f>
        <v/>
      </c>
      <c r="E287" s="17">
        <f>IF($C287="","",IFERROR(INDEX(สินค้า!$C$5:$C$204,MATCH($C287,สินค้า!$B$5:$B$204,0)),"ไม่พบสินค้า"))</f>
        <v/>
      </c>
      <c r="F287" s="17">
        <f>IF($C287="","",IFERROR(INDEX(สินค้า!$D$5:$D$204,MATCH($C287,สินค้า!$B$5:$B$204,0)),"ไม่พบสินค้า"))</f>
        <v/>
      </c>
      <c r="G287" s="15" t="n"/>
      <c r="H287" s="15" t="n"/>
      <c r="I287" s="18">
        <f>IF(AND(ISNUMBER(G287),ISNUMBER(H287),G287&gt;0),H287/G287,"")</f>
        <v/>
      </c>
      <c r="J287" s="15" t="n"/>
      <c r="K287" s="15" t="n"/>
      <c r="L287" s="17">
        <f>IF(A287="","",TEXT(A287,"yyyy-mm"))</f>
        <v/>
      </c>
      <c r="M287" s="17">
        <f>IF(AND(A287&lt;&gt;"",J287="Pending"),TODAY()-A287,"")</f>
        <v/>
      </c>
    </row>
    <row r="288">
      <c r="A288" s="16" t="n"/>
      <c r="B288" s="15" t="n"/>
      <c r="C288" s="15" t="n"/>
      <c r="D288" s="17">
        <f>IF($C288="","",IFERROR(INDEX(สินค้า!$A$5:$A$204,MATCH($C288,สินค้า!$B$5:$B$204,0)),"ไม่พบสินค้า"))</f>
        <v/>
      </c>
      <c r="E288" s="17">
        <f>IF($C288="","",IFERROR(INDEX(สินค้า!$C$5:$C$204,MATCH($C288,สินค้า!$B$5:$B$204,0)),"ไม่พบสินค้า"))</f>
        <v/>
      </c>
      <c r="F288" s="17">
        <f>IF($C288="","",IFERROR(INDEX(สินค้า!$D$5:$D$204,MATCH($C288,สินค้า!$B$5:$B$204,0)),"ไม่พบสินค้า"))</f>
        <v/>
      </c>
      <c r="G288" s="15" t="n"/>
      <c r="H288" s="15" t="n"/>
      <c r="I288" s="18">
        <f>IF(AND(ISNUMBER(G288),ISNUMBER(H288),G288&gt;0),H288/G288,"")</f>
        <v/>
      </c>
      <c r="J288" s="15" t="n"/>
      <c r="K288" s="15" t="n"/>
      <c r="L288" s="17">
        <f>IF(A288="","",TEXT(A288,"yyyy-mm"))</f>
        <v/>
      </c>
      <c r="M288" s="17">
        <f>IF(AND(A288&lt;&gt;"",J288="Pending"),TODAY()-A288,"")</f>
        <v/>
      </c>
    </row>
    <row r="289">
      <c r="A289" s="16" t="n"/>
      <c r="B289" s="15" t="n"/>
      <c r="C289" s="15" t="n"/>
      <c r="D289" s="17">
        <f>IF($C289="","",IFERROR(INDEX(สินค้า!$A$5:$A$204,MATCH($C289,สินค้า!$B$5:$B$204,0)),"ไม่พบสินค้า"))</f>
        <v/>
      </c>
      <c r="E289" s="17">
        <f>IF($C289="","",IFERROR(INDEX(สินค้า!$C$5:$C$204,MATCH($C289,สินค้า!$B$5:$B$204,0)),"ไม่พบสินค้า"))</f>
        <v/>
      </c>
      <c r="F289" s="17">
        <f>IF($C289="","",IFERROR(INDEX(สินค้า!$D$5:$D$204,MATCH($C289,สินค้า!$B$5:$B$204,0)),"ไม่พบสินค้า"))</f>
        <v/>
      </c>
      <c r="G289" s="15" t="n"/>
      <c r="H289" s="15" t="n"/>
      <c r="I289" s="18">
        <f>IF(AND(ISNUMBER(G289),ISNUMBER(H289),G289&gt;0),H289/G289,"")</f>
        <v/>
      </c>
      <c r="J289" s="15" t="n"/>
      <c r="K289" s="15" t="n"/>
      <c r="L289" s="17">
        <f>IF(A289="","",TEXT(A289,"yyyy-mm"))</f>
        <v/>
      </c>
      <c r="M289" s="17">
        <f>IF(AND(A289&lt;&gt;"",J289="Pending"),TODAY()-A289,"")</f>
        <v/>
      </c>
    </row>
    <row r="290">
      <c r="A290" s="16" t="n"/>
      <c r="B290" s="15" t="n"/>
      <c r="C290" s="15" t="n"/>
      <c r="D290" s="17">
        <f>IF($C290="","",IFERROR(INDEX(สินค้า!$A$5:$A$204,MATCH($C290,สินค้า!$B$5:$B$204,0)),"ไม่พบสินค้า"))</f>
        <v/>
      </c>
      <c r="E290" s="17">
        <f>IF($C290="","",IFERROR(INDEX(สินค้า!$C$5:$C$204,MATCH($C290,สินค้า!$B$5:$B$204,0)),"ไม่พบสินค้า"))</f>
        <v/>
      </c>
      <c r="F290" s="17">
        <f>IF($C290="","",IFERROR(INDEX(สินค้า!$D$5:$D$204,MATCH($C290,สินค้า!$B$5:$B$204,0)),"ไม่พบสินค้า"))</f>
        <v/>
      </c>
      <c r="G290" s="15" t="n"/>
      <c r="H290" s="15" t="n"/>
      <c r="I290" s="18">
        <f>IF(AND(ISNUMBER(G290),ISNUMBER(H290),G290&gt;0),H290/G290,"")</f>
        <v/>
      </c>
      <c r="J290" s="15" t="n"/>
      <c r="K290" s="15" t="n"/>
      <c r="L290" s="17">
        <f>IF(A290="","",TEXT(A290,"yyyy-mm"))</f>
        <v/>
      </c>
      <c r="M290" s="17">
        <f>IF(AND(A290&lt;&gt;"",J290="Pending"),TODAY()-A290,"")</f>
        <v/>
      </c>
    </row>
    <row r="291">
      <c r="A291" s="16" t="n"/>
      <c r="B291" s="15" t="n"/>
      <c r="C291" s="15" t="n"/>
      <c r="D291" s="17">
        <f>IF($C291="","",IFERROR(INDEX(สินค้า!$A$5:$A$204,MATCH($C291,สินค้า!$B$5:$B$204,0)),"ไม่พบสินค้า"))</f>
        <v/>
      </c>
      <c r="E291" s="17">
        <f>IF($C291="","",IFERROR(INDEX(สินค้า!$C$5:$C$204,MATCH($C291,สินค้า!$B$5:$B$204,0)),"ไม่พบสินค้า"))</f>
        <v/>
      </c>
      <c r="F291" s="17">
        <f>IF($C291="","",IFERROR(INDEX(สินค้า!$D$5:$D$204,MATCH($C291,สินค้า!$B$5:$B$204,0)),"ไม่พบสินค้า"))</f>
        <v/>
      </c>
      <c r="G291" s="15" t="n"/>
      <c r="H291" s="15" t="n"/>
      <c r="I291" s="18">
        <f>IF(AND(ISNUMBER(G291),ISNUMBER(H291),G291&gt;0),H291/G291,"")</f>
        <v/>
      </c>
      <c r="J291" s="15" t="n"/>
      <c r="K291" s="15" t="n"/>
      <c r="L291" s="17">
        <f>IF(A291="","",TEXT(A291,"yyyy-mm"))</f>
        <v/>
      </c>
      <c r="M291" s="17">
        <f>IF(AND(A291&lt;&gt;"",J291="Pending"),TODAY()-A291,"")</f>
        <v/>
      </c>
    </row>
    <row r="292">
      <c r="A292" s="16" t="n"/>
      <c r="B292" s="15" t="n"/>
      <c r="C292" s="15" t="n"/>
      <c r="D292" s="17">
        <f>IF($C292="","",IFERROR(INDEX(สินค้า!$A$5:$A$204,MATCH($C292,สินค้า!$B$5:$B$204,0)),"ไม่พบสินค้า"))</f>
        <v/>
      </c>
      <c r="E292" s="17">
        <f>IF($C292="","",IFERROR(INDEX(สินค้า!$C$5:$C$204,MATCH($C292,สินค้า!$B$5:$B$204,0)),"ไม่พบสินค้า"))</f>
        <v/>
      </c>
      <c r="F292" s="17">
        <f>IF($C292="","",IFERROR(INDEX(สินค้า!$D$5:$D$204,MATCH($C292,สินค้า!$B$5:$B$204,0)),"ไม่พบสินค้า"))</f>
        <v/>
      </c>
      <c r="G292" s="15" t="n"/>
      <c r="H292" s="15" t="n"/>
      <c r="I292" s="18">
        <f>IF(AND(ISNUMBER(G292),ISNUMBER(H292),G292&gt;0),H292/G292,"")</f>
        <v/>
      </c>
      <c r="J292" s="15" t="n"/>
      <c r="K292" s="15" t="n"/>
      <c r="L292" s="17">
        <f>IF(A292="","",TEXT(A292,"yyyy-mm"))</f>
        <v/>
      </c>
      <c r="M292" s="17">
        <f>IF(AND(A292&lt;&gt;"",J292="Pending"),TODAY()-A292,"")</f>
        <v/>
      </c>
    </row>
    <row r="293">
      <c r="A293" s="16" t="n"/>
      <c r="B293" s="15" t="n"/>
      <c r="C293" s="15" t="n"/>
      <c r="D293" s="17">
        <f>IF($C293="","",IFERROR(INDEX(สินค้า!$A$5:$A$204,MATCH($C293,สินค้า!$B$5:$B$204,0)),"ไม่พบสินค้า"))</f>
        <v/>
      </c>
      <c r="E293" s="17">
        <f>IF($C293="","",IFERROR(INDEX(สินค้า!$C$5:$C$204,MATCH($C293,สินค้า!$B$5:$B$204,0)),"ไม่พบสินค้า"))</f>
        <v/>
      </c>
      <c r="F293" s="17">
        <f>IF($C293="","",IFERROR(INDEX(สินค้า!$D$5:$D$204,MATCH($C293,สินค้า!$B$5:$B$204,0)),"ไม่พบสินค้า"))</f>
        <v/>
      </c>
      <c r="G293" s="15" t="n"/>
      <c r="H293" s="15" t="n"/>
      <c r="I293" s="18">
        <f>IF(AND(ISNUMBER(G293),ISNUMBER(H293),G293&gt;0),H293/G293,"")</f>
        <v/>
      </c>
      <c r="J293" s="15" t="n"/>
      <c r="K293" s="15" t="n"/>
      <c r="L293" s="17">
        <f>IF(A293="","",TEXT(A293,"yyyy-mm"))</f>
        <v/>
      </c>
      <c r="M293" s="17">
        <f>IF(AND(A293&lt;&gt;"",J293="Pending"),TODAY()-A293,"")</f>
        <v/>
      </c>
    </row>
    <row r="294">
      <c r="A294" s="16" t="n"/>
      <c r="B294" s="15" t="n"/>
      <c r="C294" s="15" t="n"/>
      <c r="D294" s="17">
        <f>IF($C294="","",IFERROR(INDEX(สินค้า!$A$5:$A$204,MATCH($C294,สินค้า!$B$5:$B$204,0)),"ไม่พบสินค้า"))</f>
        <v/>
      </c>
      <c r="E294" s="17">
        <f>IF($C294="","",IFERROR(INDEX(สินค้า!$C$5:$C$204,MATCH($C294,สินค้า!$B$5:$B$204,0)),"ไม่พบสินค้า"))</f>
        <v/>
      </c>
      <c r="F294" s="17">
        <f>IF($C294="","",IFERROR(INDEX(สินค้า!$D$5:$D$204,MATCH($C294,สินค้า!$B$5:$B$204,0)),"ไม่พบสินค้า"))</f>
        <v/>
      </c>
      <c r="G294" s="15" t="n"/>
      <c r="H294" s="15" t="n"/>
      <c r="I294" s="18">
        <f>IF(AND(ISNUMBER(G294),ISNUMBER(H294),G294&gt;0),H294/G294,"")</f>
        <v/>
      </c>
      <c r="J294" s="15" t="n"/>
      <c r="K294" s="15" t="n"/>
      <c r="L294" s="17">
        <f>IF(A294="","",TEXT(A294,"yyyy-mm"))</f>
        <v/>
      </c>
      <c r="M294" s="17">
        <f>IF(AND(A294&lt;&gt;"",J294="Pending"),TODAY()-A294,"")</f>
        <v/>
      </c>
    </row>
    <row r="295">
      <c r="A295" s="16" t="n"/>
      <c r="B295" s="15" t="n"/>
      <c r="C295" s="15" t="n"/>
      <c r="D295" s="17">
        <f>IF($C295="","",IFERROR(INDEX(สินค้า!$A$5:$A$204,MATCH($C295,สินค้า!$B$5:$B$204,0)),"ไม่พบสินค้า"))</f>
        <v/>
      </c>
      <c r="E295" s="17">
        <f>IF($C295="","",IFERROR(INDEX(สินค้า!$C$5:$C$204,MATCH($C295,สินค้า!$B$5:$B$204,0)),"ไม่พบสินค้า"))</f>
        <v/>
      </c>
      <c r="F295" s="17">
        <f>IF($C295="","",IFERROR(INDEX(สินค้า!$D$5:$D$204,MATCH($C295,สินค้า!$B$5:$B$204,0)),"ไม่พบสินค้า"))</f>
        <v/>
      </c>
      <c r="G295" s="15" t="n"/>
      <c r="H295" s="15" t="n"/>
      <c r="I295" s="18">
        <f>IF(AND(ISNUMBER(G295),ISNUMBER(H295),G295&gt;0),H295/G295,"")</f>
        <v/>
      </c>
      <c r="J295" s="15" t="n"/>
      <c r="K295" s="15" t="n"/>
      <c r="L295" s="17">
        <f>IF(A295="","",TEXT(A295,"yyyy-mm"))</f>
        <v/>
      </c>
      <c r="M295" s="17">
        <f>IF(AND(A295&lt;&gt;"",J295="Pending"),TODAY()-A295,"")</f>
        <v/>
      </c>
    </row>
    <row r="296">
      <c r="A296" s="16" t="n"/>
      <c r="B296" s="15" t="n"/>
      <c r="C296" s="15" t="n"/>
      <c r="D296" s="17">
        <f>IF($C296="","",IFERROR(INDEX(สินค้า!$A$5:$A$204,MATCH($C296,สินค้า!$B$5:$B$204,0)),"ไม่พบสินค้า"))</f>
        <v/>
      </c>
      <c r="E296" s="17">
        <f>IF($C296="","",IFERROR(INDEX(สินค้า!$C$5:$C$204,MATCH($C296,สินค้า!$B$5:$B$204,0)),"ไม่พบสินค้า"))</f>
        <v/>
      </c>
      <c r="F296" s="17">
        <f>IF($C296="","",IFERROR(INDEX(สินค้า!$D$5:$D$204,MATCH($C296,สินค้า!$B$5:$B$204,0)),"ไม่พบสินค้า"))</f>
        <v/>
      </c>
      <c r="G296" s="15" t="n"/>
      <c r="H296" s="15" t="n"/>
      <c r="I296" s="18">
        <f>IF(AND(ISNUMBER(G296),ISNUMBER(H296),G296&gt;0),H296/G296,"")</f>
        <v/>
      </c>
      <c r="J296" s="15" t="n"/>
      <c r="K296" s="15" t="n"/>
      <c r="L296" s="17">
        <f>IF(A296="","",TEXT(A296,"yyyy-mm"))</f>
        <v/>
      </c>
      <c r="M296" s="17">
        <f>IF(AND(A296&lt;&gt;"",J296="Pending"),TODAY()-A296,"")</f>
        <v/>
      </c>
    </row>
    <row r="297">
      <c r="A297" s="16" t="n"/>
      <c r="B297" s="15" t="n"/>
      <c r="C297" s="15" t="n"/>
      <c r="D297" s="17">
        <f>IF($C297="","",IFERROR(INDEX(สินค้า!$A$5:$A$204,MATCH($C297,สินค้า!$B$5:$B$204,0)),"ไม่พบสินค้า"))</f>
        <v/>
      </c>
      <c r="E297" s="17">
        <f>IF($C297="","",IFERROR(INDEX(สินค้า!$C$5:$C$204,MATCH($C297,สินค้า!$B$5:$B$204,0)),"ไม่พบสินค้า"))</f>
        <v/>
      </c>
      <c r="F297" s="17">
        <f>IF($C297="","",IFERROR(INDEX(สินค้า!$D$5:$D$204,MATCH($C297,สินค้า!$B$5:$B$204,0)),"ไม่พบสินค้า"))</f>
        <v/>
      </c>
      <c r="G297" s="15" t="n"/>
      <c r="H297" s="15" t="n"/>
      <c r="I297" s="18">
        <f>IF(AND(ISNUMBER(G297),ISNUMBER(H297),G297&gt;0),H297/G297,"")</f>
        <v/>
      </c>
      <c r="J297" s="15" t="n"/>
      <c r="K297" s="15" t="n"/>
      <c r="L297" s="17">
        <f>IF(A297="","",TEXT(A297,"yyyy-mm"))</f>
        <v/>
      </c>
      <c r="M297" s="17">
        <f>IF(AND(A297&lt;&gt;"",J297="Pending"),TODAY()-A297,"")</f>
        <v/>
      </c>
    </row>
    <row r="298">
      <c r="A298" s="16" t="n"/>
      <c r="B298" s="15" t="n"/>
      <c r="C298" s="15" t="n"/>
      <c r="D298" s="17">
        <f>IF($C298="","",IFERROR(INDEX(สินค้า!$A$5:$A$204,MATCH($C298,สินค้า!$B$5:$B$204,0)),"ไม่พบสินค้า"))</f>
        <v/>
      </c>
      <c r="E298" s="17">
        <f>IF($C298="","",IFERROR(INDEX(สินค้า!$C$5:$C$204,MATCH($C298,สินค้า!$B$5:$B$204,0)),"ไม่พบสินค้า"))</f>
        <v/>
      </c>
      <c r="F298" s="17">
        <f>IF($C298="","",IFERROR(INDEX(สินค้า!$D$5:$D$204,MATCH($C298,สินค้า!$B$5:$B$204,0)),"ไม่พบสินค้า"))</f>
        <v/>
      </c>
      <c r="G298" s="15" t="n"/>
      <c r="H298" s="15" t="n"/>
      <c r="I298" s="18">
        <f>IF(AND(ISNUMBER(G298),ISNUMBER(H298),G298&gt;0),H298/G298,"")</f>
        <v/>
      </c>
      <c r="J298" s="15" t="n"/>
      <c r="K298" s="15" t="n"/>
      <c r="L298" s="17">
        <f>IF(A298="","",TEXT(A298,"yyyy-mm"))</f>
        <v/>
      </c>
      <c r="M298" s="17">
        <f>IF(AND(A298&lt;&gt;"",J298="Pending"),TODAY()-A298,"")</f>
        <v/>
      </c>
    </row>
    <row r="299">
      <c r="A299" s="16" t="n"/>
      <c r="B299" s="15" t="n"/>
      <c r="C299" s="15" t="n"/>
      <c r="D299" s="17">
        <f>IF($C299="","",IFERROR(INDEX(สินค้า!$A$5:$A$204,MATCH($C299,สินค้า!$B$5:$B$204,0)),"ไม่พบสินค้า"))</f>
        <v/>
      </c>
      <c r="E299" s="17">
        <f>IF($C299="","",IFERROR(INDEX(สินค้า!$C$5:$C$204,MATCH($C299,สินค้า!$B$5:$B$204,0)),"ไม่พบสินค้า"))</f>
        <v/>
      </c>
      <c r="F299" s="17">
        <f>IF($C299="","",IFERROR(INDEX(สินค้า!$D$5:$D$204,MATCH($C299,สินค้า!$B$5:$B$204,0)),"ไม่พบสินค้า"))</f>
        <v/>
      </c>
      <c r="G299" s="15" t="n"/>
      <c r="H299" s="15" t="n"/>
      <c r="I299" s="18">
        <f>IF(AND(ISNUMBER(G299),ISNUMBER(H299),G299&gt;0),H299/G299,"")</f>
        <v/>
      </c>
      <c r="J299" s="15" t="n"/>
      <c r="K299" s="15" t="n"/>
      <c r="L299" s="17">
        <f>IF(A299="","",TEXT(A299,"yyyy-mm"))</f>
        <v/>
      </c>
      <c r="M299" s="17">
        <f>IF(AND(A299&lt;&gt;"",J299="Pending"),TODAY()-A299,"")</f>
        <v/>
      </c>
    </row>
    <row r="300">
      <c r="A300" s="16" t="n"/>
      <c r="B300" s="15" t="n"/>
      <c r="C300" s="15" t="n"/>
      <c r="D300" s="17">
        <f>IF($C300="","",IFERROR(INDEX(สินค้า!$A$5:$A$204,MATCH($C300,สินค้า!$B$5:$B$204,0)),"ไม่พบสินค้า"))</f>
        <v/>
      </c>
      <c r="E300" s="17">
        <f>IF($C300="","",IFERROR(INDEX(สินค้า!$C$5:$C$204,MATCH($C300,สินค้า!$B$5:$B$204,0)),"ไม่พบสินค้า"))</f>
        <v/>
      </c>
      <c r="F300" s="17">
        <f>IF($C300="","",IFERROR(INDEX(สินค้า!$D$5:$D$204,MATCH($C300,สินค้า!$B$5:$B$204,0)),"ไม่พบสินค้า"))</f>
        <v/>
      </c>
      <c r="G300" s="15" t="n"/>
      <c r="H300" s="15" t="n"/>
      <c r="I300" s="18">
        <f>IF(AND(ISNUMBER(G300),ISNUMBER(H300),G300&gt;0),H300/G300,"")</f>
        <v/>
      </c>
      <c r="J300" s="15" t="n"/>
      <c r="K300" s="15" t="n"/>
      <c r="L300" s="17">
        <f>IF(A300="","",TEXT(A300,"yyyy-mm"))</f>
        <v/>
      </c>
      <c r="M300" s="17">
        <f>IF(AND(A300&lt;&gt;"",J300="Pending"),TODAY()-A300,"")</f>
        <v/>
      </c>
    </row>
    <row r="301">
      <c r="A301" s="16" t="n"/>
      <c r="B301" s="15" t="n"/>
      <c r="C301" s="15" t="n"/>
      <c r="D301" s="17">
        <f>IF($C301="","",IFERROR(INDEX(สินค้า!$A$5:$A$204,MATCH($C301,สินค้า!$B$5:$B$204,0)),"ไม่พบสินค้า"))</f>
        <v/>
      </c>
      <c r="E301" s="17">
        <f>IF($C301="","",IFERROR(INDEX(สินค้า!$C$5:$C$204,MATCH($C301,สินค้า!$B$5:$B$204,0)),"ไม่พบสินค้า"))</f>
        <v/>
      </c>
      <c r="F301" s="17">
        <f>IF($C301="","",IFERROR(INDEX(สินค้า!$D$5:$D$204,MATCH($C301,สินค้า!$B$5:$B$204,0)),"ไม่พบสินค้า"))</f>
        <v/>
      </c>
      <c r="G301" s="15" t="n"/>
      <c r="H301" s="15" t="n"/>
      <c r="I301" s="18">
        <f>IF(AND(ISNUMBER(G301),ISNUMBER(H301),G301&gt;0),H301/G301,"")</f>
        <v/>
      </c>
      <c r="J301" s="15" t="n"/>
      <c r="K301" s="15" t="n"/>
      <c r="L301" s="17">
        <f>IF(A301="","",TEXT(A301,"yyyy-mm"))</f>
        <v/>
      </c>
      <c r="M301" s="17">
        <f>IF(AND(A301&lt;&gt;"",J301="Pending"),TODAY()-A301,"")</f>
        <v/>
      </c>
    </row>
    <row r="302">
      <c r="A302" s="16" t="n"/>
      <c r="B302" s="15" t="n"/>
      <c r="C302" s="15" t="n"/>
      <c r="D302" s="17">
        <f>IF($C302="","",IFERROR(INDEX(สินค้า!$A$5:$A$204,MATCH($C302,สินค้า!$B$5:$B$204,0)),"ไม่พบสินค้า"))</f>
        <v/>
      </c>
      <c r="E302" s="17">
        <f>IF($C302="","",IFERROR(INDEX(สินค้า!$C$5:$C$204,MATCH($C302,สินค้า!$B$5:$B$204,0)),"ไม่พบสินค้า"))</f>
        <v/>
      </c>
      <c r="F302" s="17">
        <f>IF($C302="","",IFERROR(INDEX(สินค้า!$D$5:$D$204,MATCH($C302,สินค้า!$B$5:$B$204,0)),"ไม่พบสินค้า"))</f>
        <v/>
      </c>
      <c r="G302" s="15" t="n"/>
      <c r="H302" s="15" t="n"/>
      <c r="I302" s="18">
        <f>IF(AND(ISNUMBER(G302),ISNUMBER(H302),G302&gt;0),H302/G302,"")</f>
        <v/>
      </c>
      <c r="J302" s="15" t="n"/>
      <c r="K302" s="15" t="n"/>
      <c r="L302" s="17">
        <f>IF(A302="","",TEXT(A302,"yyyy-mm"))</f>
        <v/>
      </c>
      <c r="M302" s="17">
        <f>IF(AND(A302&lt;&gt;"",J302="Pending"),TODAY()-A302,"")</f>
        <v/>
      </c>
    </row>
    <row r="303">
      <c r="A303" s="16" t="n"/>
      <c r="B303" s="15" t="n"/>
      <c r="C303" s="15" t="n"/>
      <c r="D303" s="17">
        <f>IF($C303="","",IFERROR(INDEX(สินค้า!$A$5:$A$204,MATCH($C303,สินค้า!$B$5:$B$204,0)),"ไม่พบสินค้า"))</f>
        <v/>
      </c>
      <c r="E303" s="17">
        <f>IF($C303="","",IFERROR(INDEX(สินค้า!$C$5:$C$204,MATCH($C303,สินค้า!$B$5:$B$204,0)),"ไม่พบสินค้า"))</f>
        <v/>
      </c>
      <c r="F303" s="17">
        <f>IF($C303="","",IFERROR(INDEX(สินค้า!$D$5:$D$204,MATCH($C303,สินค้า!$B$5:$B$204,0)),"ไม่พบสินค้า"))</f>
        <v/>
      </c>
      <c r="G303" s="15" t="n"/>
      <c r="H303" s="15" t="n"/>
      <c r="I303" s="18">
        <f>IF(AND(ISNUMBER(G303),ISNUMBER(H303),G303&gt;0),H303/G303,"")</f>
        <v/>
      </c>
      <c r="J303" s="15" t="n"/>
      <c r="K303" s="15" t="n"/>
      <c r="L303" s="17">
        <f>IF(A303="","",TEXT(A303,"yyyy-mm"))</f>
        <v/>
      </c>
      <c r="M303" s="17">
        <f>IF(AND(A303&lt;&gt;"",J303="Pending"),TODAY()-A303,"")</f>
        <v/>
      </c>
    </row>
    <row r="304">
      <c r="A304" s="16" t="n"/>
      <c r="B304" s="15" t="n"/>
      <c r="C304" s="15" t="n"/>
      <c r="D304" s="17">
        <f>IF($C304="","",IFERROR(INDEX(สินค้า!$A$5:$A$204,MATCH($C304,สินค้า!$B$5:$B$204,0)),"ไม่พบสินค้า"))</f>
        <v/>
      </c>
      <c r="E304" s="17">
        <f>IF($C304="","",IFERROR(INDEX(สินค้า!$C$5:$C$204,MATCH($C304,สินค้า!$B$5:$B$204,0)),"ไม่พบสินค้า"))</f>
        <v/>
      </c>
      <c r="F304" s="17">
        <f>IF($C304="","",IFERROR(INDEX(สินค้า!$D$5:$D$204,MATCH($C304,สินค้า!$B$5:$B$204,0)),"ไม่พบสินค้า"))</f>
        <v/>
      </c>
      <c r="G304" s="15" t="n"/>
      <c r="H304" s="15" t="n"/>
      <c r="I304" s="18">
        <f>IF(AND(ISNUMBER(G304),ISNUMBER(H304),G304&gt;0),H304/G304,"")</f>
        <v/>
      </c>
      <c r="J304" s="15" t="n"/>
      <c r="K304" s="15" t="n"/>
      <c r="L304" s="17">
        <f>IF(A304="","",TEXT(A304,"yyyy-mm"))</f>
        <v/>
      </c>
      <c r="M304" s="17">
        <f>IF(AND(A304&lt;&gt;"",J304="Pending"),TODAY()-A304,"")</f>
        <v/>
      </c>
    </row>
    <row r="305">
      <c r="A305" s="16" t="n"/>
      <c r="B305" s="15" t="n"/>
      <c r="C305" s="15" t="n"/>
      <c r="D305" s="17">
        <f>IF($C305="","",IFERROR(INDEX(สินค้า!$A$5:$A$204,MATCH($C305,สินค้า!$B$5:$B$204,0)),"ไม่พบสินค้า"))</f>
        <v/>
      </c>
      <c r="E305" s="17">
        <f>IF($C305="","",IFERROR(INDEX(สินค้า!$C$5:$C$204,MATCH($C305,สินค้า!$B$5:$B$204,0)),"ไม่พบสินค้า"))</f>
        <v/>
      </c>
      <c r="F305" s="17">
        <f>IF($C305="","",IFERROR(INDEX(สินค้า!$D$5:$D$204,MATCH($C305,สินค้า!$B$5:$B$204,0)),"ไม่พบสินค้า"))</f>
        <v/>
      </c>
      <c r="G305" s="15" t="n"/>
      <c r="H305" s="15" t="n"/>
      <c r="I305" s="18">
        <f>IF(AND(ISNUMBER(G305),ISNUMBER(H305),G305&gt;0),H305/G305,"")</f>
        <v/>
      </c>
      <c r="J305" s="15" t="n"/>
      <c r="K305" s="15" t="n"/>
      <c r="L305" s="17">
        <f>IF(A305="","",TEXT(A305,"yyyy-mm"))</f>
        <v/>
      </c>
      <c r="M305" s="17">
        <f>IF(AND(A305&lt;&gt;"",J305="Pending"),TODAY()-A305,"")</f>
        <v/>
      </c>
    </row>
    <row r="306">
      <c r="A306" s="16" t="n"/>
      <c r="B306" s="15" t="n"/>
      <c r="C306" s="15" t="n"/>
      <c r="D306" s="17">
        <f>IF($C306="","",IFERROR(INDEX(สินค้า!$A$5:$A$204,MATCH($C306,สินค้า!$B$5:$B$204,0)),"ไม่พบสินค้า"))</f>
        <v/>
      </c>
      <c r="E306" s="17">
        <f>IF($C306="","",IFERROR(INDEX(สินค้า!$C$5:$C$204,MATCH($C306,สินค้า!$B$5:$B$204,0)),"ไม่พบสินค้า"))</f>
        <v/>
      </c>
      <c r="F306" s="17">
        <f>IF($C306="","",IFERROR(INDEX(สินค้า!$D$5:$D$204,MATCH($C306,สินค้า!$B$5:$B$204,0)),"ไม่พบสินค้า"))</f>
        <v/>
      </c>
      <c r="G306" s="15" t="n"/>
      <c r="H306" s="15" t="n"/>
      <c r="I306" s="18">
        <f>IF(AND(ISNUMBER(G306),ISNUMBER(H306),G306&gt;0),H306/G306,"")</f>
        <v/>
      </c>
      <c r="J306" s="15" t="n"/>
      <c r="K306" s="15" t="n"/>
      <c r="L306" s="17">
        <f>IF(A306="","",TEXT(A306,"yyyy-mm"))</f>
        <v/>
      </c>
      <c r="M306" s="17">
        <f>IF(AND(A306&lt;&gt;"",J306="Pending"),TODAY()-A306,"")</f>
        <v/>
      </c>
    </row>
    <row r="307">
      <c r="A307" s="16" t="n"/>
      <c r="B307" s="15" t="n"/>
      <c r="C307" s="15" t="n"/>
      <c r="D307" s="17">
        <f>IF($C307="","",IFERROR(INDEX(สินค้า!$A$5:$A$204,MATCH($C307,สินค้า!$B$5:$B$204,0)),"ไม่พบสินค้า"))</f>
        <v/>
      </c>
      <c r="E307" s="17">
        <f>IF($C307="","",IFERROR(INDEX(สินค้า!$C$5:$C$204,MATCH($C307,สินค้า!$B$5:$B$204,0)),"ไม่พบสินค้า"))</f>
        <v/>
      </c>
      <c r="F307" s="17">
        <f>IF($C307="","",IFERROR(INDEX(สินค้า!$D$5:$D$204,MATCH($C307,สินค้า!$B$5:$B$204,0)),"ไม่พบสินค้า"))</f>
        <v/>
      </c>
      <c r="G307" s="15" t="n"/>
      <c r="H307" s="15" t="n"/>
      <c r="I307" s="18">
        <f>IF(AND(ISNUMBER(G307),ISNUMBER(H307),G307&gt;0),H307/G307,"")</f>
        <v/>
      </c>
      <c r="J307" s="15" t="n"/>
      <c r="K307" s="15" t="n"/>
      <c r="L307" s="17">
        <f>IF(A307="","",TEXT(A307,"yyyy-mm"))</f>
        <v/>
      </c>
      <c r="M307" s="17">
        <f>IF(AND(A307&lt;&gt;"",J307="Pending"),TODAY()-A307,"")</f>
        <v/>
      </c>
    </row>
    <row r="308">
      <c r="A308" s="16" t="n"/>
      <c r="B308" s="15" t="n"/>
      <c r="C308" s="15" t="n"/>
      <c r="D308" s="17">
        <f>IF($C308="","",IFERROR(INDEX(สินค้า!$A$5:$A$204,MATCH($C308,สินค้า!$B$5:$B$204,0)),"ไม่พบสินค้า"))</f>
        <v/>
      </c>
      <c r="E308" s="17">
        <f>IF($C308="","",IFERROR(INDEX(สินค้า!$C$5:$C$204,MATCH($C308,สินค้า!$B$5:$B$204,0)),"ไม่พบสินค้า"))</f>
        <v/>
      </c>
      <c r="F308" s="17">
        <f>IF($C308="","",IFERROR(INDEX(สินค้า!$D$5:$D$204,MATCH($C308,สินค้า!$B$5:$B$204,0)),"ไม่พบสินค้า"))</f>
        <v/>
      </c>
      <c r="G308" s="15" t="n"/>
      <c r="H308" s="15" t="n"/>
      <c r="I308" s="18">
        <f>IF(AND(ISNUMBER(G308),ISNUMBER(H308),G308&gt;0),H308/G308,"")</f>
        <v/>
      </c>
      <c r="J308" s="15" t="n"/>
      <c r="K308" s="15" t="n"/>
      <c r="L308" s="17">
        <f>IF(A308="","",TEXT(A308,"yyyy-mm"))</f>
        <v/>
      </c>
      <c r="M308" s="17">
        <f>IF(AND(A308&lt;&gt;"",J308="Pending"),TODAY()-A308,"")</f>
        <v/>
      </c>
    </row>
    <row r="309">
      <c r="A309" s="16" t="n"/>
      <c r="B309" s="15" t="n"/>
      <c r="C309" s="15" t="n"/>
      <c r="D309" s="17">
        <f>IF($C309="","",IFERROR(INDEX(สินค้า!$A$5:$A$204,MATCH($C309,สินค้า!$B$5:$B$204,0)),"ไม่พบสินค้า"))</f>
        <v/>
      </c>
      <c r="E309" s="17">
        <f>IF($C309="","",IFERROR(INDEX(สินค้า!$C$5:$C$204,MATCH($C309,สินค้า!$B$5:$B$204,0)),"ไม่พบสินค้า"))</f>
        <v/>
      </c>
      <c r="F309" s="17">
        <f>IF($C309="","",IFERROR(INDEX(สินค้า!$D$5:$D$204,MATCH($C309,สินค้า!$B$5:$B$204,0)),"ไม่พบสินค้า"))</f>
        <v/>
      </c>
      <c r="G309" s="15" t="n"/>
      <c r="H309" s="15" t="n"/>
      <c r="I309" s="18">
        <f>IF(AND(ISNUMBER(G309),ISNUMBER(H309),G309&gt;0),H309/G309,"")</f>
        <v/>
      </c>
      <c r="J309" s="15" t="n"/>
      <c r="K309" s="15" t="n"/>
      <c r="L309" s="17">
        <f>IF(A309="","",TEXT(A309,"yyyy-mm"))</f>
        <v/>
      </c>
      <c r="M309" s="17">
        <f>IF(AND(A309&lt;&gt;"",J309="Pending"),TODAY()-A309,"")</f>
        <v/>
      </c>
    </row>
    <row r="310">
      <c r="A310" s="16" t="n"/>
      <c r="B310" s="15" t="n"/>
      <c r="C310" s="15" t="n"/>
      <c r="D310" s="17">
        <f>IF($C310="","",IFERROR(INDEX(สินค้า!$A$5:$A$204,MATCH($C310,สินค้า!$B$5:$B$204,0)),"ไม่พบสินค้า"))</f>
        <v/>
      </c>
      <c r="E310" s="17">
        <f>IF($C310="","",IFERROR(INDEX(สินค้า!$C$5:$C$204,MATCH($C310,สินค้า!$B$5:$B$204,0)),"ไม่พบสินค้า"))</f>
        <v/>
      </c>
      <c r="F310" s="17">
        <f>IF($C310="","",IFERROR(INDEX(สินค้า!$D$5:$D$204,MATCH($C310,สินค้า!$B$5:$B$204,0)),"ไม่พบสินค้า"))</f>
        <v/>
      </c>
      <c r="G310" s="15" t="n"/>
      <c r="H310" s="15" t="n"/>
      <c r="I310" s="18">
        <f>IF(AND(ISNUMBER(G310),ISNUMBER(H310),G310&gt;0),H310/G310,"")</f>
        <v/>
      </c>
      <c r="J310" s="15" t="n"/>
      <c r="K310" s="15" t="n"/>
      <c r="L310" s="17">
        <f>IF(A310="","",TEXT(A310,"yyyy-mm"))</f>
        <v/>
      </c>
      <c r="M310" s="17">
        <f>IF(AND(A310&lt;&gt;"",J310="Pending"),TODAY()-A310,"")</f>
        <v/>
      </c>
    </row>
    <row r="311">
      <c r="A311" s="16" t="n"/>
      <c r="B311" s="15" t="n"/>
      <c r="C311" s="15" t="n"/>
      <c r="D311" s="17">
        <f>IF($C311="","",IFERROR(INDEX(สินค้า!$A$5:$A$204,MATCH($C311,สินค้า!$B$5:$B$204,0)),"ไม่พบสินค้า"))</f>
        <v/>
      </c>
      <c r="E311" s="17">
        <f>IF($C311="","",IFERROR(INDEX(สินค้า!$C$5:$C$204,MATCH($C311,สินค้า!$B$5:$B$204,0)),"ไม่พบสินค้า"))</f>
        <v/>
      </c>
      <c r="F311" s="17">
        <f>IF($C311="","",IFERROR(INDEX(สินค้า!$D$5:$D$204,MATCH($C311,สินค้า!$B$5:$B$204,0)),"ไม่พบสินค้า"))</f>
        <v/>
      </c>
      <c r="G311" s="15" t="n"/>
      <c r="H311" s="15" t="n"/>
      <c r="I311" s="18">
        <f>IF(AND(ISNUMBER(G311),ISNUMBER(H311),G311&gt;0),H311/G311,"")</f>
        <v/>
      </c>
      <c r="J311" s="15" t="n"/>
      <c r="K311" s="15" t="n"/>
      <c r="L311" s="17">
        <f>IF(A311="","",TEXT(A311,"yyyy-mm"))</f>
        <v/>
      </c>
      <c r="M311" s="17">
        <f>IF(AND(A311&lt;&gt;"",J311="Pending"),TODAY()-A311,"")</f>
        <v/>
      </c>
    </row>
    <row r="312">
      <c r="A312" s="16" t="n"/>
      <c r="B312" s="15" t="n"/>
      <c r="C312" s="15" t="n"/>
      <c r="D312" s="17">
        <f>IF($C312="","",IFERROR(INDEX(สินค้า!$A$5:$A$204,MATCH($C312,สินค้า!$B$5:$B$204,0)),"ไม่พบสินค้า"))</f>
        <v/>
      </c>
      <c r="E312" s="17">
        <f>IF($C312="","",IFERROR(INDEX(สินค้า!$C$5:$C$204,MATCH($C312,สินค้า!$B$5:$B$204,0)),"ไม่พบสินค้า"))</f>
        <v/>
      </c>
      <c r="F312" s="17">
        <f>IF($C312="","",IFERROR(INDEX(สินค้า!$D$5:$D$204,MATCH($C312,สินค้า!$B$5:$B$204,0)),"ไม่พบสินค้า"))</f>
        <v/>
      </c>
      <c r="G312" s="15" t="n"/>
      <c r="H312" s="15" t="n"/>
      <c r="I312" s="18">
        <f>IF(AND(ISNUMBER(G312),ISNUMBER(H312),G312&gt;0),H312/G312,"")</f>
        <v/>
      </c>
      <c r="J312" s="15" t="n"/>
      <c r="K312" s="15" t="n"/>
      <c r="L312" s="17">
        <f>IF(A312="","",TEXT(A312,"yyyy-mm"))</f>
        <v/>
      </c>
      <c r="M312" s="17">
        <f>IF(AND(A312&lt;&gt;"",J312="Pending"),TODAY()-A312,"")</f>
        <v/>
      </c>
    </row>
    <row r="313">
      <c r="A313" s="16" t="n"/>
      <c r="B313" s="15" t="n"/>
      <c r="C313" s="15" t="n"/>
      <c r="D313" s="17">
        <f>IF($C313="","",IFERROR(INDEX(สินค้า!$A$5:$A$204,MATCH($C313,สินค้า!$B$5:$B$204,0)),"ไม่พบสินค้า"))</f>
        <v/>
      </c>
      <c r="E313" s="17">
        <f>IF($C313="","",IFERROR(INDEX(สินค้า!$C$5:$C$204,MATCH($C313,สินค้า!$B$5:$B$204,0)),"ไม่พบสินค้า"))</f>
        <v/>
      </c>
      <c r="F313" s="17">
        <f>IF($C313="","",IFERROR(INDEX(สินค้า!$D$5:$D$204,MATCH($C313,สินค้า!$B$5:$B$204,0)),"ไม่พบสินค้า"))</f>
        <v/>
      </c>
      <c r="G313" s="15" t="n"/>
      <c r="H313" s="15" t="n"/>
      <c r="I313" s="18">
        <f>IF(AND(ISNUMBER(G313),ISNUMBER(H313),G313&gt;0),H313/G313,"")</f>
        <v/>
      </c>
      <c r="J313" s="15" t="n"/>
      <c r="K313" s="15" t="n"/>
      <c r="L313" s="17">
        <f>IF(A313="","",TEXT(A313,"yyyy-mm"))</f>
        <v/>
      </c>
      <c r="M313" s="17">
        <f>IF(AND(A313&lt;&gt;"",J313="Pending"),TODAY()-A313,"")</f>
        <v/>
      </c>
    </row>
    <row r="314">
      <c r="A314" s="16" t="n"/>
      <c r="B314" s="15" t="n"/>
      <c r="C314" s="15" t="n"/>
      <c r="D314" s="17">
        <f>IF($C314="","",IFERROR(INDEX(สินค้า!$A$5:$A$204,MATCH($C314,สินค้า!$B$5:$B$204,0)),"ไม่พบสินค้า"))</f>
        <v/>
      </c>
      <c r="E314" s="17">
        <f>IF($C314="","",IFERROR(INDEX(สินค้า!$C$5:$C$204,MATCH($C314,สินค้า!$B$5:$B$204,0)),"ไม่พบสินค้า"))</f>
        <v/>
      </c>
      <c r="F314" s="17">
        <f>IF($C314="","",IFERROR(INDEX(สินค้า!$D$5:$D$204,MATCH($C314,สินค้า!$B$5:$B$204,0)),"ไม่พบสินค้า"))</f>
        <v/>
      </c>
      <c r="G314" s="15" t="n"/>
      <c r="H314" s="15" t="n"/>
      <c r="I314" s="18">
        <f>IF(AND(ISNUMBER(G314),ISNUMBER(H314),G314&gt;0),H314/G314,"")</f>
        <v/>
      </c>
      <c r="J314" s="15" t="n"/>
      <c r="K314" s="15" t="n"/>
      <c r="L314" s="17">
        <f>IF(A314="","",TEXT(A314,"yyyy-mm"))</f>
        <v/>
      </c>
      <c r="M314" s="17">
        <f>IF(AND(A314&lt;&gt;"",J314="Pending"),TODAY()-A314,"")</f>
        <v/>
      </c>
    </row>
    <row r="315">
      <c r="A315" s="16" t="n"/>
      <c r="B315" s="15" t="n"/>
      <c r="C315" s="15" t="n"/>
      <c r="D315" s="17">
        <f>IF($C315="","",IFERROR(INDEX(สินค้า!$A$5:$A$204,MATCH($C315,สินค้า!$B$5:$B$204,0)),"ไม่พบสินค้า"))</f>
        <v/>
      </c>
      <c r="E315" s="17">
        <f>IF($C315="","",IFERROR(INDEX(สินค้า!$C$5:$C$204,MATCH($C315,สินค้า!$B$5:$B$204,0)),"ไม่พบสินค้า"))</f>
        <v/>
      </c>
      <c r="F315" s="17">
        <f>IF($C315="","",IFERROR(INDEX(สินค้า!$D$5:$D$204,MATCH($C315,สินค้า!$B$5:$B$204,0)),"ไม่พบสินค้า"))</f>
        <v/>
      </c>
      <c r="G315" s="15" t="n"/>
      <c r="H315" s="15" t="n"/>
      <c r="I315" s="18">
        <f>IF(AND(ISNUMBER(G315),ISNUMBER(H315),G315&gt;0),H315/G315,"")</f>
        <v/>
      </c>
      <c r="J315" s="15" t="n"/>
      <c r="K315" s="15" t="n"/>
      <c r="L315" s="17">
        <f>IF(A315="","",TEXT(A315,"yyyy-mm"))</f>
        <v/>
      </c>
      <c r="M315" s="17">
        <f>IF(AND(A315&lt;&gt;"",J315="Pending"),TODAY()-A315,"")</f>
        <v/>
      </c>
    </row>
    <row r="316">
      <c r="A316" s="16" t="n"/>
      <c r="B316" s="15" t="n"/>
      <c r="C316" s="15" t="n"/>
      <c r="D316" s="17">
        <f>IF($C316="","",IFERROR(INDEX(สินค้า!$A$5:$A$204,MATCH($C316,สินค้า!$B$5:$B$204,0)),"ไม่พบสินค้า"))</f>
        <v/>
      </c>
      <c r="E316" s="17">
        <f>IF($C316="","",IFERROR(INDEX(สินค้า!$C$5:$C$204,MATCH($C316,สินค้า!$B$5:$B$204,0)),"ไม่พบสินค้า"))</f>
        <v/>
      </c>
      <c r="F316" s="17">
        <f>IF($C316="","",IFERROR(INDEX(สินค้า!$D$5:$D$204,MATCH($C316,สินค้า!$B$5:$B$204,0)),"ไม่พบสินค้า"))</f>
        <v/>
      </c>
      <c r="G316" s="15" t="n"/>
      <c r="H316" s="15" t="n"/>
      <c r="I316" s="18">
        <f>IF(AND(ISNUMBER(G316),ISNUMBER(H316),G316&gt;0),H316/G316,"")</f>
        <v/>
      </c>
      <c r="J316" s="15" t="n"/>
      <c r="K316" s="15" t="n"/>
      <c r="L316" s="17">
        <f>IF(A316="","",TEXT(A316,"yyyy-mm"))</f>
        <v/>
      </c>
      <c r="M316" s="17">
        <f>IF(AND(A316&lt;&gt;"",J316="Pending"),TODAY()-A316,"")</f>
        <v/>
      </c>
    </row>
    <row r="317">
      <c r="A317" s="16" t="n"/>
      <c r="B317" s="15" t="n"/>
      <c r="C317" s="15" t="n"/>
      <c r="D317" s="17">
        <f>IF($C317="","",IFERROR(INDEX(สินค้า!$A$5:$A$204,MATCH($C317,สินค้า!$B$5:$B$204,0)),"ไม่พบสินค้า"))</f>
        <v/>
      </c>
      <c r="E317" s="17">
        <f>IF($C317="","",IFERROR(INDEX(สินค้า!$C$5:$C$204,MATCH($C317,สินค้า!$B$5:$B$204,0)),"ไม่พบสินค้า"))</f>
        <v/>
      </c>
      <c r="F317" s="17">
        <f>IF($C317="","",IFERROR(INDEX(สินค้า!$D$5:$D$204,MATCH($C317,สินค้า!$B$5:$B$204,0)),"ไม่พบสินค้า"))</f>
        <v/>
      </c>
      <c r="G317" s="15" t="n"/>
      <c r="H317" s="15" t="n"/>
      <c r="I317" s="18">
        <f>IF(AND(ISNUMBER(G317),ISNUMBER(H317),G317&gt;0),H317/G317,"")</f>
        <v/>
      </c>
      <c r="J317" s="15" t="n"/>
      <c r="K317" s="15" t="n"/>
      <c r="L317" s="17">
        <f>IF(A317="","",TEXT(A317,"yyyy-mm"))</f>
        <v/>
      </c>
      <c r="M317" s="17">
        <f>IF(AND(A317&lt;&gt;"",J317="Pending"),TODAY()-A317,"")</f>
        <v/>
      </c>
    </row>
    <row r="318">
      <c r="A318" s="16" t="n"/>
      <c r="B318" s="15" t="n"/>
      <c r="C318" s="15" t="n"/>
      <c r="D318" s="17">
        <f>IF($C318="","",IFERROR(INDEX(สินค้า!$A$5:$A$204,MATCH($C318,สินค้า!$B$5:$B$204,0)),"ไม่พบสินค้า"))</f>
        <v/>
      </c>
      <c r="E318" s="17">
        <f>IF($C318="","",IFERROR(INDEX(สินค้า!$C$5:$C$204,MATCH($C318,สินค้า!$B$5:$B$204,0)),"ไม่พบสินค้า"))</f>
        <v/>
      </c>
      <c r="F318" s="17">
        <f>IF($C318="","",IFERROR(INDEX(สินค้า!$D$5:$D$204,MATCH($C318,สินค้า!$B$5:$B$204,0)),"ไม่พบสินค้า"))</f>
        <v/>
      </c>
      <c r="G318" s="15" t="n"/>
      <c r="H318" s="15" t="n"/>
      <c r="I318" s="18">
        <f>IF(AND(ISNUMBER(G318),ISNUMBER(H318),G318&gt;0),H318/G318,"")</f>
        <v/>
      </c>
      <c r="J318" s="15" t="n"/>
      <c r="K318" s="15" t="n"/>
      <c r="L318" s="17">
        <f>IF(A318="","",TEXT(A318,"yyyy-mm"))</f>
        <v/>
      </c>
      <c r="M318" s="17">
        <f>IF(AND(A318&lt;&gt;"",J318="Pending"),TODAY()-A318,"")</f>
        <v/>
      </c>
    </row>
    <row r="319">
      <c r="A319" s="16" t="n"/>
      <c r="B319" s="15" t="n"/>
      <c r="C319" s="15" t="n"/>
      <c r="D319" s="17">
        <f>IF($C319="","",IFERROR(INDEX(สินค้า!$A$5:$A$204,MATCH($C319,สินค้า!$B$5:$B$204,0)),"ไม่พบสินค้า"))</f>
        <v/>
      </c>
      <c r="E319" s="17">
        <f>IF($C319="","",IFERROR(INDEX(สินค้า!$C$5:$C$204,MATCH($C319,สินค้า!$B$5:$B$204,0)),"ไม่พบสินค้า"))</f>
        <v/>
      </c>
      <c r="F319" s="17">
        <f>IF($C319="","",IFERROR(INDEX(สินค้า!$D$5:$D$204,MATCH($C319,สินค้า!$B$5:$B$204,0)),"ไม่พบสินค้า"))</f>
        <v/>
      </c>
      <c r="G319" s="15" t="n"/>
      <c r="H319" s="15" t="n"/>
      <c r="I319" s="18">
        <f>IF(AND(ISNUMBER(G319),ISNUMBER(H319),G319&gt;0),H319/G319,"")</f>
        <v/>
      </c>
      <c r="J319" s="15" t="n"/>
      <c r="K319" s="15" t="n"/>
      <c r="L319" s="17">
        <f>IF(A319="","",TEXT(A319,"yyyy-mm"))</f>
        <v/>
      </c>
      <c r="M319" s="17">
        <f>IF(AND(A319&lt;&gt;"",J319="Pending"),TODAY()-A319,"")</f>
        <v/>
      </c>
    </row>
    <row r="320">
      <c r="A320" s="16" t="n"/>
      <c r="B320" s="15" t="n"/>
      <c r="C320" s="15" t="n"/>
      <c r="D320" s="17">
        <f>IF($C320="","",IFERROR(INDEX(สินค้า!$A$5:$A$204,MATCH($C320,สินค้า!$B$5:$B$204,0)),"ไม่พบสินค้า"))</f>
        <v/>
      </c>
      <c r="E320" s="17">
        <f>IF($C320="","",IFERROR(INDEX(สินค้า!$C$5:$C$204,MATCH($C320,สินค้า!$B$5:$B$204,0)),"ไม่พบสินค้า"))</f>
        <v/>
      </c>
      <c r="F320" s="17">
        <f>IF($C320="","",IFERROR(INDEX(สินค้า!$D$5:$D$204,MATCH($C320,สินค้า!$B$5:$B$204,0)),"ไม่พบสินค้า"))</f>
        <v/>
      </c>
      <c r="G320" s="15" t="n"/>
      <c r="H320" s="15" t="n"/>
      <c r="I320" s="18">
        <f>IF(AND(ISNUMBER(G320),ISNUMBER(H320),G320&gt;0),H320/G320,"")</f>
        <v/>
      </c>
      <c r="J320" s="15" t="n"/>
      <c r="K320" s="15" t="n"/>
      <c r="L320" s="17">
        <f>IF(A320="","",TEXT(A320,"yyyy-mm"))</f>
        <v/>
      </c>
      <c r="M320" s="17">
        <f>IF(AND(A320&lt;&gt;"",J320="Pending"),TODAY()-A320,"")</f>
        <v/>
      </c>
    </row>
    <row r="321">
      <c r="A321" s="16" t="n"/>
      <c r="B321" s="15" t="n"/>
      <c r="C321" s="15" t="n"/>
      <c r="D321" s="17">
        <f>IF($C321="","",IFERROR(INDEX(สินค้า!$A$5:$A$204,MATCH($C321,สินค้า!$B$5:$B$204,0)),"ไม่พบสินค้า"))</f>
        <v/>
      </c>
      <c r="E321" s="17">
        <f>IF($C321="","",IFERROR(INDEX(สินค้า!$C$5:$C$204,MATCH($C321,สินค้า!$B$5:$B$204,0)),"ไม่พบสินค้า"))</f>
        <v/>
      </c>
      <c r="F321" s="17">
        <f>IF($C321="","",IFERROR(INDEX(สินค้า!$D$5:$D$204,MATCH($C321,สินค้า!$B$5:$B$204,0)),"ไม่พบสินค้า"))</f>
        <v/>
      </c>
      <c r="G321" s="15" t="n"/>
      <c r="H321" s="15" t="n"/>
      <c r="I321" s="18">
        <f>IF(AND(ISNUMBER(G321),ISNUMBER(H321),G321&gt;0),H321/G321,"")</f>
        <v/>
      </c>
      <c r="J321" s="15" t="n"/>
      <c r="K321" s="15" t="n"/>
      <c r="L321" s="17">
        <f>IF(A321="","",TEXT(A321,"yyyy-mm"))</f>
        <v/>
      </c>
      <c r="M321" s="17">
        <f>IF(AND(A321&lt;&gt;"",J321="Pending"),TODAY()-A321,"")</f>
        <v/>
      </c>
    </row>
    <row r="322">
      <c r="A322" s="16" t="n"/>
      <c r="B322" s="15" t="n"/>
      <c r="C322" s="15" t="n"/>
      <c r="D322" s="17">
        <f>IF($C322="","",IFERROR(INDEX(สินค้า!$A$5:$A$204,MATCH($C322,สินค้า!$B$5:$B$204,0)),"ไม่พบสินค้า"))</f>
        <v/>
      </c>
      <c r="E322" s="17">
        <f>IF($C322="","",IFERROR(INDEX(สินค้า!$C$5:$C$204,MATCH($C322,สินค้า!$B$5:$B$204,0)),"ไม่พบสินค้า"))</f>
        <v/>
      </c>
      <c r="F322" s="17">
        <f>IF($C322="","",IFERROR(INDEX(สินค้า!$D$5:$D$204,MATCH($C322,สินค้า!$B$5:$B$204,0)),"ไม่พบสินค้า"))</f>
        <v/>
      </c>
      <c r="G322" s="15" t="n"/>
      <c r="H322" s="15" t="n"/>
      <c r="I322" s="18">
        <f>IF(AND(ISNUMBER(G322),ISNUMBER(H322),G322&gt;0),H322/G322,"")</f>
        <v/>
      </c>
      <c r="J322" s="15" t="n"/>
      <c r="K322" s="15" t="n"/>
      <c r="L322" s="17">
        <f>IF(A322="","",TEXT(A322,"yyyy-mm"))</f>
        <v/>
      </c>
      <c r="M322" s="17">
        <f>IF(AND(A322&lt;&gt;"",J322="Pending"),TODAY()-A322,"")</f>
        <v/>
      </c>
    </row>
    <row r="323">
      <c r="A323" s="16" t="n"/>
      <c r="B323" s="15" t="n"/>
      <c r="C323" s="15" t="n"/>
      <c r="D323" s="17">
        <f>IF($C323="","",IFERROR(INDEX(สินค้า!$A$5:$A$204,MATCH($C323,สินค้า!$B$5:$B$204,0)),"ไม่พบสินค้า"))</f>
        <v/>
      </c>
      <c r="E323" s="17">
        <f>IF($C323="","",IFERROR(INDEX(สินค้า!$C$5:$C$204,MATCH($C323,สินค้า!$B$5:$B$204,0)),"ไม่พบสินค้า"))</f>
        <v/>
      </c>
      <c r="F323" s="17">
        <f>IF($C323="","",IFERROR(INDEX(สินค้า!$D$5:$D$204,MATCH($C323,สินค้า!$B$5:$B$204,0)),"ไม่พบสินค้า"))</f>
        <v/>
      </c>
      <c r="G323" s="15" t="n"/>
      <c r="H323" s="15" t="n"/>
      <c r="I323" s="18">
        <f>IF(AND(ISNUMBER(G323),ISNUMBER(H323),G323&gt;0),H323/G323,"")</f>
        <v/>
      </c>
      <c r="J323" s="15" t="n"/>
      <c r="K323" s="15" t="n"/>
      <c r="L323" s="17">
        <f>IF(A323="","",TEXT(A323,"yyyy-mm"))</f>
        <v/>
      </c>
      <c r="M323" s="17">
        <f>IF(AND(A323&lt;&gt;"",J323="Pending"),TODAY()-A323,"")</f>
        <v/>
      </c>
    </row>
    <row r="324">
      <c r="A324" s="16" t="n"/>
      <c r="B324" s="15" t="n"/>
      <c r="C324" s="15" t="n"/>
      <c r="D324" s="17">
        <f>IF($C324="","",IFERROR(INDEX(สินค้า!$A$5:$A$204,MATCH($C324,สินค้า!$B$5:$B$204,0)),"ไม่พบสินค้า"))</f>
        <v/>
      </c>
      <c r="E324" s="17">
        <f>IF($C324="","",IFERROR(INDEX(สินค้า!$C$5:$C$204,MATCH($C324,สินค้า!$B$5:$B$204,0)),"ไม่พบสินค้า"))</f>
        <v/>
      </c>
      <c r="F324" s="17">
        <f>IF($C324="","",IFERROR(INDEX(สินค้า!$D$5:$D$204,MATCH($C324,สินค้า!$B$5:$B$204,0)),"ไม่พบสินค้า"))</f>
        <v/>
      </c>
      <c r="G324" s="15" t="n"/>
      <c r="H324" s="15" t="n"/>
      <c r="I324" s="18">
        <f>IF(AND(ISNUMBER(G324),ISNUMBER(H324),G324&gt;0),H324/G324,"")</f>
        <v/>
      </c>
      <c r="J324" s="15" t="n"/>
      <c r="K324" s="15" t="n"/>
      <c r="L324" s="17">
        <f>IF(A324="","",TEXT(A324,"yyyy-mm"))</f>
        <v/>
      </c>
      <c r="M324" s="17">
        <f>IF(AND(A324&lt;&gt;"",J324="Pending"),TODAY()-A324,"")</f>
        <v/>
      </c>
    </row>
    <row r="325">
      <c r="A325" s="16" t="n"/>
      <c r="B325" s="15" t="n"/>
      <c r="C325" s="15" t="n"/>
      <c r="D325" s="17">
        <f>IF($C325="","",IFERROR(INDEX(สินค้า!$A$5:$A$204,MATCH($C325,สินค้า!$B$5:$B$204,0)),"ไม่พบสินค้า"))</f>
        <v/>
      </c>
      <c r="E325" s="17">
        <f>IF($C325="","",IFERROR(INDEX(สินค้า!$C$5:$C$204,MATCH($C325,สินค้า!$B$5:$B$204,0)),"ไม่พบสินค้า"))</f>
        <v/>
      </c>
      <c r="F325" s="17">
        <f>IF($C325="","",IFERROR(INDEX(สินค้า!$D$5:$D$204,MATCH($C325,สินค้า!$B$5:$B$204,0)),"ไม่พบสินค้า"))</f>
        <v/>
      </c>
      <c r="G325" s="15" t="n"/>
      <c r="H325" s="15" t="n"/>
      <c r="I325" s="18">
        <f>IF(AND(ISNUMBER(G325),ISNUMBER(H325),G325&gt;0),H325/G325,"")</f>
        <v/>
      </c>
      <c r="J325" s="15" t="n"/>
      <c r="K325" s="15" t="n"/>
      <c r="L325" s="17">
        <f>IF(A325="","",TEXT(A325,"yyyy-mm"))</f>
        <v/>
      </c>
      <c r="M325" s="17">
        <f>IF(AND(A325&lt;&gt;"",J325="Pending"),TODAY()-A325,"")</f>
        <v/>
      </c>
    </row>
    <row r="326">
      <c r="A326" s="16" t="n"/>
      <c r="B326" s="15" t="n"/>
      <c r="C326" s="15" t="n"/>
      <c r="D326" s="17">
        <f>IF($C326="","",IFERROR(INDEX(สินค้า!$A$5:$A$204,MATCH($C326,สินค้า!$B$5:$B$204,0)),"ไม่พบสินค้า"))</f>
        <v/>
      </c>
      <c r="E326" s="17">
        <f>IF($C326="","",IFERROR(INDEX(สินค้า!$C$5:$C$204,MATCH($C326,สินค้า!$B$5:$B$204,0)),"ไม่พบสินค้า"))</f>
        <v/>
      </c>
      <c r="F326" s="17">
        <f>IF($C326="","",IFERROR(INDEX(สินค้า!$D$5:$D$204,MATCH($C326,สินค้า!$B$5:$B$204,0)),"ไม่พบสินค้า"))</f>
        <v/>
      </c>
      <c r="G326" s="15" t="n"/>
      <c r="H326" s="15" t="n"/>
      <c r="I326" s="18">
        <f>IF(AND(ISNUMBER(G326),ISNUMBER(H326),G326&gt;0),H326/G326,"")</f>
        <v/>
      </c>
      <c r="J326" s="15" t="n"/>
      <c r="K326" s="15" t="n"/>
      <c r="L326" s="17">
        <f>IF(A326="","",TEXT(A326,"yyyy-mm"))</f>
        <v/>
      </c>
      <c r="M326" s="17">
        <f>IF(AND(A326&lt;&gt;"",J326="Pending"),TODAY()-A326,"")</f>
        <v/>
      </c>
    </row>
    <row r="327">
      <c r="A327" s="16" t="n"/>
      <c r="B327" s="15" t="n"/>
      <c r="C327" s="15" t="n"/>
      <c r="D327" s="17">
        <f>IF($C327="","",IFERROR(INDEX(สินค้า!$A$5:$A$204,MATCH($C327,สินค้า!$B$5:$B$204,0)),"ไม่พบสินค้า"))</f>
        <v/>
      </c>
      <c r="E327" s="17">
        <f>IF($C327="","",IFERROR(INDEX(สินค้า!$C$5:$C$204,MATCH($C327,สินค้า!$B$5:$B$204,0)),"ไม่พบสินค้า"))</f>
        <v/>
      </c>
      <c r="F327" s="17">
        <f>IF($C327="","",IFERROR(INDEX(สินค้า!$D$5:$D$204,MATCH($C327,สินค้า!$B$5:$B$204,0)),"ไม่พบสินค้า"))</f>
        <v/>
      </c>
      <c r="G327" s="15" t="n"/>
      <c r="H327" s="15" t="n"/>
      <c r="I327" s="18">
        <f>IF(AND(ISNUMBER(G327),ISNUMBER(H327),G327&gt;0),H327/G327,"")</f>
        <v/>
      </c>
      <c r="J327" s="15" t="n"/>
      <c r="K327" s="15" t="n"/>
      <c r="L327" s="17">
        <f>IF(A327="","",TEXT(A327,"yyyy-mm"))</f>
        <v/>
      </c>
      <c r="M327" s="17">
        <f>IF(AND(A327&lt;&gt;"",J327="Pending"),TODAY()-A327,"")</f>
        <v/>
      </c>
    </row>
    <row r="328">
      <c r="A328" s="16" t="n"/>
      <c r="B328" s="15" t="n"/>
      <c r="C328" s="15" t="n"/>
      <c r="D328" s="17">
        <f>IF($C328="","",IFERROR(INDEX(สินค้า!$A$5:$A$204,MATCH($C328,สินค้า!$B$5:$B$204,0)),"ไม่พบสินค้า"))</f>
        <v/>
      </c>
      <c r="E328" s="17">
        <f>IF($C328="","",IFERROR(INDEX(สินค้า!$C$5:$C$204,MATCH($C328,สินค้า!$B$5:$B$204,0)),"ไม่พบสินค้า"))</f>
        <v/>
      </c>
      <c r="F328" s="17">
        <f>IF($C328="","",IFERROR(INDEX(สินค้า!$D$5:$D$204,MATCH($C328,สินค้า!$B$5:$B$204,0)),"ไม่พบสินค้า"))</f>
        <v/>
      </c>
      <c r="G328" s="15" t="n"/>
      <c r="H328" s="15" t="n"/>
      <c r="I328" s="18">
        <f>IF(AND(ISNUMBER(G328),ISNUMBER(H328),G328&gt;0),H328/G328,"")</f>
        <v/>
      </c>
      <c r="J328" s="15" t="n"/>
      <c r="K328" s="15" t="n"/>
      <c r="L328" s="17">
        <f>IF(A328="","",TEXT(A328,"yyyy-mm"))</f>
        <v/>
      </c>
      <c r="M328" s="17">
        <f>IF(AND(A328&lt;&gt;"",J328="Pending"),TODAY()-A328,"")</f>
        <v/>
      </c>
    </row>
    <row r="329">
      <c r="A329" s="16" t="n"/>
      <c r="B329" s="15" t="n"/>
      <c r="C329" s="15" t="n"/>
      <c r="D329" s="17">
        <f>IF($C329="","",IFERROR(INDEX(สินค้า!$A$5:$A$204,MATCH($C329,สินค้า!$B$5:$B$204,0)),"ไม่พบสินค้า"))</f>
        <v/>
      </c>
      <c r="E329" s="17">
        <f>IF($C329="","",IFERROR(INDEX(สินค้า!$C$5:$C$204,MATCH($C329,สินค้า!$B$5:$B$204,0)),"ไม่พบสินค้า"))</f>
        <v/>
      </c>
      <c r="F329" s="17">
        <f>IF($C329="","",IFERROR(INDEX(สินค้า!$D$5:$D$204,MATCH($C329,สินค้า!$B$5:$B$204,0)),"ไม่พบสินค้า"))</f>
        <v/>
      </c>
      <c r="G329" s="15" t="n"/>
      <c r="H329" s="15" t="n"/>
      <c r="I329" s="18">
        <f>IF(AND(ISNUMBER(G329),ISNUMBER(H329),G329&gt;0),H329/G329,"")</f>
        <v/>
      </c>
      <c r="J329" s="15" t="n"/>
      <c r="K329" s="15" t="n"/>
      <c r="L329" s="17">
        <f>IF(A329="","",TEXT(A329,"yyyy-mm"))</f>
        <v/>
      </c>
      <c r="M329" s="17">
        <f>IF(AND(A329&lt;&gt;"",J329="Pending"),TODAY()-A329,"")</f>
        <v/>
      </c>
    </row>
    <row r="330">
      <c r="A330" s="16" t="n"/>
      <c r="B330" s="15" t="n"/>
      <c r="C330" s="15" t="n"/>
      <c r="D330" s="17">
        <f>IF($C330="","",IFERROR(INDEX(สินค้า!$A$5:$A$204,MATCH($C330,สินค้า!$B$5:$B$204,0)),"ไม่พบสินค้า"))</f>
        <v/>
      </c>
      <c r="E330" s="17">
        <f>IF($C330="","",IFERROR(INDEX(สินค้า!$C$5:$C$204,MATCH($C330,สินค้า!$B$5:$B$204,0)),"ไม่พบสินค้า"))</f>
        <v/>
      </c>
      <c r="F330" s="17">
        <f>IF($C330="","",IFERROR(INDEX(สินค้า!$D$5:$D$204,MATCH($C330,สินค้า!$B$5:$B$204,0)),"ไม่พบสินค้า"))</f>
        <v/>
      </c>
      <c r="G330" s="15" t="n"/>
      <c r="H330" s="15" t="n"/>
      <c r="I330" s="18">
        <f>IF(AND(ISNUMBER(G330),ISNUMBER(H330),G330&gt;0),H330/G330,"")</f>
        <v/>
      </c>
      <c r="J330" s="15" t="n"/>
      <c r="K330" s="15" t="n"/>
      <c r="L330" s="17">
        <f>IF(A330="","",TEXT(A330,"yyyy-mm"))</f>
        <v/>
      </c>
      <c r="M330" s="17">
        <f>IF(AND(A330&lt;&gt;"",J330="Pending"),TODAY()-A330,"")</f>
        <v/>
      </c>
    </row>
    <row r="331">
      <c r="A331" s="16" t="n"/>
      <c r="B331" s="15" t="n"/>
      <c r="C331" s="15" t="n"/>
      <c r="D331" s="17">
        <f>IF($C331="","",IFERROR(INDEX(สินค้า!$A$5:$A$204,MATCH($C331,สินค้า!$B$5:$B$204,0)),"ไม่พบสินค้า"))</f>
        <v/>
      </c>
      <c r="E331" s="17">
        <f>IF($C331="","",IFERROR(INDEX(สินค้า!$C$5:$C$204,MATCH($C331,สินค้า!$B$5:$B$204,0)),"ไม่พบสินค้า"))</f>
        <v/>
      </c>
      <c r="F331" s="17">
        <f>IF($C331="","",IFERROR(INDEX(สินค้า!$D$5:$D$204,MATCH($C331,สินค้า!$B$5:$B$204,0)),"ไม่พบสินค้า"))</f>
        <v/>
      </c>
      <c r="G331" s="15" t="n"/>
      <c r="H331" s="15" t="n"/>
      <c r="I331" s="18">
        <f>IF(AND(ISNUMBER(G331),ISNUMBER(H331),G331&gt;0),H331/G331,"")</f>
        <v/>
      </c>
      <c r="J331" s="15" t="n"/>
      <c r="K331" s="15" t="n"/>
      <c r="L331" s="17">
        <f>IF(A331="","",TEXT(A331,"yyyy-mm"))</f>
        <v/>
      </c>
      <c r="M331" s="17">
        <f>IF(AND(A331&lt;&gt;"",J331="Pending"),TODAY()-A331,"")</f>
        <v/>
      </c>
    </row>
    <row r="332">
      <c r="A332" s="16" t="n"/>
      <c r="B332" s="15" t="n"/>
      <c r="C332" s="15" t="n"/>
      <c r="D332" s="17">
        <f>IF($C332="","",IFERROR(INDEX(สินค้า!$A$5:$A$204,MATCH($C332,สินค้า!$B$5:$B$204,0)),"ไม่พบสินค้า"))</f>
        <v/>
      </c>
      <c r="E332" s="17">
        <f>IF($C332="","",IFERROR(INDEX(สินค้า!$C$5:$C$204,MATCH($C332,สินค้า!$B$5:$B$204,0)),"ไม่พบสินค้า"))</f>
        <v/>
      </c>
      <c r="F332" s="17">
        <f>IF($C332="","",IFERROR(INDEX(สินค้า!$D$5:$D$204,MATCH($C332,สินค้า!$B$5:$B$204,0)),"ไม่พบสินค้า"))</f>
        <v/>
      </c>
      <c r="G332" s="15" t="n"/>
      <c r="H332" s="15" t="n"/>
      <c r="I332" s="18">
        <f>IF(AND(ISNUMBER(G332),ISNUMBER(H332),G332&gt;0),H332/G332,"")</f>
        <v/>
      </c>
      <c r="J332" s="15" t="n"/>
      <c r="K332" s="15" t="n"/>
      <c r="L332" s="17">
        <f>IF(A332="","",TEXT(A332,"yyyy-mm"))</f>
        <v/>
      </c>
      <c r="M332" s="17">
        <f>IF(AND(A332&lt;&gt;"",J332="Pending"),TODAY()-A332,"")</f>
        <v/>
      </c>
    </row>
    <row r="333">
      <c r="A333" s="16" t="n"/>
      <c r="B333" s="15" t="n"/>
      <c r="C333" s="15" t="n"/>
      <c r="D333" s="17">
        <f>IF($C333="","",IFERROR(INDEX(สินค้า!$A$5:$A$204,MATCH($C333,สินค้า!$B$5:$B$204,0)),"ไม่พบสินค้า"))</f>
        <v/>
      </c>
      <c r="E333" s="17">
        <f>IF($C333="","",IFERROR(INDEX(สินค้า!$C$5:$C$204,MATCH($C333,สินค้า!$B$5:$B$204,0)),"ไม่พบสินค้า"))</f>
        <v/>
      </c>
      <c r="F333" s="17">
        <f>IF($C333="","",IFERROR(INDEX(สินค้า!$D$5:$D$204,MATCH($C333,สินค้า!$B$5:$B$204,0)),"ไม่พบสินค้า"))</f>
        <v/>
      </c>
      <c r="G333" s="15" t="n"/>
      <c r="H333" s="15" t="n"/>
      <c r="I333" s="18">
        <f>IF(AND(ISNUMBER(G333),ISNUMBER(H333),G333&gt;0),H333/G333,"")</f>
        <v/>
      </c>
      <c r="J333" s="15" t="n"/>
      <c r="K333" s="15" t="n"/>
      <c r="L333" s="17">
        <f>IF(A333="","",TEXT(A333,"yyyy-mm"))</f>
        <v/>
      </c>
      <c r="M333" s="17">
        <f>IF(AND(A333&lt;&gt;"",J333="Pending"),TODAY()-A333,"")</f>
        <v/>
      </c>
    </row>
    <row r="334">
      <c r="A334" s="16" t="n"/>
      <c r="B334" s="15" t="n"/>
      <c r="C334" s="15" t="n"/>
      <c r="D334" s="17">
        <f>IF($C334="","",IFERROR(INDEX(สินค้า!$A$5:$A$204,MATCH($C334,สินค้า!$B$5:$B$204,0)),"ไม่พบสินค้า"))</f>
        <v/>
      </c>
      <c r="E334" s="17">
        <f>IF($C334="","",IFERROR(INDEX(สินค้า!$C$5:$C$204,MATCH($C334,สินค้า!$B$5:$B$204,0)),"ไม่พบสินค้า"))</f>
        <v/>
      </c>
      <c r="F334" s="17">
        <f>IF($C334="","",IFERROR(INDEX(สินค้า!$D$5:$D$204,MATCH($C334,สินค้า!$B$5:$B$204,0)),"ไม่พบสินค้า"))</f>
        <v/>
      </c>
      <c r="G334" s="15" t="n"/>
      <c r="H334" s="15" t="n"/>
      <c r="I334" s="18">
        <f>IF(AND(ISNUMBER(G334),ISNUMBER(H334),G334&gt;0),H334/G334,"")</f>
        <v/>
      </c>
      <c r="J334" s="15" t="n"/>
      <c r="K334" s="15" t="n"/>
      <c r="L334" s="17">
        <f>IF(A334="","",TEXT(A334,"yyyy-mm"))</f>
        <v/>
      </c>
      <c r="M334" s="17">
        <f>IF(AND(A334&lt;&gt;"",J334="Pending"),TODAY()-A334,"")</f>
        <v/>
      </c>
    </row>
    <row r="335">
      <c r="A335" s="16" t="n"/>
      <c r="B335" s="15" t="n"/>
      <c r="C335" s="15" t="n"/>
      <c r="D335" s="17">
        <f>IF($C335="","",IFERROR(INDEX(สินค้า!$A$5:$A$204,MATCH($C335,สินค้า!$B$5:$B$204,0)),"ไม่พบสินค้า"))</f>
        <v/>
      </c>
      <c r="E335" s="17">
        <f>IF($C335="","",IFERROR(INDEX(สินค้า!$C$5:$C$204,MATCH($C335,สินค้า!$B$5:$B$204,0)),"ไม่พบสินค้า"))</f>
        <v/>
      </c>
      <c r="F335" s="17">
        <f>IF($C335="","",IFERROR(INDEX(สินค้า!$D$5:$D$204,MATCH($C335,สินค้า!$B$5:$B$204,0)),"ไม่พบสินค้า"))</f>
        <v/>
      </c>
      <c r="G335" s="15" t="n"/>
      <c r="H335" s="15" t="n"/>
      <c r="I335" s="18">
        <f>IF(AND(ISNUMBER(G335),ISNUMBER(H335),G335&gt;0),H335/G335,"")</f>
        <v/>
      </c>
      <c r="J335" s="15" t="n"/>
      <c r="K335" s="15" t="n"/>
      <c r="L335" s="17">
        <f>IF(A335="","",TEXT(A335,"yyyy-mm"))</f>
        <v/>
      </c>
      <c r="M335" s="17">
        <f>IF(AND(A335&lt;&gt;"",J335="Pending"),TODAY()-A335,"")</f>
        <v/>
      </c>
    </row>
    <row r="336">
      <c r="A336" s="16" t="n"/>
      <c r="B336" s="15" t="n"/>
      <c r="C336" s="15" t="n"/>
      <c r="D336" s="17">
        <f>IF($C336="","",IFERROR(INDEX(สินค้า!$A$5:$A$204,MATCH($C336,สินค้า!$B$5:$B$204,0)),"ไม่พบสินค้า"))</f>
        <v/>
      </c>
      <c r="E336" s="17">
        <f>IF($C336="","",IFERROR(INDEX(สินค้า!$C$5:$C$204,MATCH($C336,สินค้า!$B$5:$B$204,0)),"ไม่พบสินค้า"))</f>
        <v/>
      </c>
      <c r="F336" s="17">
        <f>IF($C336="","",IFERROR(INDEX(สินค้า!$D$5:$D$204,MATCH($C336,สินค้า!$B$5:$B$204,0)),"ไม่พบสินค้า"))</f>
        <v/>
      </c>
      <c r="G336" s="15" t="n"/>
      <c r="H336" s="15" t="n"/>
      <c r="I336" s="18">
        <f>IF(AND(ISNUMBER(G336),ISNUMBER(H336),G336&gt;0),H336/G336,"")</f>
        <v/>
      </c>
      <c r="J336" s="15" t="n"/>
      <c r="K336" s="15" t="n"/>
      <c r="L336" s="17">
        <f>IF(A336="","",TEXT(A336,"yyyy-mm"))</f>
        <v/>
      </c>
      <c r="M336" s="17">
        <f>IF(AND(A336&lt;&gt;"",J336="Pending"),TODAY()-A336,"")</f>
        <v/>
      </c>
    </row>
    <row r="337">
      <c r="A337" s="16" t="n"/>
      <c r="B337" s="15" t="n"/>
      <c r="C337" s="15" t="n"/>
      <c r="D337" s="17">
        <f>IF($C337="","",IFERROR(INDEX(สินค้า!$A$5:$A$204,MATCH($C337,สินค้า!$B$5:$B$204,0)),"ไม่พบสินค้า"))</f>
        <v/>
      </c>
      <c r="E337" s="17">
        <f>IF($C337="","",IFERROR(INDEX(สินค้า!$C$5:$C$204,MATCH($C337,สินค้า!$B$5:$B$204,0)),"ไม่พบสินค้า"))</f>
        <v/>
      </c>
      <c r="F337" s="17">
        <f>IF($C337="","",IFERROR(INDEX(สินค้า!$D$5:$D$204,MATCH($C337,สินค้า!$B$5:$B$204,0)),"ไม่พบสินค้า"))</f>
        <v/>
      </c>
      <c r="G337" s="15" t="n"/>
      <c r="H337" s="15" t="n"/>
      <c r="I337" s="18">
        <f>IF(AND(ISNUMBER(G337),ISNUMBER(H337),G337&gt;0),H337/G337,"")</f>
        <v/>
      </c>
      <c r="J337" s="15" t="n"/>
      <c r="K337" s="15" t="n"/>
      <c r="L337" s="17">
        <f>IF(A337="","",TEXT(A337,"yyyy-mm"))</f>
        <v/>
      </c>
      <c r="M337" s="17">
        <f>IF(AND(A337&lt;&gt;"",J337="Pending"),TODAY()-A337,"")</f>
        <v/>
      </c>
    </row>
    <row r="338">
      <c r="A338" s="16" t="n"/>
      <c r="B338" s="15" t="n"/>
      <c r="C338" s="15" t="n"/>
      <c r="D338" s="17">
        <f>IF($C338="","",IFERROR(INDEX(สินค้า!$A$5:$A$204,MATCH($C338,สินค้า!$B$5:$B$204,0)),"ไม่พบสินค้า"))</f>
        <v/>
      </c>
      <c r="E338" s="17">
        <f>IF($C338="","",IFERROR(INDEX(สินค้า!$C$5:$C$204,MATCH($C338,สินค้า!$B$5:$B$204,0)),"ไม่พบสินค้า"))</f>
        <v/>
      </c>
      <c r="F338" s="17">
        <f>IF($C338="","",IFERROR(INDEX(สินค้า!$D$5:$D$204,MATCH($C338,สินค้า!$B$5:$B$204,0)),"ไม่พบสินค้า"))</f>
        <v/>
      </c>
      <c r="G338" s="15" t="n"/>
      <c r="H338" s="15" t="n"/>
      <c r="I338" s="18">
        <f>IF(AND(ISNUMBER(G338),ISNUMBER(H338),G338&gt;0),H338/G338,"")</f>
        <v/>
      </c>
      <c r="J338" s="15" t="n"/>
      <c r="K338" s="15" t="n"/>
      <c r="L338" s="17">
        <f>IF(A338="","",TEXT(A338,"yyyy-mm"))</f>
        <v/>
      </c>
      <c r="M338" s="17">
        <f>IF(AND(A338&lt;&gt;"",J338="Pending"),TODAY()-A338,"")</f>
        <v/>
      </c>
    </row>
    <row r="339">
      <c r="A339" s="16" t="n"/>
      <c r="B339" s="15" t="n"/>
      <c r="C339" s="15" t="n"/>
      <c r="D339" s="17">
        <f>IF($C339="","",IFERROR(INDEX(สินค้า!$A$5:$A$204,MATCH($C339,สินค้า!$B$5:$B$204,0)),"ไม่พบสินค้า"))</f>
        <v/>
      </c>
      <c r="E339" s="17">
        <f>IF($C339="","",IFERROR(INDEX(สินค้า!$C$5:$C$204,MATCH($C339,สินค้า!$B$5:$B$204,0)),"ไม่พบสินค้า"))</f>
        <v/>
      </c>
      <c r="F339" s="17">
        <f>IF($C339="","",IFERROR(INDEX(สินค้า!$D$5:$D$204,MATCH($C339,สินค้า!$B$5:$B$204,0)),"ไม่พบสินค้า"))</f>
        <v/>
      </c>
      <c r="G339" s="15" t="n"/>
      <c r="H339" s="15" t="n"/>
      <c r="I339" s="18">
        <f>IF(AND(ISNUMBER(G339),ISNUMBER(H339),G339&gt;0),H339/G339,"")</f>
        <v/>
      </c>
      <c r="J339" s="15" t="n"/>
      <c r="K339" s="15" t="n"/>
      <c r="L339" s="17">
        <f>IF(A339="","",TEXT(A339,"yyyy-mm"))</f>
        <v/>
      </c>
      <c r="M339" s="17">
        <f>IF(AND(A339&lt;&gt;"",J339="Pending"),TODAY()-A339,"")</f>
        <v/>
      </c>
    </row>
    <row r="340">
      <c r="A340" s="16" t="n"/>
      <c r="B340" s="15" t="n"/>
      <c r="C340" s="15" t="n"/>
      <c r="D340" s="17">
        <f>IF($C340="","",IFERROR(INDEX(สินค้า!$A$5:$A$204,MATCH($C340,สินค้า!$B$5:$B$204,0)),"ไม่พบสินค้า"))</f>
        <v/>
      </c>
      <c r="E340" s="17">
        <f>IF($C340="","",IFERROR(INDEX(สินค้า!$C$5:$C$204,MATCH($C340,สินค้า!$B$5:$B$204,0)),"ไม่พบสินค้า"))</f>
        <v/>
      </c>
      <c r="F340" s="17">
        <f>IF($C340="","",IFERROR(INDEX(สินค้า!$D$5:$D$204,MATCH($C340,สินค้า!$B$5:$B$204,0)),"ไม่พบสินค้า"))</f>
        <v/>
      </c>
      <c r="G340" s="15" t="n"/>
      <c r="H340" s="15" t="n"/>
      <c r="I340" s="18">
        <f>IF(AND(ISNUMBER(G340),ISNUMBER(H340),G340&gt;0),H340/G340,"")</f>
        <v/>
      </c>
      <c r="J340" s="15" t="n"/>
      <c r="K340" s="15" t="n"/>
      <c r="L340" s="17">
        <f>IF(A340="","",TEXT(A340,"yyyy-mm"))</f>
        <v/>
      </c>
      <c r="M340" s="17">
        <f>IF(AND(A340&lt;&gt;"",J340="Pending"),TODAY()-A340,"")</f>
        <v/>
      </c>
    </row>
    <row r="341">
      <c r="A341" s="16" t="n"/>
      <c r="B341" s="15" t="n"/>
      <c r="C341" s="15" t="n"/>
      <c r="D341" s="17">
        <f>IF($C341="","",IFERROR(INDEX(สินค้า!$A$5:$A$204,MATCH($C341,สินค้า!$B$5:$B$204,0)),"ไม่พบสินค้า"))</f>
        <v/>
      </c>
      <c r="E341" s="17">
        <f>IF($C341="","",IFERROR(INDEX(สินค้า!$C$5:$C$204,MATCH($C341,สินค้า!$B$5:$B$204,0)),"ไม่พบสินค้า"))</f>
        <v/>
      </c>
      <c r="F341" s="17">
        <f>IF($C341="","",IFERROR(INDEX(สินค้า!$D$5:$D$204,MATCH($C341,สินค้า!$B$5:$B$204,0)),"ไม่พบสินค้า"))</f>
        <v/>
      </c>
      <c r="G341" s="15" t="n"/>
      <c r="H341" s="15" t="n"/>
      <c r="I341" s="18">
        <f>IF(AND(ISNUMBER(G341),ISNUMBER(H341),G341&gt;0),H341/G341,"")</f>
        <v/>
      </c>
      <c r="J341" s="15" t="n"/>
      <c r="K341" s="15" t="n"/>
      <c r="L341" s="17">
        <f>IF(A341="","",TEXT(A341,"yyyy-mm"))</f>
        <v/>
      </c>
      <c r="M341" s="17">
        <f>IF(AND(A341&lt;&gt;"",J341="Pending"),TODAY()-A341,"")</f>
        <v/>
      </c>
    </row>
    <row r="342">
      <c r="A342" s="16" t="n"/>
      <c r="B342" s="15" t="n"/>
      <c r="C342" s="15" t="n"/>
      <c r="D342" s="17">
        <f>IF($C342="","",IFERROR(INDEX(สินค้า!$A$5:$A$204,MATCH($C342,สินค้า!$B$5:$B$204,0)),"ไม่พบสินค้า"))</f>
        <v/>
      </c>
      <c r="E342" s="17">
        <f>IF($C342="","",IFERROR(INDEX(สินค้า!$C$5:$C$204,MATCH($C342,สินค้า!$B$5:$B$204,0)),"ไม่พบสินค้า"))</f>
        <v/>
      </c>
      <c r="F342" s="17">
        <f>IF($C342="","",IFERROR(INDEX(สินค้า!$D$5:$D$204,MATCH($C342,สินค้า!$B$5:$B$204,0)),"ไม่พบสินค้า"))</f>
        <v/>
      </c>
      <c r="G342" s="15" t="n"/>
      <c r="H342" s="15" t="n"/>
      <c r="I342" s="18">
        <f>IF(AND(ISNUMBER(G342),ISNUMBER(H342),G342&gt;0),H342/G342,"")</f>
        <v/>
      </c>
      <c r="J342" s="15" t="n"/>
      <c r="K342" s="15" t="n"/>
      <c r="L342" s="17">
        <f>IF(A342="","",TEXT(A342,"yyyy-mm"))</f>
        <v/>
      </c>
      <c r="M342" s="17">
        <f>IF(AND(A342&lt;&gt;"",J342="Pending"),TODAY()-A342,"")</f>
        <v/>
      </c>
    </row>
    <row r="343">
      <c r="A343" s="16" t="n"/>
      <c r="B343" s="15" t="n"/>
      <c r="C343" s="15" t="n"/>
      <c r="D343" s="17">
        <f>IF($C343="","",IFERROR(INDEX(สินค้า!$A$5:$A$204,MATCH($C343,สินค้า!$B$5:$B$204,0)),"ไม่พบสินค้า"))</f>
        <v/>
      </c>
      <c r="E343" s="17">
        <f>IF($C343="","",IFERROR(INDEX(สินค้า!$C$5:$C$204,MATCH($C343,สินค้า!$B$5:$B$204,0)),"ไม่พบสินค้า"))</f>
        <v/>
      </c>
      <c r="F343" s="17">
        <f>IF($C343="","",IFERROR(INDEX(สินค้า!$D$5:$D$204,MATCH($C343,สินค้า!$B$5:$B$204,0)),"ไม่พบสินค้า"))</f>
        <v/>
      </c>
      <c r="G343" s="15" t="n"/>
      <c r="H343" s="15" t="n"/>
      <c r="I343" s="18">
        <f>IF(AND(ISNUMBER(G343),ISNUMBER(H343),G343&gt;0),H343/G343,"")</f>
        <v/>
      </c>
      <c r="J343" s="15" t="n"/>
      <c r="K343" s="15" t="n"/>
      <c r="L343" s="17">
        <f>IF(A343="","",TEXT(A343,"yyyy-mm"))</f>
        <v/>
      </c>
      <c r="M343" s="17">
        <f>IF(AND(A343&lt;&gt;"",J343="Pending"),TODAY()-A343,"")</f>
        <v/>
      </c>
    </row>
    <row r="344">
      <c r="A344" s="16" t="n"/>
      <c r="B344" s="15" t="n"/>
      <c r="C344" s="15" t="n"/>
      <c r="D344" s="17">
        <f>IF($C344="","",IFERROR(INDEX(สินค้า!$A$5:$A$204,MATCH($C344,สินค้า!$B$5:$B$204,0)),"ไม่พบสินค้า"))</f>
        <v/>
      </c>
      <c r="E344" s="17">
        <f>IF($C344="","",IFERROR(INDEX(สินค้า!$C$5:$C$204,MATCH($C344,สินค้า!$B$5:$B$204,0)),"ไม่พบสินค้า"))</f>
        <v/>
      </c>
      <c r="F344" s="17">
        <f>IF($C344="","",IFERROR(INDEX(สินค้า!$D$5:$D$204,MATCH($C344,สินค้า!$B$5:$B$204,0)),"ไม่พบสินค้า"))</f>
        <v/>
      </c>
      <c r="G344" s="15" t="n"/>
      <c r="H344" s="15" t="n"/>
      <c r="I344" s="18">
        <f>IF(AND(ISNUMBER(G344),ISNUMBER(H344),G344&gt;0),H344/G344,"")</f>
        <v/>
      </c>
      <c r="J344" s="15" t="n"/>
      <c r="K344" s="15" t="n"/>
      <c r="L344" s="17">
        <f>IF(A344="","",TEXT(A344,"yyyy-mm"))</f>
        <v/>
      </c>
      <c r="M344" s="17">
        <f>IF(AND(A344&lt;&gt;"",J344="Pending"),TODAY()-A344,"")</f>
        <v/>
      </c>
    </row>
    <row r="345">
      <c r="A345" s="16" t="n"/>
      <c r="B345" s="15" t="n"/>
      <c r="C345" s="15" t="n"/>
      <c r="D345" s="17">
        <f>IF($C345="","",IFERROR(INDEX(สินค้า!$A$5:$A$204,MATCH($C345,สินค้า!$B$5:$B$204,0)),"ไม่พบสินค้า"))</f>
        <v/>
      </c>
      <c r="E345" s="17">
        <f>IF($C345="","",IFERROR(INDEX(สินค้า!$C$5:$C$204,MATCH($C345,สินค้า!$B$5:$B$204,0)),"ไม่พบสินค้า"))</f>
        <v/>
      </c>
      <c r="F345" s="17">
        <f>IF($C345="","",IFERROR(INDEX(สินค้า!$D$5:$D$204,MATCH($C345,สินค้า!$B$5:$B$204,0)),"ไม่พบสินค้า"))</f>
        <v/>
      </c>
      <c r="G345" s="15" t="n"/>
      <c r="H345" s="15" t="n"/>
      <c r="I345" s="18">
        <f>IF(AND(ISNUMBER(G345),ISNUMBER(H345),G345&gt;0),H345/G345,"")</f>
        <v/>
      </c>
      <c r="J345" s="15" t="n"/>
      <c r="K345" s="15" t="n"/>
      <c r="L345" s="17">
        <f>IF(A345="","",TEXT(A345,"yyyy-mm"))</f>
        <v/>
      </c>
      <c r="M345" s="17">
        <f>IF(AND(A345&lt;&gt;"",J345="Pending"),TODAY()-A345,"")</f>
        <v/>
      </c>
    </row>
    <row r="346">
      <c r="A346" s="16" t="n"/>
      <c r="B346" s="15" t="n"/>
      <c r="C346" s="15" t="n"/>
      <c r="D346" s="17">
        <f>IF($C346="","",IFERROR(INDEX(สินค้า!$A$5:$A$204,MATCH($C346,สินค้า!$B$5:$B$204,0)),"ไม่พบสินค้า"))</f>
        <v/>
      </c>
      <c r="E346" s="17">
        <f>IF($C346="","",IFERROR(INDEX(สินค้า!$C$5:$C$204,MATCH($C346,สินค้า!$B$5:$B$204,0)),"ไม่พบสินค้า"))</f>
        <v/>
      </c>
      <c r="F346" s="17">
        <f>IF($C346="","",IFERROR(INDEX(สินค้า!$D$5:$D$204,MATCH($C346,สินค้า!$B$5:$B$204,0)),"ไม่พบสินค้า"))</f>
        <v/>
      </c>
      <c r="G346" s="15" t="n"/>
      <c r="H346" s="15" t="n"/>
      <c r="I346" s="18">
        <f>IF(AND(ISNUMBER(G346),ISNUMBER(H346),G346&gt;0),H346/G346,"")</f>
        <v/>
      </c>
      <c r="J346" s="15" t="n"/>
      <c r="K346" s="15" t="n"/>
      <c r="L346" s="17">
        <f>IF(A346="","",TEXT(A346,"yyyy-mm"))</f>
        <v/>
      </c>
      <c r="M346" s="17">
        <f>IF(AND(A346&lt;&gt;"",J346="Pending"),TODAY()-A346,"")</f>
        <v/>
      </c>
    </row>
    <row r="347">
      <c r="A347" s="16" t="n"/>
      <c r="B347" s="15" t="n"/>
      <c r="C347" s="15" t="n"/>
      <c r="D347" s="17">
        <f>IF($C347="","",IFERROR(INDEX(สินค้า!$A$5:$A$204,MATCH($C347,สินค้า!$B$5:$B$204,0)),"ไม่พบสินค้า"))</f>
        <v/>
      </c>
      <c r="E347" s="17">
        <f>IF($C347="","",IFERROR(INDEX(สินค้า!$C$5:$C$204,MATCH($C347,สินค้า!$B$5:$B$204,0)),"ไม่พบสินค้า"))</f>
        <v/>
      </c>
      <c r="F347" s="17">
        <f>IF($C347="","",IFERROR(INDEX(สินค้า!$D$5:$D$204,MATCH($C347,สินค้า!$B$5:$B$204,0)),"ไม่พบสินค้า"))</f>
        <v/>
      </c>
      <c r="G347" s="15" t="n"/>
      <c r="H347" s="15" t="n"/>
      <c r="I347" s="18">
        <f>IF(AND(ISNUMBER(G347),ISNUMBER(H347),G347&gt;0),H347/G347,"")</f>
        <v/>
      </c>
      <c r="J347" s="15" t="n"/>
      <c r="K347" s="15" t="n"/>
      <c r="L347" s="17">
        <f>IF(A347="","",TEXT(A347,"yyyy-mm"))</f>
        <v/>
      </c>
      <c r="M347" s="17">
        <f>IF(AND(A347&lt;&gt;"",J347="Pending"),TODAY()-A347,"")</f>
        <v/>
      </c>
    </row>
    <row r="348">
      <c r="A348" s="16" t="n"/>
      <c r="B348" s="15" t="n"/>
      <c r="C348" s="15" t="n"/>
      <c r="D348" s="17">
        <f>IF($C348="","",IFERROR(INDEX(สินค้า!$A$5:$A$204,MATCH($C348,สินค้า!$B$5:$B$204,0)),"ไม่พบสินค้า"))</f>
        <v/>
      </c>
      <c r="E348" s="17">
        <f>IF($C348="","",IFERROR(INDEX(สินค้า!$C$5:$C$204,MATCH($C348,สินค้า!$B$5:$B$204,0)),"ไม่พบสินค้า"))</f>
        <v/>
      </c>
      <c r="F348" s="17">
        <f>IF($C348="","",IFERROR(INDEX(สินค้า!$D$5:$D$204,MATCH($C348,สินค้า!$B$5:$B$204,0)),"ไม่พบสินค้า"))</f>
        <v/>
      </c>
      <c r="G348" s="15" t="n"/>
      <c r="H348" s="15" t="n"/>
      <c r="I348" s="18">
        <f>IF(AND(ISNUMBER(G348),ISNUMBER(H348),G348&gt;0),H348/G348,"")</f>
        <v/>
      </c>
      <c r="J348" s="15" t="n"/>
      <c r="K348" s="15" t="n"/>
      <c r="L348" s="17">
        <f>IF(A348="","",TEXT(A348,"yyyy-mm"))</f>
        <v/>
      </c>
      <c r="M348" s="17">
        <f>IF(AND(A348&lt;&gt;"",J348="Pending"),TODAY()-A348,"")</f>
        <v/>
      </c>
    </row>
    <row r="349">
      <c r="A349" s="16" t="n"/>
      <c r="B349" s="15" t="n"/>
      <c r="C349" s="15" t="n"/>
      <c r="D349" s="17">
        <f>IF($C349="","",IFERROR(INDEX(สินค้า!$A$5:$A$204,MATCH($C349,สินค้า!$B$5:$B$204,0)),"ไม่พบสินค้า"))</f>
        <v/>
      </c>
      <c r="E349" s="17">
        <f>IF($C349="","",IFERROR(INDEX(สินค้า!$C$5:$C$204,MATCH($C349,สินค้า!$B$5:$B$204,0)),"ไม่พบสินค้า"))</f>
        <v/>
      </c>
      <c r="F349" s="17">
        <f>IF($C349="","",IFERROR(INDEX(สินค้า!$D$5:$D$204,MATCH($C349,สินค้า!$B$5:$B$204,0)),"ไม่พบสินค้า"))</f>
        <v/>
      </c>
      <c r="G349" s="15" t="n"/>
      <c r="H349" s="15" t="n"/>
      <c r="I349" s="18">
        <f>IF(AND(ISNUMBER(G349),ISNUMBER(H349),G349&gt;0),H349/G349,"")</f>
        <v/>
      </c>
      <c r="J349" s="15" t="n"/>
      <c r="K349" s="15" t="n"/>
      <c r="L349" s="17">
        <f>IF(A349="","",TEXT(A349,"yyyy-mm"))</f>
        <v/>
      </c>
      <c r="M349" s="17">
        <f>IF(AND(A349&lt;&gt;"",J349="Pending"),TODAY()-A349,"")</f>
        <v/>
      </c>
    </row>
    <row r="350">
      <c r="A350" s="16" t="n"/>
      <c r="B350" s="15" t="n"/>
      <c r="C350" s="15" t="n"/>
      <c r="D350" s="17">
        <f>IF($C350="","",IFERROR(INDEX(สินค้า!$A$5:$A$204,MATCH($C350,สินค้า!$B$5:$B$204,0)),"ไม่พบสินค้า"))</f>
        <v/>
      </c>
      <c r="E350" s="17">
        <f>IF($C350="","",IFERROR(INDEX(สินค้า!$C$5:$C$204,MATCH($C350,สินค้า!$B$5:$B$204,0)),"ไม่พบสินค้า"))</f>
        <v/>
      </c>
      <c r="F350" s="17">
        <f>IF($C350="","",IFERROR(INDEX(สินค้า!$D$5:$D$204,MATCH($C350,สินค้า!$B$5:$B$204,0)),"ไม่พบสินค้า"))</f>
        <v/>
      </c>
      <c r="G350" s="15" t="n"/>
      <c r="H350" s="15" t="n"/>
      <c r="I350" s="18">
        <f>IF(AND(ISNUMBER(G350),ISNUMBER(H350),G350&gt;0),H350/G350,"")</f>
        <v/>
      </c>
      <c r="J350" s="15" t="n"/>
      <c r="K350" s="15" t="n"/>
      <c r="L350" s="17">
        <f>IF(A350="","",TEXT(A350,"yyyy-mm"))</f>
        <v/>
      </c>
      <c r="M350" s="17">
        <f>IF(AND(A350&lt;&gt;"",J350="Pending"),TODAY()-A350,"")</f>
        <v/>
      </c>
    </row>
    <row r="351">
      <c r="A351" s="16" t="n"/>
      <c r="B351" s="15" t="n"/>
      <c r="C351" s="15" t="n"/>
      <c r="D351" s="17">
        <f>IF($C351="","",IFERROR(INDEX(สินค้า!$A$5:$A$204,MATCH($C351,สินค้า!$B$5:$B$204,0)),"ไม่พบสินค้า"))</f>
        <v/>
      </c>
      <c r="E351" s="17">
        <f>IF($C351="","",IFERROR(INDEX(สินค้า!$C$5:$C$204,MATCH($C351,สินค้า!$B$5:$B$204,0)),"ไม่พบสินค้า"))</f>
        <v/>
      </c>
      <c r="F351" s="17">
        <f>IF($C351="","",IFERROR(INDEX(สินค้า!$D$5:$D$204,MATCH($C351,สินค้า!$B$5:$B$204,0)),"ไม่พบสินค้า"))</f>
        <v/>
      </c>
      <c r="G351" s="15" t="n"/>
      <c r="H351" s="15" t="n"/>
      <c r="I351" s="18">
        <f>IF(AND(ISNUMBER(G351),ISNUMBER(H351),G351&gt;0),H351/G351,"")</f>
        <v/>
      </c>
      <c r="J351" s="15" t="n"/>
      <c r="K351" s="15" t="n"/>
      <c r="L351" s="17">
        <f>IF(A351="","",TEXT(A351,"yyyy-mm"))</f>
        <v/>
      </c>
      <c r="M351" s="17">
        <f>IF(AND(A351&lt;&gt;"",J351="Pending"),TODAY()-A351,"")</f>
        <v/>
      </c>
    </row>
    <row r="352">
      <c r="A352" s="16" t="n"/>
      <c r="B352" s="15" t="n"/>
      <c r="C352" s="15" t="n"/>
      <c r="D352" s="17">
        <f>IF($C352="","",IFERROR(INDEX(สินค้า!$A$5:$A$204,MATCH($C352,สินค้า!$B$5:$B$204,0)),"ไม่พบสินค้า"))</f>
        <v/>
      </c>
      <c r="E352" s="17">
        <f>IF($C352="","",IFERROR(INDEX(สินค้า!$C$5:$C$204,MATCH($C352,สินค้า!$B$5:$B$204,0)),"ไม่พบสินค้า"))</f>
        <v/>
      </c>
      <c r="F352" s="17">
        <f>IF($C352="","",IFERROR(INDEX(สินค้า!$D$5:$D$204,MATCH($C352,สินค้า!$B$5:$B$204,0)),"ไม่พบสินค้า"))</f>
        <v/>
      </c>
      <c r="G352" s="15" t="n"/>
      <c r="H352" s="15" t="n"/>
      <c r="I352" s="18">
        <f>IF(AND(ISNUMBER(G352),ISNUMBER(H352),G352&gt;0),H352/G352,"")</f>
        <v/>
      </c>
      <c r="J352" s="15" t="n"/>
      <c r="K352" s="15" t="n"/>
      <c r="L352" s="17">
        <f>IF(A352="","",TEXT(A352,"yyyy-mm"))</f>
        <v/>
      </c>
      <c r="M352" s="17">
        <f>IF(AND(A352&lt;&gt;"",J352="Pending"),TODAY()-A352,"")</f>
        <v/>
      </c>
    </row>
    <row r="353">
      <c r="A353" s="16" t="n"/>
      <c r="B353" s="15" t="n"/>
      <c r="C353" s="15" t="n"/>
      <c r="D353" s="17">
        <f>IF($C353="","",IFERROR(INDEX(สินค้า!$A$5:$A$204,MATCH($C353,สินค้า!$B$5:$B$204,0)),"ไม่พบสินค้า"))</f>
        <v/>
      </c>
      <c r="E353" s="17">
        <f>IF($C353="","",IFERROR(INDEX(สินค้า!$C$5:$C$204,MATCH($C353,สินค้า!$B$5:$B$204,0)),"ไม่พบสินค้า"))</f>
        <v/>
      </c>
      <c r="F353" s="17">
        <f>IF($C353="","",IFERROR(INDEX(สินค้า!$D$5:$D$204,MATCH($C353,สินค้า!$B$5:$B$204,0)),"ไม่พบสินค้า"))</f>
        <v/>
      </c>
      <c r="G353" s="15" t="n"/>
      <c r="H353" s="15" t="n"/>
      <c r="I353" s="18">
        <f>IF(AND(ISNUMBER(G353),ISNUMBER(H353),G353&gt;0),H353/G353,"")</f>
        <v/>
      </c>
      <c r="J353" s="15" t="n"/>
      <c r="K353" s="15" t="n"/>
      <c r="L353" s="17">
        <f>IF(A353="","",TEXT(A353,"yyyy-mm"))</f>
        <v/>
      </c>
      <c r="M353" s="17">
        <f>IF(AND(A353&lt;&gt;"",J353="Pending"),TODAY()-A353,"")</f>
        <v/>
      </c>
    </row>
    <row r="354">
      <c r="A354" s="16" t="n"/>
      <c r="B354" s="15" t="n"/>
      <c r="C354" s="15" t="n"/>
      <c r="D354" s="17">
        <f>IF($C354="","",IFERROR(INDEX(สินค้า!$A$5:$A$204,MATCH($C354,สินค้า!$B$5:$B$204,0)),"ไม่พบสินค้า"))</f>
        <v/>
      </c>
      <c r="E354" s="17">
        <f>IF($C354="","",IFERROR(INDEX(สินค้า!$C$5:$C$204,MATCH($C354,สินค้า!$B$5:$B$204,0)),"ไม่พบสินค้า"))</f>
        <v/>
      </c>
      <c r="F354" s="17">
        <f>IF($C354="","",IFERROR(INDEX(สินค้า!$D$5:$D$204,MATCH($C354,สินค้า!$B$5:$B$204,0)),"ไม่พบสินค้า"))</f>
        <v/>
      </c>
      <c r="G354" s="15" t="n"/>
      <c r="H354" s="15" t="n"/>
      <c r="I354" s="18">
        <f>IF(AND(ISNUMBER(G354),ISNUMBER(H354),G354&gt;0),H354/G354,"")</f>
        <v/>
      </c>
      <c r="J354" s="15" t="n"/>
      <c r="K354" s="15" t="n"/>
      <c r="L354" s="17">
        <f>IF(A354="","",TEXT(A354,"yyyy-mm"))</f>
        <v/>
      </c>
      <c r="M354" s="17">
        <f>IF(AND(A354&lt;&gt;"",J354="Pending"),TODAY()-A354,"")</f>
        <v/>
      </c>
    </row>
    <row r="355">
      <c r="A355" s="16" t="n"/>
      <c r="B355" s="15" t="n"/>
      <c r="C355" s="15" t="n"/>
      <c r="D355" s="17">
        <f>IF($C355="","",IFERROR(INDEX(สินค้า!$A$5:$A$204,MATCH($C355,สินค้า!$B$5:$B$204,0)),"ไม่พบสินค้า"))</f>
        <v/>
      </c>
      <c r="E355" s="17">
        <f>IF($C355="","",IFERROR(INDEX(สินค้า!$C$5:$C$204,MATCH($C355,สินค้า!$B$5:$B$204,0)),"ไม่พบสินค้า"))</f>
        <v/>
      </c>
      <c r="F355" s="17">
        <f>IF($C355="","",IFERROR(INDEX(สินค้า!$D$5:$D$204,MATCH($C355,สินค้า!$B$5:$B$204,0)),"ไม่พบสินค้า"))</f>
        <v/>
      </c>
      <c r="G355" s="15" t="n"/>
      <c r="H355" s="15" t="n"/>
      <c r="I355" s="18">
        <f>IF(AND(ISNUMBER(G355),ISNUMBER(H355),G355&gt;0),H355/G355,"")</f>
        <v/>
      </c>
      <c r="J355" s="15" t="n"/>
      <c r="K355" s="15" t="n"/>
      <c r="L355" s="17">
        <f>IF(A355="","",TEXT(A355,"yyyy-mm"))</f>
        <v/>
      </c>
      <c r="M355" s="17">
        <f>IF(AND(A355&lt;&gt;"",J355="Pending"),TODAY()-A355,"")</f>
        <v/>
      </c>
    </row>
    <row r="356">
      <c r="A356" s="16" t="n"/>
      <c r="B356" s="15" t="n"/>
      <c r="C356" s="15" t="n"/>
      <c r="D356" s="17">
        <f>IF($C356="","",IFERROR(INDEX(สินค้า!$A$5:$A$204,MATCH($C356,สินค้า!$B$5:$B$204,0)),"ไม่พบสินค้า"))</f>
        <v/>
      </c>
      <c r="E356" s="17">
        <f>IF($C356="","",IFERROR(INDEX(สินค้า!$C$5:$C$204,MATCH($C356,สินค้า!$B$5:$B$204,0)),"ไม่พบสินค้า"))</f>
        <v/>
      </c>
      <c r="F356" s="17">
        <f>IF($C356="","",IFERROR(INDEX(สินค้า!$D$5:$D$204,MATCH($C356,สินค้า!$B$5:$B$204,0)),"ไม่พบสินค้า"))</f>
        <v/>
      </c>
      <c r="G356" s="15" t="n"/>
      <c r="H356" s="15" t="n"/>
      <c r="I356" s="18">
        <f>IF(AND(ISNUMBER(G356),ISNUMBER(H356),G356&gt;0),H356/G356,"")</f>
        <v/>
      </c>
      <c r="J356" s="15" t="n"/>
      <c r="K356" s="15" t="n"/>
      <c r="L356" s="17">
        <f>IF(A356="","",TEXT(A356,"yyyy-mm"))</f>
        <v/>
      </c>
      <c r="M356" s="17">
        <f>IF(AND(A356&lt;&gt;"",J356="Pending"),TODAY()-A356,"")</f>
        <v/>
      </c>
    </row>
    <row r="357">
      <c r="A357" s="16" t="n"/>
      <c r="B357" s="15" t="n"/>
      <c r="C357" s="15" t="n"/>
      <c r="D357" s="17">
        <f>IF($C357="","",IFERROR(INDEX(สินค้า!$A$5:$A$204,MATCH($C357,สินค้า!$B$5:$B$204,0)),"ไม่พบสินค้า"))</f>
        <v/>
      </c>
      <c r="E357" s="17">
        <f>IF($C357="","",IFERROR(INDEX(สินค้า!$C$5:$C$204,MATCH($C357,สินค้า!$B$5:$B$204,0)),"ไม่พบสินค้า"))</f>
        <v/>
      </c>
      <c r="F357" s="17">
        <f>IF($C357="","",IFERROR(INDEX(สินค้า!$D$5:$D$204,MATCH($C357,สินค้า!$B$5:$B$204,0)),"ไม่พบสินค้า"))</f>
        <v/>
      </c>
      <c r="G357" s="15" t="n"/>
      <c r="H357" s="15" t="n"/>
      <c r="I357" s="18">
        <f>IF(AND(ISNUMBER(G357),ISNUMBER(H357),G357&gt;0),H357/G357,"")</f>
        <v/>
      </c>
      <c r="J357" s="15" t="n"/>
      <c r="K357" s="15" t="n"/>
      <c r="L357" s="17">
        <f>IF(A357="","",TEXT(A357,"yyyy-mm"))</f>
        <v/>
      </c>
      <c r="M357" s="17">
        <f>IF(AND(A357&lt;&gt;"",J357="Pending"),TODAY()-A357,"")</f>
        <v/>
      </c>
    </row>
    <row r="358">
      <c r="A358" s="16" t="n"/>
      <c r="B358" s="15" t="n"/>
      <c r="C358" s="15" t="n"/>
      <c r="D358" s="17">
        <f>IF($C358="","",IFERROR(INDEX(สินค้า!$A$5:$A$204,MATCH($C358,สินค้า!$B$5:$B$204,0)),"ไม่พบสินค้า"))</f>
        <v/>
      </c>
      <c r="E358" s="17">
        <f>IF($C358="","",IFERROR(INDEX(สินค้า!$C$5:$C$204,MATCH($C358,สินค้า!$B$5:$B$204,0)),"ไม่พบสินค้า"))</f>
        <v/>
      </c>
      <c r="F358" s="17">
        <f>IF($C358="","",IFERROR(INDEX(สินค้า!$D$5:$D$204,MATCH($C358,สินค้า!$B$5:$B$204,0)),"ไม่พบสินค้า"))</f>
        <v/>
      </c>
      <c r="G358" s="15" t="n"/>
      <c r="H358" s="15" t="n"/>
      <c r="I358" s="18">
        <f>IF(AND(ISNUMBER(G358),ISNUMBER(H358),G358&gt;0),H358/G358,"")</f>
        <v/>
      </c>
      <c r="J358" s="15" t="n"/>
      <c r="K358" s="15" t="n"/>
      <c r="L358" s="17">
        <f>IF(A358="","",TEXT(A358,"yyyy-mm"))</f>
        <v/>
      </c>
      <c r="M358" s="17">
        <f>IF(AND(A358&lt;&gt;"",J358="Pending"),TODAY()-A358,"")</f>
        <v/>
      </c>
    </row>
    <row r="359">
      <c r="A359" s="16" t="n"/>
      <c r="B359" s="15" t="n"/>
      <c r="C359" s="15" t="n"/>
      <c r="D359" s="17">
        <f>IF($C359="","",IFERROR(INDEX(สินค้า!$A$5:$A$204,MATCH($C359,สินค้า!$B$5:$B$204,0)),"ไม่พบสินค้า"))</f>
        <v/>
      </c>
      <c r="E359" s="17">
        <f>IF($C359="","",IFERROR(INDEX(สินค้า!$C$5:$C$204,MATCH($C359,สินค้า!$B$5:$B$204,0)),"ไม่พบสินค้า"))</f>
        <v/>
      </c>
      <c r="F359" s="17">
        <f>IF($C359="","",IFERROR(INDEX(สินค้า!$D$5:$D$204,MATCH($C359,สินค้า!$B$5:$B$204,0)),"ไม่พบสินค้า"))</f>
        <v/>
      </c>
      <c r="G359" s="15" t="n"/>
      <c r="H359" s="15" t="n"/>
      <c r="I359" s="18">
        <f>IF(AND(ISNUMBER(G359),ISNUMBER(H359),G359&gt;0),H359/G359,"")</f>
        <v/>
      </c>
      <c r="J359" s="15" t="n"/>
      <c r="K359" s="15" t="n"/>
      <c r="L359" s="17">
        <f>IF(A359="","",TEXT(A359,"yyyy-mm"))</f>
        <v/>
      </c>
      <c r="M359" s="17">
        <f>IF(AND(A359&lt;&gt;"",J359="Pending"),TODAY()-A359,"")</f>
        <v/>
      </c>
    </row>
    <row r="360">
      <c r="A360" s="16" t="n"/>
      <c r="B360" s="15" t="n"/>
      <c r="C360" s="15" t="n"/>
      <c r="D360" s="17">
        <f>IF($C360="","",IFERROR(INDEX(สินค้า!$A$5:$A$204,MATCH($C360,สินค้า!$B$5:$B$204,0)),"ไม่พบสินค้า"))</f>
        <v/>
      </c>
      <c r="E360" s="17">
        <f>IF($C360="","",IFERROR(INDEX(สินค้า!$C$5:$C$204,MATCH($C360,สินค้า!$B$5:$B$204,0)),"ไม่พบสินค้า"))</f>
        <v/>
      </c>
      <c r="F360" s="17">
        <f>IF($C360="","",IFERROR(INDEX(สินค้า!$D$5:$D$204,MATCH($C360,สินค้า!$B$5:$B$204,0)),"ไม่พบสินค้า"))</f>
        <v/>
      </c>
      <c r="G360" s="15" t="n"/>
      <c r="H360" s="15" t="n"/>
      <c r="I360" s="18">
        <f>IF(AND(ISNUMBER(G360),ISNUMBER(H360),G360&gt;0),H360/G360,"")</f>
        <v/>
      </c>
      <c r="J360" s="15" t="n"/>
      <c r="K360" s="15" t="n"/>
      <c r="L360" s="17">
        <f>IF(A360="","",TEXT(A360,"yyyy-mm"))</f>
        <v/>
      </c>
      <c r="M360" s="17">
        <f>IF(AND(A360&lt;&gt;"",J360="Pending"),TODAY()-A360,"")</f>
        <v/>
      </c>
    </row>
    <row r="361">
      <c r="A361" s="16" t="n"/>
      <c r="B361" s="15" t="n"/>
      <c r="C361" s="15" t="n"/>
      <c r="D361" s="17">
        <f>IF($C361="","",IFERROR(INDEX(สินค้า!$A$5:$A$204,MATCH($C361,สินค้า!$B$5:$B$204,0)),"ไม่พบสินค้า"))</f>
        <v/>
      </c>
      <c r="E361" s="17">
        <f>IF($C361="","",IFERROR(INDEX(สินค้า!$C$5:$C$204,MATCH($C361,สินค้า!$B$5:$B$204,0)),"ไม่พบสินค้า"))</f>
        <v/>
      </c>
      <c r="F361" s="17">
        <f>IF($C361="","",IFERROR(INDEX(สินค้า!$D$5:$D$204,MATCH($C361,สินค้า!$B$5:$B$204,0)),"ไม่พบสินค้า"))</f>
        <v/>
      </c>
      <c r="G361" s="15" t="n"/>
      <c r="H361" s="15" t="n"/>
      <c r="I361" s="18">
        <f>IF(AND(ISNUMBER(G361),ISNUMBER(H361),G361&gt;0),H361/G361,"")</f>
        <v/>
      </c>
      <c r="J361" s="15" t="n"/>
      <c r="K361" s="15" t="n"/>
      <c r="L361" s="17">
        <f>IF(A361="","",TEXT(A361,"yyyy-mm"))</f>
        <v/>
      </c>
      <c r="M361" s="17">
        <f>IF(AND(A361&lt;&gt;"",J361="Pending"),TODAY()-A361,"")</f>
        <v/>
      </c>
    </row>
    <row r="362">
      <c r="A362" s="16" t="n"/>
      <c r="B362" s="15" t="n"/>
      <c r="C362" s="15" t="n"/>
      <c r="D362" s="17">
        <f>IF($C362="","",IFERROR(INDEX(สินค้า!$A$5:$A$204,MATCH($C362,สินค้า!$B$5:$B$204,0)),"ไม่พบสินค้า"))</f>
        <v/>
      </c>
      <c r="E362" s="17">
        <f>IF($C362="","",IFERROR(INDEX(สินค้า!$C$5:$C$204,MATCH($C362,สินค้า!$B$5:$B$204,0)),"ไม่พบสินค้า"))</f>
        <v/>
      </c>
      <c r="F362" s="17">
        <f>IF($C362="","",IFERROR(INDEX(สินค้า!$D$5:$D$204,MATCH($C362,สินค้า!$B$5:$B$204,0)),"ไม่พบสินค้า"))</f>
        <v/>
      </c>
      <c r="G362" s="15" t="n"/>
      <c r="H362" s="15" t="n"/>
      <c r="I362" s="18">
        <f>IF(AND(ISNUMBER(G362),ISNUMBER(H362),G362&gt;0),H362/G362,"")</f>
        <v/>
      </c>
      <c r="J362" s="15" t="n"/>
      <c r="K362" s="15" t="n"/>
      <c r="L362" s="17">
        <f>IF(A362="","",TEXT(A362,"yyyy-mm"))</f>
        <v/>
      </c>
      <c r="M362" s="17">
        <f>IF(AND(A362&lt;&gt;"",J362="Pending"),TODAY()-A362,"")</f>
        <v/>
      </c>
    </row>
    <row r="363">
      <c r="A363" s="16" t="n"/>
      <c r="B363" s="15" t="n"/>
      <c r="C363" s="15" t="n"/>
      <c r="D363" s="17">
        <f>IF($C363="","",IFERROR(INDEX(สินค้า!$A$5:$A$204,MATCH($C363,สินค้า!$B$5:$B$204,0)),"ไม่พบสินค้า"))</f>
        <v/>
      </c>
      <c r="E363" s="17">
        <f>IF($C363="","",IFERROR(INDEX(สินค้า!$C$5:$C$204,MATCH($C363,สินค้า!$B$5:$B$204,0)),"ไม่พบสินค้า"))</f>
        <v/>
      </c>
      <c r="F363" s="17">
        <f>IF($C363="","",IFERROR(INDEX(สินค้า!$D$5:$D$204,MATCH($C363,สินค้า!$B$5:$B$204,0)),"ไม่พบสินค้า"))</f>
        <v/>
      </c>
      <c r="G363" s="15" t="n"/>
      <c r="H363" s="15" t="n"/>
      <c r="I363" s="18">
        <f>IF(AND(ISNUMBER(G363),ISNUMBER(H363),G363&gt;0),H363/G363,"")</f>
        <v/>
      </c>
      <c r="J363" s="15" t="n"/>
      <c r="K363" s="15" t="n"/>
      <c r="L363" s="17">
        <f>IF(A363="","",TEXT(A363,"yyyy-mm"))</f>
        <v/>
      </c>
      <c r="M363" s="17">
        <f>IF(AND(A363&lt;&gt;"",J363="Pending"),TODAY()-A363,"")</f>
        <v/>
      </c>
    </row>
    <row r="364">
      <c r="A364" s="16" t="n"/>
      <c r="B364" s="15" t="n"/>
      <c r="C364" s="15" t="n"/>
      <c r="D364" s="17">
        <f>IF($C364="","",IFERROR(INDEX(สินค้า!$A$5:$A$204,MATCH($C364,สินค้า!$B$5:$B$204,0)),"ไม่พบสินค้า"))</f>
        <v/>
      </c>
      <c r="E364" s="17">
        <f>IF($C364="","",IFERROR(INDEX(สินค้า!$C$5:$C$204,MATCH($C364,สินค้า!$B$5:$B$204,0)),"ไม่พบสินค้า"))</f>
        <v/>
      </c>
      <c r="F364" s="17">
        <f>IF($C364="","",IFERROR(INDEX(สินค้า!$D$5:$D$204,MATCH($C364,สินค้า!$B$5:$B$204,0)),"ไม่พบสินค้า"))</f>
        <v/>
      </c>
      <c r="G364" s="15" t="n"/>
      <c r="H364" s="15" t="n"/>
      <c r="I364" s="18">
        <f>IF(AND(ISNUMBER(G364),ISNUMBER(H364),G364&gt;0),H364/G364,"")</f>
        <v/>
      </c>
      <c r="J364" s="15" t="n"/>
      <c r="K364" s="15" t="n"/>
      <c r="L364" s="17">
        <f>IF(A364="","",TEXT(A364,"yyyy-mm"))</f>
        <v/>
      </c>
      <c r="M364" s="17">
        <f>IF(AND(A364&lt;&gt;"",J364="Pending"),TODAY()-A364,"")</f>
        <v/>
      </c>
    </row>
    <row r="365">
      <c r="A365" s="16" t="n"/>
      <c r="B365" s="15" t="n"/>
      <c r="C365" s="15" t="n"/>
      <c r="D365" s="17">
        <f>IF($C365="","",IFERROR(INDEX(สินค้า!$A$5:$A$204,MATCH($C365,สินค้า!$B$5:$B$204,0)),"ไม่พบสินค้า"))</f>
        <v/>
      </c>
      <c r="E365" s="17">
        <f>IF($C365="","",IFERROR(INDEX(สินค้า!$C$5:$C$204,MATCH($C365,สินค้า!$B$5:$B$204,0)),"ไม่พบสินค้า"))</f>
        <v/>
      </c>
      <c r="F365" s="17">
        <f>IF($C365="","",IFERROR(INDEX(สินค้า!$D$5:$D$204,MATCH($C365,สินค้า!$B$5:$B$204,0)),"ไม่พบสินค้า"))</f>
        <v/>
      </c>
      <c r="G365" s="15" t="n"/>
      <c r="H365" s="15" t="n"/>
      <c r="I365" s="18">
        <f>IF(AND(ISNUMBER(G365),ISNUMBER(H365),G365&gt;0),H365/G365,"")</f>
        <v/>
      </c>
      <c r="J365" s="15" t="n"/>
      <c r="K365" s="15" t="n"/>
      <c r="L365" s="17">
        <f>IF(A365="","",TEXT(A365,"yyyy-mm"))</f>
        <v/>
      </c>
      <c r="M365" s="17">
        <f>IF(AND(A365&lt;&gt;"",J365="Pending"),TODAY()-A365,"")</f>
        <v/>
      </c>
    </row>
    <row r="366">
      <c r="A366" s="16" t="n"/>
      <c r="B366" s="15" t="n"/>
      <c r="C366" s="15" t="n"/>
      <c r="D366" s="17">
        <f>IF($C366="","",IFERROR(INDEX(สินค้า!$A$5:$A$204,MATCH($C366,สินค้า!$B$5:$B$204,0)),"ไม่พบสินค้า"))</f>
        <v/>
      </c>
      <c r="E366" s="17">
        <f>IF($C366="","",IFERROR(INDEX(สินค้า!$C$5:$C$204,MATCH($C366,สินค้า!$B$5:$B$204,0)),"ไม่พบสินค้า"))</f>
        <v/>
      </c>
      <c r="F366" s="17">
        <f>IF($C366="","",IFERROR(INDEX(สินค้า!$D$5:$D$204,MATCH($C366,สินค้า!$B$5:$B$204,0)),"ไม่พบสินค้า"))</f>
        <v/>
      </c>
      <c r="G366" s="15" t="n"/>
      <c r="H366" s="15" t="n"/>
      <c r="I366" s="18">
        <f>IF(AND(ISNUMBER(G366),ISNUMBER(H366),G366&gt;0),H366/G366,"")</f>
        <v/>
      </c>
      <c r="J366" s="15" t="n"/>
      <c r="K366" s="15" t="n"/>
      <c r="L366" s="17">
        <f>IF(A366="","",TEXT(A366,"yyyy-mm"))</f>
        <v/>
      </c>
      <c r="M366" s="17">
        <f>IF(AND(A366&lt;&gt;"",J366="Pending"),TODAY()-A366,"")</f>
        <v/>
      </c>
    </row>
    <row r="367">
      <c r="A367" s="16" t="n"/>
      <c r="B367" s="15" t="n"/>
      <c r="C367" s="15" t="n"/>
      <c r="D367" s="17">
        <f>IF($C367="","",IFERROR(INDEX(สินค้า!$A$5:$A$204,MATCH($C367,สินค้า!$B$5:$B$204,0)),"ไม่พบสินค้า"))</f>
        <v/>
      </c>
      <c r="E367" s="17">
        <f>IF($C367="","",IFERROR(INDEX(สินค้า!$C$5:$C$204,MATCH($C367,สินค้า!$B$5:$B$204,0)),"ไม่พบสินค้า"))</f>
        <v/>
      </c>
      <c r="F367" s="17">
        <f>IF($C367="","",IFERROR(INDEX(สินค้า!$D$5:$D$204,MATCH($C367,สินค้า!$B$5:$B$204,0)),"ไม่พบสินค้า"))</f>
        <v/>
      </c>
      <c r="G367" s="15" t="n"/>
      <c r="H367" s="15" t="n"/>
      <c r="I367" s="18">
        <f>IF(AND(ISNUMBER(G367),ISNUMBER(H367),G367&gt;0),H367/G367,"")</f>
        <v/>
      </c>
      <c r="J367" s="15" t="n"/>
      <c r="K367" s="15" t="n"/>
      <c r="L367" s="17">
        <f>IF(A367="","",TEXT(A367,"yyyy-mm"))</f>
        <v/>
      </c>
      <c r="M367" s="17">
        <f>IF(AND(A367&lt;&gt;"",J367="Pending"),TODAY()-A367,"")</f>
        <v/>
      </c>
    </row>
    <row r="368">
      <c r="A368" s="16" t="n"/>
      <c r="B368" s="15" t="n"/>
      <c r="C368" s="15" t="n"/>
      <c r="D368" s="17">
        <f>IF($C368="","",IFERROR(INDEX(สินค้า!$A$5:$A$204,MATCH($C368,สินค้า!$B$5:$B$204,0)),"ไม่พบสินค้า"))</f>
        <v/>
      </c>
      <c r="E368" s="17">
        <f>IF($C368="","",IFERROR(INDEX(สินค้า!$C$5:$C$204,MATCH($C368,สินค้า!$B$5:$B$204,0)),"ไม่พบสินค้า"))</f>
        <v/>
      </c>
      <c r="F368" s="17">
        <f>IF($C368="","",IFERROR(INDEX(สินค้า!$D$5:$D$204,MATCH($C368,สินค้า!$B$5:$B$204,0)),"ไม่พบสินค้า"))</f>
        <v/>
      </c>
      <c r="G368" s="15" t="n"/>
      <c r="H368" s="15" t="n"/>
      <c r="I368" s="18">
        <f>IF(AND(ISNUMBER(G368),ISNUMBER(H368),G368&gt;0),H368/G368,"")</f>
        <v/>
      </c>
      <c r="J368" s="15" t="n"/>
      <c r="K368" s="15" t="n"/>
      <c r="L368" s="17">
        <f>IF(A368="","",TEXT(A368,"yyyy-mm"))</f>
        <v/>
      </c>
      <c r="M368" s="17">
        <f>IF(AND(A368&lt;&gt;"",J368="Pending"),TODAY()-A368,"")</f>
        <v/>
      </c>
    </row>
    <row r="369">
      <c r="A369" s="16" t="n"/>
      <c r="B369" s="15" t="n"/>
      <c r="C369" s="15" t="n"/>
      <c r="D369" s="17">
        <f>IF($C369="","",IFERROR(INDEX(สินค้า!$A$5:$A$204,MATCH($C369,สินค้า!$B$5:$B$204,0)),"ไม่พบสินค้า"))</f>
        <v/>
      </c>
      <c r="E369" s="17">
        <f>IF($C369="","",IFERROR(INDEX(สินค้า!$C$5:$C$204,MATCH($C369,สินค้า!$B$5:$B$204,0)),"ไม่พบสินค้า"))</f>
        <v/>
      </c>
      <c r="F369" s="17">
        <f>IF($C369="","",IFERROR(INDEX(สินค้า!$D$5:$D$204,MATCH($C369,สินค้า!$B$5:$B$204,0)),"ไม่พบสินค้า"))</f>
        <v/>
      </c>
      <c r="G369" s="15" t="n"/>
      <c r="H369" s="15" t="n"/>
      <c r="I369" s="18">
        <f>IF(AND(ISNUMBER(G369),ISNUMBER(H369),G369&gt;0),H369/G369,"")</f>
        <v/>
      </c>
      <c r="J369" s="15" t="n"/>
      <c r="K369" s="15" t="n"/>
      <c r="L369" s="17">
        <f>IF(A369="","",TEXT(A369,"yyyy-mm"))</f>
        <v/>
      </c>
      <c r="M369" s="17">
        <f>IF(AND(A369&lt;&gt;"",J369="Pending"),TODAY()-A369,"")</f>
        <v/>
      </c>
    </row>
    <row r="370">
      <c r="A370" s="16" t="n"/>
      <c r="B370" s="15" t="n"/>
      <c r="C370" s="15" t="n"/>
      <c r="D370" s="17">
        <f>IF($C370="","",IFERROR(INDEX(สินค้า!$A$5:$A$204,MATCH($C370,สินค้า!$B$5:$B$204,0)),"ไม่พบสินค้า"))</f>
        <v/>
      </c>
      <c r="E370" s="17">
        <f>IF($C370="","",IFERROR(INDEX(สินค้า!$C$5:$C$204,MATCH($C370,สินค้า!$B$5:$B$204,0)),"ไม่พบสินค้า"))</f>
        <v/>
      </c>
      <c r="F370" s="17">
        <f>IF($C370="","",IFERROR(INDEX(สินค้า!$D$5:$D$204,MATCH($C370,สินค้า!$B$5:$B$204,0)),"ไม่พบสินค้า"))</f>
        <v/>
      </c>
      <c r="G370" s="15" t="n"/>
      <c r="H370" s="15" t="n"/>
      <c r="I370" s="18">
        <f>IF(AND(ISNUMBER(G370),ISNUMBER(H370),G370&gt;0),H370/G370,"")</f>
        <v/>
      </c>
      <c r="J370" s="15" t="n"/>
      <c r="K370" s="15" t="n"/>
      <c r="L370" s="17">
        <f>IF(A370="","",TEXT(A370,"yyyy-mm"))</f>
        <v/>
      </c>
      <c r="M370" s="17">
        <f>IF(AND(A370&lt;&gt;"",J370="Pending"),TODAY()-A370,"")</f>
        <v/>
      </c>
    </row>
    <row r="371">
      <c r="A371" s="16" t="n"/>
      <c r="B371" s="15" t="n"/>
      <c r="C371" s="15" t="n"/>
      <c r="D371" s="17">
        <f>IF($C371="","",IFERROR(INDEX(สินค้า!$A$5:$A$204,MATCH($C371,สินค้า!$B$5:$B$204,0)),"ไม่พบสินค้า"))</f>
        <v/>
      </c>
      <c r="E371" s="17">
        <f>IF($C371="","",IFERROR(INDEX(สินค้า!$C$5:$C$204,MATCH($C371,สินค้า!$B$5:$B$204,0)),"ไม่พบสินค้า"))</f>
        <v/>
      </c>
      <c r="F371" s="17">
        <f>IF($C371="","",IFERROR(INDEX(สินค้า!$D$5:$D$204,MATCH($C371,สินค้า!$B$5:$B$204,0)),"ไม่พบสินค้า"))</f>
        <v/>
      </c>
      <c r="G371" s="15" t="n"/>
      <c r="H371" s="15" t="n"/>
      <c r="I371" s="18">
        <f>IF(AND(ISNUMBER(G371),ISNUMBER(H371),G371&gt;0),H371/G371,"")</f>
        <v/>
      </c>
      <c r="J371" s="15" t="n"/>
      <c r="K371" s="15" t="n"/>
      <c r="L371" s="17">
        <f>IF(A371="","",TEXT(A371,"yyyy-mm"))</f>
        <v/>
      </c>
      <c r="M371" s="17">
        <f>IF(AND(A371&lt;&gt;"",J371="Pending"),TODAY()-A371,"")</f>
        <v/>
      </c>
    </row>
    <row r="372">
      <c r="A372" s="16" t="n"/>
      <c r="B372" s="15" t="n"/>
      <c r="C372" s="15" t="n"/>
      <c r="D372" s="17">
        <f>IF($C372="","",IFERROR(INDEX(สินค้า!$A$5:$A$204,MATCH($C372,สินค้า!$B$5:$B$204,0)),"ไม่พบสินค้า"))</f>
        <v/>
      </c>
      <c r="E372" s="17">
        <f>IF($C372="","",IFERROR(INDEX(สินค้า!$C$5:$C$204,MATCH($C372,สินค้า!$B$5:$B$204,0)),"ไม่พบสินค้า"))</f>
        <v/>
      </c>
      <c r="F372" s="17">
        <f>IF($C372="","",IFERROR(INDEX(สินค้า!$D$5:$D$204,MATCH($C372,สินค้า!$B$5:$B$204,0)),"ไม่พบสินค้า"))</f>
        <v/>
      </c>
      <c r="G372" s="15" t="n"/>
      <c r="H372" s="15" t="n"/>
      <c r="I372" s="18">
        <f>IF(AND(ISNUMBER(G372),ISNUMBER(H372),G372&gt;0),H372/G372,"")</f>
        <v/>
      </c>
      <c r="J372" s="15" t="n"/>
      <c r="K372" s="15" t="n"/>
      <c r="L372" s="17">
        <f>IF(A372="","",TEXT(A372,"yyyy-mm"))</f>
        <v/>
      </c>
      <c r="M372" s="17">
        <f>IF(AND(A372&lt;&gt;"",J372="Pending"),TODAY()-A372,"")</f>
        <v/>
      </c>
    </row>
    <row r="373">
      <c r="A373" s="16" t="n"/>
      <c r="B373" s="15" t="n"/>
      <c r="C373" s="15" t="n"/>
      <c r="D373" s="17">
        <f>IF($C373="","",IFERROR(INDEX(สินค้า!$A$5:$A$204,MATCH($C373,สินค้า!$B$5:$B$204,0)),"ไม่พบสินค้า"))</f>
        <v/>
      </c>
      <c r="E373" s="17">
        <f>IF($C373="","",IFERROR(INDEX(สินค้า!$C$5:$C$204,MATCH($C373,สินค้า!$B$5:$B$204,0)),"ไม่พบสินค้า"))</f>
        <v/>
      </c>
      <c r="F373" s="17">
        <f>IF($C373="","",IFERROR(INDEX(สินค้า!$D$5:$D$204,MATCH($C373,สินค้า!$B$5:$B$204,0)),"ไม่พบสินค้า"))</f>
        <v/>
      </c>
      <c r="G373" s="15" t="n"/>
      <c r="H373" s="15" t="n"/>
      <c r="I373" s="18">
        <f>IF(AND(ISNUMBER(G373),ISNUMBER(H373),G373&gt;0),H373/G373,"")</f>
        <v/>
      </c>
      <c r="J373" s="15" t="n"/>
      <c r="K373" s="15" t="n"/>
      <c r="L373" s="17">
        <f>IF(A373="","",TEXT(A373,"yyyy-mm"))</f>
        <v/>
      </c>
      <c r="M373" s="17">
        <f>IF(AND(A373&lt;&gt;"",J373="Pending"),TODAY()-A373,"")</f>
        <v/>
      </c>
    </row>
    <row r="374">
      <c r="A374" s="16" t="n"/>
      <c r="B374" s="15" t="n"/>
      <c r="C374" s="15" t="n"/>
      <c r="D374" s="17">
        <f>IF($C374="","",IFERROR(INDEX(สินค้า!$A$5:$A$204,MATCH($C374,สินค้า!$B$5:$B$204,0)),"ไม่พบสินค้า"))</f>
        <v/>
      </c>
      <c r="E374" s="17">
        <f>IF($C374="","",IFERROR(INDEX(สินค้า!$C$5:$C$204,MATCH($C374,สินค้า!$B$5:$B$204,0)),"ไม่พบสินค้า"))</f>
        <v/>
      </c>
      <c r="F374" s="17">
        <f>IF($C374="","",IFERROR(INDEX(สินค้า!$D$5:$D$204,MATCH($C374,สินค้า!$B$5:$B$204,0)),"ไม่พบสินค้า"))</f>
        <v/>
      </c>
      <c r="G374" s="15" t="n"/>
      <c r="H374" s="15" t="n"/>
      <c r="I374" s="18">
        <f>IF(AND(ISNUMBER(G374),ISNUMBER(H374),G374&gt;0),H374/G374,"")</f>
        <v/>
      </c>
      <c r="J374" s="15" t="n"/>
      <c r="K374" s="15" t="n"/>
      <c r="L374" s="17">
        <f>IF(A374="","",TEXT(A374,"yyyy-mm"))</f>
        <v/>
      </c>
      <c r="M374" s="17">
        <f>IF(AND(A374&lt;&gt;"",J374="Pending"),TODAY()-A374,"")</f>
        <v/>
      </c>
    </row>
    <row r="375">
      <c r="A375" s="16" t="n"/>
      <c r="B375" s="15" t="n"/>
      <c r="C375" s="15" t="n"/>
      <c r="D375" s="17">
        <f>IF($C375="","",IFERROR(INDEX(สินค้า!$A$5:$A$204,MATCH($C375,สินค้า!$B$5:$B$204,0)),"ไม่พบสินค้า"))</f>
        <v/>
      </c>
      <c r="E375" s="17">
        <f>IF($C375="","",IFERROR(INDEX(สินค้า!$C$5:$C$204,MATCH($C375,สินค้า!$B$5:$B$204,0)),"ไม่พบสินค้า"))</f>
        <v/>
      </c>
      <c r="F375" s="17">
        <f>IF($C375="","",IFERROR(INDEX(สินค้า!$D$5:$D$204,MATCH($C375,สินค้า!$B$5:$B$204,0)),"ไม่พบสินค้า"))</f>
        <v/>
      </c>
      <c r="G375" s="15" t="n"/>
      <c r="H375" s="15" t="n"/>
      <c r="I375" s="18">
        <f>IF(AND(ISNUMBER(G375),ISNUMBER(H375),G375&gt;0),H375/G375,"")</f>
        <v/>
      </c>
      <c r="J375" s="15" t="n"/>
      <c r="K375" s="15" t="n"/>
      <c r="L375" s="17">
        <f>IF(A375="","",TEXT(A375,"yyyy-mm"))</f>
        <v/>
      </c>
      <c r="M375" s="17">
        <f>IF(AND(A375&lt;&gt;"",J375="Pending"),TODAY()-A375,"")</f>
        <v/>
      </c>
    </row>
    <row r="376">
      <c r="A376" s="16" t="n"/>
      <c r="B376" s="15" t="n"/>
      <c r="C376" s="15" t="n"/>
      <c r="D376" s="17">
        <f>IF($C376="","",IFERROR(INDEX(สินค้า!$A$5:$A$204,MATCH($C376,สินค้า!$B$5:$B$204,0)),"ไม่พบสินค้า"))</f>
        <v/>
      </c>
      <c r="E376" s="17">
        <f>IF($C376="","",IFERROR(INDEX(สินค้า!$C$5:$C$204,MATCH($C376,สินค้า!$B$5:$B$204,0)),"ไม่พบสินค้า"))</f>
        <v/>
      </c>
      <c r="F376" s="17">
        <f>IF($C376="","",IFERROR(INDEX(สินค้า!$D$5:$D$204,MATCH($C376,สินค้า!$B$5:$B$204,0)),"ไม่พบสินค้า"))</f>
        <v/>
      </c>
      <c r="G376" s="15" t="n"/>
      <c r="H376" s="15" t="n"/>
      <c r="I376" s="18">
        <f>IF(AND(ISNUMBER(G376),ISNUMBER(H376),G376&gt;0),H376/G376,"")</f>
        <v/>
      </c>
      <c r="J376" s="15" t="n"/>
      <c r="K376" s="15" t="n"/>
      <c r="L376" s="17">
        <f>IF(A376="","",TEXT(A376,"yyyy-mm"))</f>
        <v/>
      </c>
      <c r="M376" s="17">
        <f>IF(AND(A376&lt;&gt;"",J376="Pending"),TODAY()-A376,"")</f>
        <v/>
      </c>
    </row>
    <row r="377">
      <c r="A377" s="16" t="n"/>
      <c r="B377" s="15" t="n"/>
      <c r="C377" s="15" t="n"/>
      <c r="D377" s="17">
        <f>IF($C377="","",IFERROR(INDEX(สินค้า!$A$5:$A$204,MATCH($C377,สินค้า!$B$5:$B$204,0)),"ไม่พบสินค้า"))</f>
        <v/>
      </c>
      <c r="E377" s="17">
        <f>IF($C377="","",IFERROR(INDEX(สินค้า!$C$5:$C$204,MATCH($C377,สินค้า!$B$5:$B$204,0)),"ไม่พบสินค้า"))</f>
        <v/>
      </c>
      <c r="F377" s="17">
        <f>IF($C377="","",IFERROR(INDEX(สินค้า!$D$5:$D$204,MATCH($C377,สินค้า!$B$5:$B$204,0)),"ไม่พบสินค้า"))</f>
        <v/>
      </c>
      <c r="G377" s="15" t="n"/>
      <c r="H377" s="15" t="n"/>
      <c r="I377" s="18">
        <f>IF(AND(ISNUMBER(G377),ISNUMBER(H377),G377&gt;0),H377/G377,"")</f>
        <v/>
      </c>
      <c r="J377" s="15" t="n"/>
      <c r="K377" s="15" t="n"/>
      <c r="L377" s="17">
        <f>IF(A377="","",TEXT(A377,"yyyy-mm"))</f>
        <v/>
      </c>
      <c r="M377" s="17">
        <f>IF(AND(A377&lt;&gt;"",J377="Pending"),TODAY()-A377,"")</f>
        <v/>
      </c>
    </row>
    <row r="378">
      <c r="A378" s="16" t="n"/>
      <c r="B378" s="15" t="n"/>
      <c r="C378" s="15" t="n"/>
      <c r="D378" s="17">
        <f>IF($C378="","",IFERROR(INDEX(สินค้า!$A$5:$A$204,MATCH($C378,สินค้า!$B$5:$B$204,0)),"ไม่พบสินค้า"))</f>
        <v/>
      </c>
      <c r="E378" s="17">
        <f>IF($C378="","",IFERROR(INDEX(สินค้า!$C$5:$C$204,MATCH($C378,สินค้า!$B$5:$B$204,0)),"ไม่พบสินค้า"))</f>
        <v/>
      </c>
      <c r="F378" s="17">
        <f>IF($C378="","",IFERROR(INDEX(สินค้า!$D$5:$D$204,MATCH($C378,สินค้า!$B$5:$B$204,0)),"ไม่พบสินค้า"))</f>
        <v/>
      </c>
      <c r="G378" s="15" t="n"/>
      <c r="H378" s="15" t="n"/>
      <c r="I378" s="18">
        <f>IF(AND(ISNUMBER(G378),ISNUMBER(H378),G378&gt;0),H378/G378,"")</f>
        <v/>
      </c>
      <c r="J378" s="15" t="n"/>
      <c r="K378" s="15" t="n"/>
      <c r="L378" s="17">
        <f>IF(A378="","",TEXT(A378,"yyyy-mm"))</f>
        <v/>
      </c>
      <c r="M378" s="17">
        <f>IF(AND(A378&lt;&gt;"",J378="Pending"),TODAY()-A378,"")</f>
        <v/>
      </c>
    </row>
    <row r="379">
      <c r="A379" s="16" t="n"/>
      <c r="B379" s="15" t="n"/>
      <c r="C379" s="15" t="n"/>
      <c r="D379" s="17">
        <f>IF($C379="","",IFERROR(INDEX(สินค้า!$A$5:$A$204,MATCH($C379,สินค้า!$B$5:$B$204,0)),"ไม่พบสินค้า"))</f>
        <v/>
      </c>
      <c r="E379" s="17">
        <f>IF($C379="","",IFERROR(INDEX(สินค้า!$C$5:$C$204,MATCH($C379,สินค้า!$B$5:$B$204,0)),"ไม่พบสินค้า"))</f>
        <v/>
      </c>
      <c r="F379" s="17">
        <f>IF($C379="","",IFERROR(INDEX(สินค้า!$D$5:$D$204,MATCH($C379,สินค้า!$B$5:$B$204,0)),"ไม่พบสินค้า"))</f>
        <v/>
      </c>
      <c r="G379" s="15" t="n"/>
      <c r="H379" s="15" t="n"/>
      <c r="I379" s="18">
        <f>IF(AND(ISNUMBER(G379),ISNUMBER(H379),G379&gt;0),H379/G379,"")</f>
        <v/>
      </c>
      <c r="J379" s="15" t="n"/>
      <c r="K379" s="15" t="n"/>
      <c r="L379" s="17">
        <f>IF(A379="","",TEXT(A379,"yyyy-mm"))</f>
        <v/>
      </c>
      <c r="M379" s="17">
        <f>IF(AND(A379&lt;&gt;"",J379="Pending"),TODAY()-A379,"")</f>
        <v/>
      </c>
    </row>
    <row r="380">
      <c r="A380" s="16" t="n"/>
      <c r="B380" s="15" t="n"/>
      <c r="C380" s="15" t="n"/>
      <c r="D380" s="17">
        <f>IF($C380="","",IFERROR(INDEX(สินค้า!$A$5:$A$204,MATCH($C380,สินค้า!$B$5:$B$204,0)),"ไม่พบสินค้า"))</f>
        <v/>
      </c>
      <c r="E380" s="17">
        <f>IF($C380="","",IFERROR(INDEX(สินค้า!$C$5:$C$204,MATCH($C380,สินค้า!$B$5:$B$204,0)),"ไม่พบสินค้า"))</f>
        <v/>
      </c>
      <c r="F380" s="17">
        <f>IF($C380="","",IFERROR(INDEX(สินค้า!$D$5:$D$204,MATCH($C380,สินค้า!$B$5:$B$204,0)),"ไม่พบสินค้า"))</f>
        <v/>
      </c>
      <c r="G380" s="15" t="n"/>
      <c r="H380" s="15" t="n"/>
      <c r="I380" s="18">
        <f>IF(AND(ISNUMBER(G380),ISNUMBER(H380),G380&gt;0),H380/G380,"")</f>
        <v/>
      </c>
      <c r="J380" s="15" t="n"/>
      <c r="K380" s="15" t="n"/>
      <c r="L380" s="17">
        <f>IF(A380="","",TEXT(A380,"yyyy-mm"))</f>
        <v/>
      </c>
      <c r="M380" s="17">
        <f>IF(AND(A380&lt;&gt;"",J380="Pending"),TODAY()-A380,"")</f>
        <v/>
      </c>
    </row>
    <row r="381">
      <c r="A381" s="16" t="n"/>
      <c r="B381" s="15" t="n"/>
      <c r="C381" s="15" t="n"/>
      <c r="D381" s="17">
        <f>IF($C381="","",IFERROR(INDEX(สินค้า!$A$5:$A$204,MATCH($C381,สินค้า!$B$5:$B$204,0)),"ไม่พบสินค้า"))</f>
        <v/>
      </c>
      <c r="E381" s="17">
        <f>IF($C381="","",IFERROR(INDEX(สินค้า!$C$5:$C$204,MATCH($C381,สินค้า!$B$5:$B$204,0)),"ไม่พบสินค้า"))</f>
        <v/>
      </c>
      <c r="F381" s="17">
        <f>IF($C381="","",IFERROR(INDEX(สินค้า!$D$5:$D$204,MATCH($C381,สินค้า!$B$5:$B$204,0)),"ไม่พบสินค้า"))</f>
        <v/>
      </c>
      <c r="G381" s="15" t="n"/>
      <c r="H381" s="15" t="n"/>
      <c r="I381" s="18">
        <f>IF(AND(ISNUMBER(G381),ISNUMBER(H381),G381&gt;0),H381/G381,"")</f>
        <v/>
      </c>
      <c r="J381" s="15" t="n"/>
      <c r="K381" s="15" t="n"/>
      <c r="L381" s="17">
        <f>IF(A381="","",TEXT(A381,"yyyy-mm"))</f>
        <v/>
      </c>
      <c r="M381" s="17">
        <f>IF(AND(A381&lt;&gt;"",J381="Pending"),TODAY()-A381,"")</f>
        <v/>
      </c>
    </row>
    <row r="382">
      <c r="A382" s="16" t="n"/>
      <c r="B382" s="15" t="n"/>
      <c r="C382" s="15" t="n"/>
      <c r="D382" s="17">
        <f>IF($C382="","",IFERROR(INDEX(สินค้า!$A$5:$A$204,MATCH($C382,สินค้า!$B$5:$B$204,0)),"ไม่พบสินค้า"))</f>
        <v/>
      </c>
      <c r="E382" s="17">
        <f>IF($C382="","",IFERROR(INDEX(สินค้า!$C$5:$C$204,MATCH($C382,สินค้า!$B$5:$B$204,0)),"ไม่พบสินค้า"))</f>
        <v/>
      </c>
      <c r="F382" s="17">
        <f>IF($C382="","",IFERROR(INDEX(สินค้า!$D$5:$D$204,MATCH($C382,สินค้า!$B$5:$B$204,0)),"ไม่พบสินค้า"))</f>
        <v/>
      </c>
      <c r="G382" s="15" t="n"/>
      <c r="H382" s="15" t="n"/>
      <c r="I382" s="18">
        <f>IF(AND(ISNUMBER(G382),ISNUMBER(H382),G382&gt;0),H382/G382,"")</f>
        <v/>
      </c>
      <c r="J382" s="15" t="n"/>
      <c r="K382" s="15" t="n"/>
      <c r="L382" s="17">
        <f>IF(A382="","",TEXT(A382,"yyyy-mm"))</f>
        <v/>
      </c>
      <c r="M382" s="17">
        <f>IF(AND(A382&lt;&gt;"",J382="Pending"),TODAY()-A382,"")</f>
        <v/>
      </c>
    </row>
    <row r="383">
      <c r="A383" s="16" t="n"/>
      <c r="B383" s="15" t="n"/>
      <c r="C383" s="15" t="n"/>
      <c r="D383" s="17">
        <f>IF($C383="","",IFERROR(INDEX(สินค้า!$A$5:$A$204,MATCH($C383,สินค้า!$B$5:$B$204,0)),"ไม่พบสินค้า"))</f>
        <v/>
      </c>
      <c r="E383" s="17">
        <f>IF($C383="","",IFERROR(INDEX(สินค้า!$C$5:$C$204,MATCH($C383,สินค้า!$B$5:$B$204,0)),"ไม่พบสินค้า"))</f>
        <v/>
      </c>
      <c r="F383" s="17">
        <f>IF($C383="","",IFERROR(INDEX(สินค้า!$D$5:$D$204,MATCH($C383,สินค้า!$B$5:$B$204,0)),"ไม่พบสินค้า"))</f>
        <v/>
      </c>
      <c r="G383" s="15" t="n"/>
      <c r="H383" s="15" t="n"/>
      <c r="I383" s="18">
        <f>IF(AND(ISNUMBER(G383),ISNUMBER(H383),G383&gt;0),H383/G383,"")</f>
        <v/>
      </c>
      <c r="J383" s="15" t="n"/>
      <c r="K383" s="15" t="n"/>
      <c r="L383" s="17">
        <f>IF(A383="","",TEXT(A383,"yyyy-mm"))</f>
        <v/>
      </c>
      <c r="M383" s="17">
        <f>IF(AND(A383&lt;&gt;"",J383="Pending"),TODAY()-A383,"")</f>
        <v/>
      </c>
    </row>
    <row r="384">
      <c r="A384" s="16" t="n"/>
      <c r="B384" s="15" t="n"/>
      <c r="C384" s="15" t="n"/>
      <c r="D384" s="17">
        <f>IF($C384="","",IFERROR(INDEX(สินค้า!$A$5:$A$204,MATCH($C384,สินค้า!$B$5:$B$204,0)),"ไม่พบสินค้า"))</f>
        <v/>
      </c>
      <c r="E384" s="17">
        <f>IF($C384="","",IFERROR(INDEX(สินค้า!$C$5:$C$204,MATCH($C384,สินค้า!$B$5:$B$204,0)),"ไม่พบสินค้า"))</f>
        <v/>
      </c>
      <c r="F384" s="17">
        <f>IF($C384="","",IFERROR(INDEX(สินค้า!$D$5:$D$204,MATCH($C384,สินค้า!$B$5:$B$204,0)),"ไม่พบสินค้า"))</f>
        <v/>
      </c>
      <c r="G384" s="15" t="n"/>
      <c r="H384" s="15" t="n"/>
      <c r="I384" s="18">
        <f>IF(AND(ISNUMBER(G384),ISNUMBER(H384),G384&gt;0),H384/G384,"")</f>
        <v/>
      </c>
      <c r="J384" s="15" t="n"/>
      <c r="K384" s="15" t="n"/>
      <c r="L384" s="17">
        <f>IF(A384="","",TEXT(A384,"yyyy-mm"))</f>
        <v/>
      </c>
      <c r="M384" s="17">
        <f>IF(AND(A384&lt;&gt;"",J384="Pending"),TODAY()-A384,"")</f>
        <v/>
      </c>
    </row>
    <row r="385">
      <c r="A385" s="16" t="n"/>
      <c r="B385" s="15" t="n"/>
      <c r="C385" s="15" t="n"/>
      <c r="D385" s="17">
        <f>IF($C385="","",IFERROR(INDEX(สินค้า!$A$5:$A$204,MATCH($C385,สินค้า!$B$5:$B$204,0)),"ไม่พบสินค้า"))</f>
        <v/>
      </c>
      <c r="E385" s="17">
        <f>IF($C385="","",IFERROR(INDEX(สินค้า!$C$5:$C$204,MATCH($C385,สินค้า!$B$5:$B$204,0)),"ไม่พบสินค้า"))</f>
        <v/>
      </c>
      <c r="F385" s="17">
        <f>IF($C385="","",IFERROR(INDEX(สินค้า!$D$5:$D$204,MATCH($C385,สินค้า!$B$5:$B$204,0)),"ไม่พบสินค้า"))</f>
        <v/>
      </c>
      <c r="G385" s="15" t="n"/>
      <c r="H385" s="15" t="n"/>
      <c r="I385" s="18">
        <f>IF(AND(ISNUMBER(G385),ISNUMBER(H385),G385&gt;0),H385/G385,"")</f>
        <v/>
      </c>
      <c r="J385" s="15" t="n"/>
      <c r="K385" s="15" t="n"/>
      <c r="L385" s="17">
        <f>IF(A385="","",TEXT(A385,"yyyy-mm"))</f>
        <v/>
      </c>
      <c r="M385" s="17">
        <f>IF(AND(A385&lt;&gt;"",J385="Pending"),TODAY()-A385,"")</f>
        <v/>
      </c>
    </row>
    <row r="386">
      <c r="A386" s="16" t="n"/>
      <c r="B386" s="15" t="n"/>
      <c r="C386" s="15" t="n"/>
      <c r="D386" s="17">
        <f>IF($C386="","",IFERROR(INDEX(สินค้า!$A$5:$A$204,MATCH($C386,สินค้า!$B$5:$B$204,0)),"ไม่พบสินค้า"))</f>
        <v/>
      </c>
      <c r="E386" s="17">
        <f>IF($C386="","",IFERROR(INDEX(สินค้า!$C$5:$C$204,MATCH($C386,สินค้า!$B$5:$B$204,0)),"ไม่พบสินค้า"))</f>
        <v/>
      </c>
      <c r="F386" s="17">
        <f>IF($C386="","",IFERROR(INDEX(สินค้า!$D$5:$D$204,MATCH($C386,สินค้า!$B$5:$B$204,0)),"ไม่พบสินค้า"))</f>
        <v/>
      </c>
      <c r="G386" s="15" t="n"/>
      <c r="H386" s="15" t="n"/>
      <c r="I386" s="18">
        <f>IF(AND(ISNUMBER(G386),ISNUMBER(H386),G386&gt;0),H386/G386,"")</f>
        <v/>
      </c>
      <c r="J386" s="15" t="n"/>
      <c r="K386" s="15" t="n"/>
      <c r="L386" s="17">
        <f>IF(A386="","",TEXT(A386,"yyyy-mm"))</f>
        <v/>
      </c>
      <c r="M386" s="17">
        <f>IF(AND(A386&lt;&gt;"",J386="Pending"),TODAY()-A386,"")</f>
        <v/>
      </c>
    </row>
    <row r="387">
      <c r="A387" s="16" t="n"/>
      <c r="B387" s="15" t="n"/>
      <c r="C387" s="15" t="n"/>
      <c r="D387" s="17">
        <f>IF($C387="","",IFERROR(INDEX(สินค้า!$A$5:$A$204,MATCH($C387,สินค้า!$B$5:$B$204,0)),"ไม่พบสินค้า"))</f>
        <v/>
      </c>
      <c r="E387" s="17">
        <f>IF($C387="","",IFERROR(INDEX(สินค้า!$C$5:$C$204,MATCH($C387,สินค้า!$B$5:$B$204,0)),"ไม่พบสินค้า"))</f>
        <v/>
      </c>
      <c r="F387" s="17">
        <f>IF($C387="","",IFERROR(INDEX(สินค้า!$D$5:$D$204,MATCH($C387,สินค้า!$B$5:$B$204,0)),"ไม่พบสินค้า"))</f>
        <v/>
      </c>
      <c r="G387" s="15" t="n"/>
      <c r="H387" s="15" t="n"/>
      <c r="I387" s="18">
        <f>IF(AND(ISNUMBER(G387),ISNUMBER(H387),G387&gt;0),H387/G387,"")</f>
        <v/>
      </c>
      <c r="J387" s="15" t="n"/>
      <c r="K387" s="15" t="n"/>
      <c r="L387" s="17">
        <f>IF(A387="","",TEXT(A387,"yyyy-mm"))</f>
        <v/>
      </c>
      <c r="M387" s="17">
        <f>IF(AND(A387&lt;&gt;"",J387="Pending"),TODAY()-A387,"")</f>
        <v/>
      </c>
    </row>
    <row r="388">
      <c r="A388" s="16" t="n"/>
      <c r="B388" s="15" t="n"/>
      <c r="C388" s="15" t="n"/>
      <c r="D388" s="17">
        <f>IF($C388="","",IFERROR(INDEX(สินค้า!$A$5:$A$204,MATCH($C388,สินค้า!$B$5:$B$204,0)),"ไม่พบสินค้า"))</f>
        <v/>
      </c>
      <c r="E388" s="17">
        <f>IF($C388="","",IFERROR(INDEX(สินค้า!$C$5:$C$204,MATCH($C388,สินค้า!$B$5:$B$204,0)),"ไม่พบสินค้า"))</f>
        <v/>
      </c>
      <c r="F388" s="17">
        <f>IF($C388="","",IFERROR(INDEX(สินค้า!$D$5:$D$204,MATCH($C388,สินค้า!$B$5:$B$204,0)),"ไม่พบสินค้า"))</f>
        <v/>
      </c>
      <c r="G388" s="15" t="n"/>
      <c r="H388" s="15" t="n"/>
      <c r="I388" s="18">
        <f>IF(AND(ISNUMBER(G388),ISNUMBER(H388),G388&gt;0),H388/G388,"")</f>
        <v/>
      </c>
      <c r="J388" s="15" t="n"/>
      <c r="K388" s="15" t="n"/>
      <c r="L388" s="17">
        <f>IF(A388="","",TEXT(A388,"yyyy-mm"))</f>
        <v/>
      </c>
      <c r="M388" s="17">
        <f>IF(AND(A388&lt;&gt;"",J388="Pending"),TODAY()-A388,"")</f>
        <v/>
      </c>
    </row>
    <row r="389">
      <c r="A389" s="16" t="n"/>
      <c r="B389" s="15" t="n"/>
      <c r="C389" s="15" t="n"/>
      <c r="D389" s="17">
        <f>IF($C389="","",IFERROR(INDEX(สินค้า!$A$5:$A$204,MATCH($C389,สินค้า!$B$5:$B$204,0)),"ไม่พบสินค้า"))</f>
        <v/>
      </c>
      <c r="E389" s="17">
        <f>IF($C389="","",IFERROR(INDEX(สินค้า!$C$5:$C$204,MATCH($C389,สินค้า!$B$5:$B$204,0)),"ไม่พบสินค้า"))</f>
        <v/>
      </c>
      <c r="F389" s="17">
        <f>IF($C389="","",IFERROR(INDEX(สินค้า!$D$5:$D$204,MATCH($C389,สินค้า!$B$5:$B$204,0)),"ไม่พบสินค้า"))</f>
        <v/>
      </c>
      <c r="G389" s="15" t="n"/>
      <c r="H389" s="15" t="n"/>
      <c r="I389" s="18">
        <f>IF(AND(ISNUMBER(G389),ISNUMBER(H389),G389&gt;0),H389/G389,"")</f>
        <v/>
      </c>
      <c r="J389" s="15" t="n"/>
      <c r="K389" s="15" t="n"/>
      <c r="L389" s="17">
        <f>IF(A389="","",TEXT(A389,"yyyy-mm"))</f>
        <v/>
      </c>
      <c r="M389" s="17">
        <f>IF(AND(A389&lt;&gt;"",J389="Pending"),TODAY()-A389,"")</f>
        <v/>
      </c>
    </row>
    <row r="390">
      <c r="A390" s="16" t="n"/>
      <c r="B390" s="15" t="n"/>
      <c r="C390" s="15" t="n"/>
      <c r="D390" s="17">
        <f>IF($C390="","",IFERROR(INDEX(สินค้า!$A$5:$A$204,MATCH($C390,สินค้า!$B$5:$B$204,0)),"ไม่พบสินค้า"))</f>
        <v/>
      </c>
      <c r="E390" s="17">
        <f>IF($C390="","",IFERROR(INDEX(สินค้า!$C$5:$C$204,MATCH($C390,สินค้า!$B$5:$B$204,0)),"ไม่พบสินค้า"))</f>
        <v/>
      </c>
      <c r="F390" s="17">
        <f>IF($C390="","",IFERROR(INDEX(สินค้า!$D$5:$D$204,MATCH($C390,สินค้า!$B$5:$B$204,0)),"ไม่พบสินค้า"))</f>
        <v/>
      </c>
      <c r="G390" s="15" t="n"/>
      <c r="H390" s="15" t="n"/>
      <c r="I390" s="18">
        <f>IF(AND(ISNUMBER(G390),ISNUMBER(H390),G390&gt;0),H390/G390,"")</f>
        <v/>
      </c>
      <c r="J390" s="15" t="n"/>
      <c r="K390" s="15" t="n"/>
      <c r="L390" s="17">
        <f>IF(A390="","",TEXT(A390,"yyyy-mm"))</f>
        <v/>
      </c>
      <c r="M390" s="17">
        <f>IF(AND(A390&lt;&gt;"",J390="Pending"),TODAY()-A390,"")</f>
        <v/>
      </c>
    </row>
    <row r="391">
      <c r="A391" s="16" t="n"/>
      <c r="B391" s="15" t="n"/>
      <c r="C391" s="15" t="n"/>
      <c r="D391" s="17">
        <f>IF($C391="","",IFERROR(INDEX(สินค้า!$A$5:$A$204,MATCH($C391,สินค้า!$B$5:$B$204,0)),"ไม่พบสินค้า"))</f>
        <v/>
      </c>
      <c r="E391" s="17">
        <f>IF($C391="","",IFERROR(INDEX(สินค้า!$C$5:$C$204,MATCH($C391,สินค้า!$B$5:$B$204,0)),"ไม่พบสินค้า"))</f>
        <v/>
      </c>
      <c r="F391" s="17">
        <f>IF($C391="","",IFERROR(INDEX(สินค้า!$D$5:$D$204,MATCH($C391,สินค้า!$B$5:$B$204,0)),"ไม่พบสินค้า"))</f>
        <v/>
      </c>
      <c r="G391" s="15" t="n"/>
      <c r="H391" s="15" t="n"/>
      <c r="I391" s="18">
        <f>IF(AND(ISNUMBER(G391),ISNUMBER(H391),G391&gt;0),H391/G391,"")</f>
        <v/>
      </c>
      <c r="J391" s="15" t="n"/>
      <c r="K391" s="15" t="n"/>
      <c r="L391" s="17">
        <f>IF(A391="","",TEXT(A391,"yyyy-mm"))</f>
        <v/>
      </c>
      <c r="M391" s="17">
        <f>IF(AND(A391&lt;&gt;"",J391="Pending"),TODAY()-A391,"")</f>
        <v/>
      </c>
    </row>
    <row r="392">
      <c r="A392" s="16" t="n"/>
      <c r="B392" s="15" t="n"/>
      <c r="C392" s="15" t="n"/>
      <c r="D392" s="17">
        <f>IF($C392="","",IFERROR(INDEX(สินค้า!$A$5:$A$204,MATCH($C392,สินค้า!$B$5:$B$204,0)),"ไม่พบสินค้า"))</f>
        <v/>
      </c>
      <c r="E392" s="17">
        <f>IF($C392="","",IFERROR(INDEX(สินค้า!$C$5:$C$204,MATCH($C392,สินค้า!$B$5:$B$204,0)),"ไม่พบสินค้า"))</f>
        <v/>
      </c>
      <c r="F392" s="17">
        <f>IF($C392="","",IFERROR(INDEX(สินค้า!$D$5:$D$204,MATCH($C392,สินค้า!$B$5:$B$204,0)),"ไม่พบสินค้า"))</f>
        <v/>
      </c>
      <c r="G392" s="15" t="n"/>
      <c r="H392" s="15" t="n"/>
      <c r="I392" s="18">
        <f>IF(AND(ISNUMBER(G392),ISNUMBER(H392),G392&gt;0),H392/G392,"")</f>
        <v/>
      </c>
      <c r="J392" s="15" t="n"/>
      <c r="K392" s="15" t="n"/>
      <c r="L392" s="17">
        <f>IF(A392="","",TEXT(A392,"yyyy-mm"))</f>
        <v/>
      </c>
      <c r="M392" s="17">
        <f>IF(AND(A392&lt;&gt;"",J392="Pending"),TODAY()-A392,"")</f>
        <v/>
      </c>
    </row>
    <row r="393">
      <c r="A393" s="16" t="n"/>
      <c r="B393" s="15" t="n"/>
      <c r="C393" s="15" t="n"/>
      <c r="D393" s="17">
        <f>IF($C393="","",IFERROR(INDEX(สินค้า!$A$5:$A$204,MATCH($C393,สินค้า!$B$5:$B$204,0)),"ไม่พบสินค้า"))</f>
        <v/>
      </c>
      <c r="E393" s="17">
        <f>IF($C393="","",IFERROR(INDEX(สินค้า!$C$5:$C$204,MATCH($C393,สินค้า!$B$5:$B$204,0)),"ไม่พบสินค้า"))</f>
        <v/>
      </c>
      <c r="F393" s="17">
        <f>IF($C393="","",IFERROR(INDEX(สินค้า!$D$5:$D$204,MATCH($C393,สินค้า!$B$5:$B$204,0)),"ไม่พบสินค้า"))</f>
        <v/>
      </c>
      <c r="G393" s="15" t="n"/>
      <c r="H393" s="15" t="n"/>
      <c r="I393" s="18">
        <f>IF(AND(ISNUMBER(G393),ISNUMBER(H393),G393&gt;0),H393/G393,"")</f>
        <v/>
      </c>
      <c r="J393" s="15" t="n"/>
      <c r="K393" s="15" t="n"/>
      <c r="L393" s="17">
        <f>IF(A393="","",TEXT(A393,"yyyy-mm"))</f>
        <v/>
      </c>
      <c r="M393" s="17">
        <f>IF(AND(A393&lt;&gt;"",J393="Pending"),TODAY()-A393,"")</f>
        <v/>
      </c>
    </row>
    <row r="394">
      <c r="A394" s="16" t="n"/>
      <c r="B394" s="15" t="n"/>
      <c r="C394" s="15" t="n"/>
      <c r="D394" s="17">
        <f>IF($C394="","",IFERROR(INDEX(สินค้า!$A$5:$A$204,MATCH($C394,สินค้า!$B$5:$B$204,0)),"ไม่พบสินค้า"))</f>
        <v/>
      </c>
      <c r="E394" s="17">
        <f>IF($C394="","",IFERROR(INDEX(สินค้า!$C$5:$C$204,MATCH($C394,สินค้า!$B$5:$B$204,0)),"ไม่พบสินค้า"))</f>
        <v/>
      </c>
      <c r="F394" s="17">
        <f>IF($C394="","",IFERROR(INDEX(สินค้า!$D$5:$D$204,MATCH($C394,สินค้า!$B$5:$B$204,0)),"ไม่พบสินค้า"))</f>
        <v/>
      </c>
      <c r="G394" s="15" t="n"/>
      <c r="H394" s="15" t="n"/>
      <c r="I394" s="18">
        <f>IF(AND(ISNUMBER(G394),ISNUMBER(H394),G394&gt;0),H394/G394,"")</f>
        <v/>
      </c>
      <c r="J394" s="15" t="n"/>
      <c r="K394" s="15" t="n"/>
      <c r="L394" s="17">
        <f>IF(A394="","",TEXT(A394,"yyyy-mm"))</f>
        <v/>
      </c>
      <c r="M394" s="17">
        <f>IF(AND(A394&lt;&gt;"",J394="Pending"),TODAY()-A394,"")</f>
        <v/>
      </c>
    </row>
    <row r="395">
      <c r="A395" s="16" t="n"/>
      <c r="B395" s="15" t="n"/>
      <c r="C395" s="15" t="n"/>
      <c r="D395" s="17">
        <f>IF($C395="","",IFERROR(INDEX(สินค้า!$A$5:$A$204,MATCH($C395,สินค้า!$B$5:$B$204,0)),"ไม่พบสินค้า"))</f>
        <v/>
      </c>
      <c r="E395" s="17">
        <f>IF($C395="","",IFERROR(INDEX(สินค้า!$C$5:$C$204,MATCH($C395,สินค้า!$B$5:$B$204,0)),"ไม่พบสินค้า"))</f>
        <v/>
      </c>
      <c r="F395" s="17">
        <f>IF($C395="","",IFERROR(INDEX(สินค้า!$D$5:$D$204,MATCH($C395,สินค้า!$B$5:$B$204,0)),"ไม่พบสินค้า"))</f>
        <v/>
      </c>
      <c r="G395" s="15" t="n"/>
      <c r="H395" s="15" t="n"/>
      <c r="I395" s="18">
        <f>IF(AND(ISNUMBER(G395),ISNUMBER(H395),G395&gt;0),H395/G395,"")</f>
        <v/>
      </c>
      <c r="J395" s="15" t="n"/>
      <c r="K395" s="15" t="n"/>
      <c r="L395" s="17">
        <f>IF(A395="","",TEXT(A395,"yyyy-mm"))</f>
        <v/>
      </c>
      <c r="M395" s="17">
        <f>IF(AND(A395&lt;&gt;"",J395="Pending"),TODAY()-A395,"")</f>
        <v/>
      </c>
    </row>
    <row r="396">
      <c r="A396" s="16" t="n"/>
      <c r="B396" s="15" t="n"/>
      <c r="C396" s="15" t="n"/>
      <c r="D396" s="17">
        <f>IF($C396="","",IFERROR(INDEX(สินค้า!$A$5:$A$204,MATCH($C396,สินค้า!$B$5:$B$204,0)),"ไม่พบสินค้า"))</f>
        <v/>
      </c>
      <c r="E396" s="17">
        <f>IF($C396="","",IFERROR(INDEX(สินค้า!$C$5:$C$204,MATCH($C396,สินค้า!$B$5:$B$204,0)),"ไม่พบสินค้า"))</f>
        <v/>
      </c>
      <c r="F396" s="17">
        <f>IF($C396="","",IFERROR(INDEX(สินค้า!$D$5:$D$204,MATCH($C396,สินค้า!$B$5:$B$204,0)),"ไม่พบสินค้า"))</f>
        <v/>
      </c>
      <c r="G396" s="15" t="n"/>
      <c r="H396" s="15" t="n"/>
      <c r="I396" s="18">
        <f>IF(AND(ISNUMBER(G396),ISNUMBER(H396),G396&gt;0),H396/G396,"")</f>
        <v/>
      </c>
      <c r="J396" s="15" t="n"/>
      <c r="K396" s="15" t="n"/>
      <c r="L396" s="17">
        <f>IF(A396="","",TEXT(A396,"yyyy-mm"))</f>
        <v/>
      </c>
      <c r="M396" s="17">
        <f>IF(AND(A396&lt;&gt;"",J396="Pending"),TODAY()-A396,"")</f>
        <v/>
      </c>
    </row>
    <row r="397">
      <c r="A397" s="16" t="n"/>
      <c r="B397" s="15" t="n"/>
      <c r="C397" s="15" t="n"/>
      <c r="D397" s="17">
        <f>IF($C397="","",IFERROR(INDEX(สินค้า!$A$5:$A$204,MATCH($C397,สินค้า!$B$5:$B$204,0)),"ไม่พบสินค้า"))</f>
        <v/>
      </c>
      <c r="E397" s="17">
        <f>IF($C397="","",IFERROR(INDEX(สินค้า!$C$5:$C$204,MATCH($C397,สินค้า!$B$5:$B$204,0)),"ไม่พบสินค้า"))</f>
        <v/>
      </c>
      <c r="F397" s="17">
        <f>IF($C397="","",IFERROR(INDEX(สินค้า!$D$5:$D$204,MATCH($C397,สินค้า!$B$5:$B$204,0)),"ไม่พบสินค้า"))</f>
        <v/>
      </c>
      <c r="G397" s="15" t="n"/>
      <c r="H397" s="15" t="n"/>
      <c r="I397" s="18">
        <f>IF(AND(ISNUMBER(G397),ISNUMBER(H397),G397&gt;0),H397/G397,"")</f>
        <v/>
      </c>
      <c r="J397" s="15" t="n"/>
      <c r="K397" s="15" t="n"/>
      <c r="L397" s="17">
        <f>IF(A397="","",TEXT(A397,"yyyy-mm"))</f>
        <v/>
      </c>
      <c r="M397" s="17">
        <f>IF(AND(A397&lt;&gt;"",J397="Pending"),TODAY()-A397,"")</f>
        <v/>
      </c>
    </row>
    <row r="398">
      <c r="A398" s="16" t="n"/>
      <c r="B398" s="15" t="n"/>
      <c r="C398" s="15" t="n"/>
      <c r="D398" s="17">
        <f>IF($C398="","",IFERROR(INDEX(สินค้า!$A$5:$A$204,MATCH($C398,สินค้า!$B$5:$B$204,0)),"ไม่พบสินค้า"))</f>
        <v/>
      </c>
      <c r="E398" s="17">
        <f>IF($C398="","",IFERROR(INDEX(สินค้า!$C$5:$C$204,MATCH($C398,สินค้า!$B$5:$B$204,0)),"ไม่พบสินค้า"))</f>
        <v/>
      </c>
      <c r="F398" s="17">
        <f>IF($C398="","",IFERROR(INDEX(สินค้า!$D$5:$D$204,MATCH($C398,สินค้า!$B$5:$B$204,0)),"ไม่พบสินค้า"))</f>
        <v/>
      </c>
      <c r="G398" s="15" t="n"/>
      <c r="H398" s="15" t="n"/>
      <c r="I398" s="18">
        <f>IF(AND(ISNUMBER(G398),ISNUMBER(H398),G398&gt;0),H398/G398,"")</f>
        <v/>
      </c>
      <c r="J398" s="15" t="n"/>
      <c r="K398" s="15" t="n"/>
      <c r="L398" s="17">
        <f>IF(A398="","",TEXT(A398,"yyyy-mm"))</f>
        <v/>
      </c>
      <c r="M398" s="17">
        <f>IF(AND(A398&lt;&gt;"",J398="Pending"),TODAY()-A398,"")</f>
        <v/>
      </c>
    </row>
    <row r="399">
      <c r="A399" s="16" t="n"/>
      <c r="B399" s="15" t="n"/>
      <c r="C399" s="15" t="n"/>
      <c r="D399" s="17">
        <f>IF($C399="","",IFERROR(INDEX(สินค้า!$A$5:$A$204,MATCH($C399,สินค้า!$B$5:$B$204,0)),"ไม่พบสินค้า"))</f>
        <v/>
      </c>
      <c r="E399" s="17">
        <f>IF($C399="","",IFERROR(INDEX(สินค้า!$C$5:$C$204,MATCH($C399,สินค้า!$B$5:$B$204,0)),"ไม่พบสินค้า"))</f>
        <v/>
      </c>
      <c r="F399" s="17">
        <f>IF($C399="","",IFERROR(INDEX(สินค้า!$D$5:$D$204,MATCH($C399,สินค้า!$B$5:$B$204,0)),"ไม่พบสินค้า"))</f>
        <v/>
      </c>
      <c r="G399" s="15" t="n"/>
      <c r="H399" s="15" t="n"/>
      <c r="I399" s="18">
        <f>IF(AND(ISNUMBER(G399),ISNUMBER(H399),G399&gt;0),H399/G399,"")</f>
        <v/>
      </c>
      <c r="J399" s="15" t="n"/>
      <c r="K399" s="15" t="n"/>
      <c r="L399" s="17">
        <f>IF(A399="","",TEXT(A399,"yyyy-mm"))</f>
        <v/>
      </c>
      <c r="M399" s="17">
        <f>IF(AND(A399&lt;&gt;"",J399="Pending"),TODAY()-A399,"")</f>
        <v/>
      </c>
    </row>
    <row r="400">
      <c r="A400" s="16" t="n"/>
      <c r="B400" s="15" t="n"/>
      <c r="C400" s="15" t="n"/>
      <c r="D400" s="17">
        <f>IF($C400="","",IFERROR(INDEX(สินค้า!$A$5:$A$204,MATCH($C400,สินค้า!$B$5:$B$204,0)),"ไม่พบสินค้า"))</f>
        <v/>
      </c>
      <c r="E400" s="17">
        <f>IF($C400="","",IFERROR(INDEX(สินค้า!$C$5:$C$204,MATCH($C400,สินค้า!$B$5:$B$204,0)),"ไม่พบสินค้า"))</f>
        <v/>
      </c>
      <c r="F400" s="17">
        <f>IF($C400="","",IFERROR(INDEX(สินค้า!$D$5:$D$204,MATCH($C400,สินค้า!$B$5:$B$204,0)),"ไม่พบสินค้า"))</f>
        <v/>
      </c>
      <c r="G400" s="15" t="n"/>
      <c r="H400" s="15" t="n"/>
      <c r="I400" s="18">
        <f>IF(AND(ISNUMBER(G400),ISNUMBER(H400),G400&gt;0),H400/G400,"")</f>
        <v/>
      </c>
      <c r="J400" s="15" t="n"/>
      <c r="K400" s="15" t="n"/>
      <c r="L400" s="17">
        <f>IF(A400="","",TEXT(A400,"yyyy-mm"))</f>
        <v/>
      </c>
      <c r="M400" s="17">
        <f>IF(AND(A400&lt;&gt;"",J400="Pending"),TODAY()-A400,"")</f>
        <v/>
      </c>
    </row>
    <row r="401">
      <c r="A401" s="16" t="n"/>
      <c r="B401" s="15" t="n"/>
      <c r="C401" s="15" t="n"/>
      <c r="D401" s="17">
        <f>IF($C401="","",IFERROR(INDEX(สินค้า!$A$5:$A$204,MATCH($C401,สินค้า!$B$5:$B$204,0)),"ไม่พบสินค้า"))</f>
        <v/>
      </c>
      <c r="E401" s="17">
        <f>IF($C401="","",IFERROR(INDEX(สินค้า!$C$5:$C$204,MATCH($C401,สินค้า!$B$5:$B$204,0)),"ไม่พบสินค้า"))</f>
        <v/>
      </c>
      <c r="F401" s="17">
        <f>IF($C401="","",IFERROR(INDEX(สินค้า!$D$5:$D$204,MATCH($C401,สินค้า!$B$5:$B$204,0)),"ไม่พบสินค้า"))</f>
        <v/>
      </c>
      <c r="G401" s="15" t="n"/>
      <c r="H401" s="15" t="n"/>
      <c r="I401" s="18">
        <f>IF(AND(ISNUMBER(G401),ISNUMBER(H401),G401&gt;0),H401/G401,"")</f>
        <v/>
      </c>
      <c r="J401" s="15" t="n"/>
      <c r="K401" s="15" t="n"/>
      <c r="L401" s="17">
        <f>IF(A401="","",TEXT(A401,"yyyy-mm"))</f>
        <v/>
      </c>
      <c r="M401" s="17">
        <f>IF(AND(A401&lt;&gt;"",J401="Pending"),TODAY()-A401,"")</f>
        <v/>
      </c>
    </row>
    <row r="402">
      <c r="A402" s="16" t="n"/>
      <c r="B402" s="15" t="n"/>
      <c r="C402" s="15" t="n"/>
      <c r="D402" s="17">
        <f>IF($C402="","",IFERROR(INDEX(สินค้า!$A$5:$A$204,MATCH($C402,สินค้า!$B$5:$B$204,0)),"ไม่พบสินค้า"))</f>
        <v/>
      </c>
      <c r="E402" s="17">
        <f>IF($C402="","",IFERROR(INDEX(สินค้า!$C$5:$C$204,MATCH($C402,สินค้า!$B$5:$B$204,0)),"ไม่พบสินค้า"))</f>
        <v/>
      </c>
      <c r="F402" s="17">
        <f>IF($C402="","",IFERROR(INDEX(สินค้า!$D$5:$D$204,MATCH($C402,สินค้า!$B$5:$B$204,0)),"ไม่พบสินค้า"))</f>
        <v/>
      </c>
      <c r="G402" s="15" t="n"/>
      <c r="H402" s="15" t="n"/>
      <c r="I402" s="18">
        <f>IF(AND(ISNUMBER(G402),ISNUMBER(H402),G402&gt;0),H402/G402,"")</f>
        <v/>
      </c>
      <c r="J402" s="15" t="n"/>
      <c r="K402" s="15" t="n"/>
      <c r="L402" s="17">
        <f>IF(A402="","",TEXT(A402,"yyyy-mm"))</f>
        <v/>
      </c>
      <c r="M402" s="17">
        <f>IF(AND(A402&lt;&gt;"",J402="Pending"),TODAY()-A402,"")</f>
        <v/>
      </c>
    </row>
    <row r="403">
      <c r="A403" s="16" t="n"/>
      <c r="B403" s="15" t="n"/>
      <c r="C403" s="15" t="n"/>
      <c r="D403" s="17">
        <f>IF($C403="","",IFERROR(INDEX(สินค้า!$A$5:$A$204,MATCH($C403,สินค้า!$B$5:$B$204,0)),"ไม่พบสินค้า"))</f>
        <v/>
      </c>
      <c r="E403" s="17">
        <f>IF($C403="","",IFERROR(INDEX(สินค้า!$C$5:$C$204,MATCH($C403,สินค้า!$B$5:$B$204,0)),"ไม่พบสินค้า"))</f>
        <v/>
      </c>
      <c r="F403" s="17">
        <f>IF($C403="","",IFERROR(INDEX(สินค้า!$D$5:$D$204,MATCH($C403,สินค้า!$B$5:$B$204,0)),"ไม่พบสินค้า"))</f>
        <v/>
      </c>
      <c r="G403" s="15" t="n"/>
      <c r="H403" s="15" t="n"/>
      <c r="I403" s="18">
        <f>IF(AND(ISNUMBER(G403),ISNUMBER(H403),G403&gt;0),H403/G403,"")</f>
        <v/>
      </c>
      <c r="J403" s="15" t="n"/>
      <c r="K403" s="15" t="n"/>
      <c r="L403" s="17">
        <f>IF(A403="","",TEXT(A403,"yyyy-mm"))</f>
        <v/>
      </c>
      <c r="M403" s="17">
        <f>IF(AND(A403&lt;&gt;"",J403="Pending"),TODAY()-A403,"")</f>
        <v/>
      </c>
    </row>
    <row r="404">
      <c r="A404" s="16" t="n"/>
      <c r="B404" s="15" t="n"/>
      <c r="C404" s="15" t="n"/>
      <c r="D404" s="17">
        <f>IF($C404="","",IFERROR(INDEX(สินค้า!$A$5:$A$204,MATCH($C404,สินค้า!$B$5:$B$204,0)),"ไม่พบสินค้า"))</f>
        <v/>
      </c>
      <c r="E404" s="17">
        <f>IF($C404="","",IFERROR(INDEX(สินค้า!$C$5:$C$204,MATCH($C404,สินค้า!$B$5:$B$204,0)),"ไม่พบสินค้า"))</f>
        <v/>
      </c>
      <c r="F404" s="17">
        <f>IF($C404="","",IFERROR(INDEX(สินค้า!$D$5:$D$204,MATCH($C404,สินค้า!$B$5:$B$204,0)),"ไม่พบสินค้า"))</f>
        <v/>
      </c>
      <c r="G404" s="15" t="n"/>
      <c r="H404" s="15" t="n"/>
      <c r="I404" s="18">
        <f>IF(AND(ISNUMBER(G404),ISNUMBER(H404),G404&gt;0),H404/G404,"")</f>
        <v/>
      </c>
      <c r="J404" s="15" t="n"/>
      <c r="K404" s="15" t="n"/>
      <c r="L404" s="17">
        <f>IF(A404="","",TEXT(A404,"yyyy-mm"))</f>
        <v/>
      </c>
      <c r="M404" s="17">
        <f>IF(AND(A404&lt;&gt;"",J404="Pending"),TODAY()-A404,"")</f>
        <v/>
      </c>
    </row>
    <row r="405">
      <c r="A405" s="16" t="n"/>
      <c r="B405" s="15" t="n"/>
      <c r="C405" s="15" t="n"/>
      <c r="D405" s="17">
        <f>IF($C405="","",IFERROR(INDEX(สินค้า!$A$5:$A$204,MATCH($C405,สินค้า!$B$5:$B$204,0)),"ไม่พบสินค้า"))</f>
        <v/>
      </c>
      <c r="E405" s="17">
        <f>IF($C405="","",IFERROR(INDEX(สินค้า!$C$5:$C$204,MATCH($C405,สินค้า!$B$5:$B$204,0)),"ไม่พบสินค้า"))</f>
        <v/>
      </c>
      <c r="F405" s="17">
        <f>IF($C405="","",IFERROR(INDEX(สินค้า!$D$5:$D$204,MATCH($C405,สินค้า!$B$5:$B$204,0)),"ไม่พบสินค้า"))</f>
        <v/>
      </c>
      <c r="G405" s="15" t="n"/>
      <c r="H405" s="15" t="n"/>
      <c r="I405" s="18">
        <f>IF(AND(ISNUMBER(G405),ISNUMBER(H405),G405&gt;0),H405/G405,"")</f>
        <v/>
      </c>
      <c r="J405" s="15" t="n"/>
      <c r="K405" s="15" t="n"/>
      <c r="L405" s="17">
        <f>IF(A405="","",TEXT(A405,"yyyy-mm"))</f>
        <v/>
      </c>
      <c r="M405" s="17">
        <f>IF(AND(A405&lt;&gt;"",J405="Pending"),TODAY()-A405,"")</f>
        <v/>
      </c>
    </row>
    <row r="406">
      <c r="A406" s="16" t="n"/>
      <c r="B406" s="15" t="n"/>
      <c r="C406" s="15" t="n"/>
      <c r="D406" s="17">
        <f>IF($C406="","",IFERROR(INDEX(สินค้า!$A$5:$A$204,MATCH($C406,สินค้า!$B$5:$B$204,0)),"ไม่พบสินค้า"))</f>
        <v/>
      </c>
      <c r="E406" s="17">
        <f>IF($C406="","",IFERROR(INDEX(สินค้า!$C$5:$C$204,MATCH($C406,สินค้า!$B$5:$B$204,0)),"ไม่พบสินค้า"))</f>
        <v/>
      </c>
      <c r="F406" s="17">
        <f>IF($C406="","",IFERROR(INDEX(สินค้า!$D$5:$D$204,MATCH($C406,สินค้า!$B$5:$B$204,0)),"ไม่พบสินค้า"))</f>
        <v/>
      </c>
      <c r="G406" s="15" t="n"/>
      <c r="H406" s="15" t="n"/>
      <c r="I406" s="18">
        <f>IF(AND(ISNUMBER(G406),ISNUMBER(H406),G406&gt;0),H406/G406,"")</f>
        <v/>
      </c>
      <c r="J406" s="15" t="n"/>
      <c r="K406" s="15" t="n"/>
      <c r="L406" s="17">
        <f>IF(A406="","",TEXT(A406,"yyyy-mm"))</f>
        <v/>
      </c>
      <c r="M406" s="17">
        <f>IF(AND(A406&lt;&gt;"",J406="Pending"),TODAY()-A406,"")</f>
        <v/>
      </c>
    </row>
    <row r="407">
      <c r="A407" s="16" t="n"/>
      <c r="B407" s="15" t="n"/>
      <c r="C407" s="15" t="n"/>
      <c r="D407" s="17">
        <f>IF($C407="","",IFERROR(INDEX(สินค้า!$A$5:$A$204,MATCH($C407,สินค้า!$B$5:$B$204,0)),"ไม่พบสินค้า"))</f>
        <v/>
      </c>
      <c r="E407" s="17">
        <f>IF($C407="","",IFERROR(INDEX(สินค้า!$C$5:$C$204,MATCH($C407,สินค้า!$B$5:$B$204,0)),"ไม่พบสินค้า"))</f>
        <v/>
      </c>
      <c r="F407" s="17">
        <f>IF($C407="","",IFERROR(INDEX(สินค้า!$D$5:$D$204,MATCH($C407,สินค้า!$B$5:$B$204,0)),"ไม่พบสินค้า"))</f>
        <v/>
      </c>
      <c r="G407" s="15" t="n"/>
      <c r="H407" s="15" t="n"/>
      <c r="I407" s="18">
        <f>IF(AND(ISNUMBER(G407),ISNUMBER(H407),G407&gt;0),H407/G407,"")</f>
        <v/>
      </c>
      <c r="J407" s="15" t="n"/>
      <c r="K407" s="15" t="n"/>
      <c r="L407" s="17">
        <f>IF(A407="","",TEXT(A407,"yyyy-mm"))</f>
        <v/>
      </c>
      <c r="M407" s="17">
        <f>IF(AND(A407&lt;&gt;"",J407="Pending"),TODAY()-A407,"")</f>
        <v/>
      </c>
    </row>
    <row r="408">
      <c r="A408" s="16" t="n"/>
      <c r="B408" s="15" t="n"/>
      <c r="C408" s="15" t="n"/>
      <c r="D408" s="17">
        <f>IF($C408="","",IFERROR(INDEX(สินค้า!$A$5:$A$204,MATCH($C408,สินค้า!$B$5:$B$204,0)),"ไม่พบสินค้า"))</f>
        <v/>
      </c>
      <c r="E408" s="17">
        <f>IF($C408="","",IFERROR(INDEX(สินค้า!$C$5:$C$204,MATCH($C408,สินค้า!$B$5:$B$204,0)),"ไม่พบสินค้า"))</f>
        <v/>
      </c>
      <c r="F408" s="17">
        <f>IF($C408="","",IFERROR(INDEX(สินค้า!$D$5:$D$204,MATCH($C408,สินค้า!$B$5:$B$204,0)),"ไม่พบสินค้า"))</f>
        <v/>
      </c>
      <c r="G408" s="15" t="n"/>
      <c r="H408" s="15" t="n"/>
      <c r="I408" s="18">
        <f>IF(AND(ISNUMBER(G408),ISNUMBER(H408),G408&gt;0),H408/G408,"")</f>
        <v/>
      </c>
      <c r="J408" s="15" t="n"/>
      <c r="K408" s="15" t="n"/>
      <c r="L408" s="17">
        <f>IF(A408="","",TEXT(A408,"yyyy-mm"))</f>
        <v/>
      </c>
      <c r="M408" s="17">
        <f>IF(AND(A408&lt;&gt;"",J408="Pending"),TODAY()-A408,"")</f>
        <v/>
      </c>
    </row>
    <row r="409">
      <c r="A409" s="16" t="n"/>
      <c r="B409" s="15" t="n"/>
      <c r="C409" s="15" t="n"/>
      <c r="D409" s="17">
        <f>IF($C409="","",IFERROR(INDEX(สินค้า!$A$5:$A$204,MATCH($C409,สินค้า!$B$5:$B$204,0)),"ไม่พบสินค้า"))</f>
        <v/>
      </c>
      <c r="E409" s="17">
        <f>IF($C409="","",IFERROR(INDEX(สินค้า!$C$5:$C$204,MATCH($C409,สินค้า!$B$5:$B$204,0)),"ไม่พบสินค้า"))</f>
        <v/>
      </c>
      <c r="F409" s="17">
        <f>IF($C409="","",IFERROR(INDEX(สินค้า!$D$5:$D$204,MATCH($C409,สินค้า!$B$5:$B$204,0)),"ไม่พบสินค้า"))</f>
        <v/>
      </c>
      <c r="G409" s="15" t="n"/>
      <c r="H409" s="15" t="n"/>
      <c r="I409" s="18">
        <f>IF(AND(ISNUMBER(G409),ISNUMBER(H409),G409&gt;0),H409/G409,"")</f>
        <v/>
      </c>
      <c r="J409" s="15" t="n"/>
      <c r="K409" s="15" t="n"/>
      <c r="L409" s="17">
        <f>IF(A409="","",TEXT(A409,"yyyy-mm"))</f>
        <v/>
      </c>
      <c r="M409" s="17">
        <f>IF(AND(A409&lt;&gt;"",J409="Pending"),TODAY()-A409,"")</f>
        <v/>
      </c>
    </row>
    <row r="410">
      <c r="A410" s="16" t="n"/>
      <c r="B410" s="15" t="n"/>
      <c r="C410" s="15" t="n"/>
      <c r="D410" s="17">
        <f>IF($C410="","",IFERROR(INDEX(สินค้า!$A$5:$A$204,MATCH($C410,สินค้า!$B$5:$B$204,0)),"ไม่พบสินค้า"))</f>
        <v/>
      </c>
      <c r="E410" s="17">
        <f>IF($C410="","",IFERROR(INDEX(สินค้า!$C$5:$C$204,MATCH($C410,สินค้า!$B$5:$B$204,0)),"ไม่พบสินค้า"))</f>
        <v/>
      </c>
      <c r="F410" s="17">
        <f>IF($C410="","",IFERROR(INDEX(สินค้า!$D$5:$D$204,MATCH($C410,สินค้า!$B$5:$B$204,0)),"ไม่พบสินค้า"))</f>
        <v/>
      </c>
      <c r="G410" s="15" t="n"/>
      <c r="H410" s="15" t="n"/>
      <c r="I410" s="18">
        <f>IF(AND(ISNUMBER(G410),ISNUMBER(H410),G410&gt;0),H410/G410,"")</f>
        <v/>
      </c>
      <c r="J410" s="15" t="n"/>
      <c r="K410" s="15" t="n"/>
      <c r="L410" s="17">
        <f>IF(A410="","",TEXT(A410,"yyyy-mm"))</f>
        <v/>
      </c>
      <c r="M410" s="17">
        <f>IF(AND(A410&lt;&gt;"",J410="Pending"),TODAY()-A410,"")</f>
        <v/>
      </c>
    </row>
    <row r="411">
      <c r="A411" s="16" t="n"/>
      <c r="B411" s="15" t="n"/>
      <c r="C411" s="15" t="n"/>
      <c r="D411" s="17">
        <f>IF($C411="","",IFERROR(INDEX(สินค้า!$A$5:$A$204,MATCH($C411,สินค้า!$B$5:$B$204,0)),"ไม่พบสินค้า"))</f>
        <v/>
      </c>
      <c r="E411" s="17">
        <f>IF($C411="","",IFERROR(INDEX(สินค้า!$C$5:$C$204,MATCH($C411,สินค้า!$B$5:$B$204,0)),"ไม่พบสินค้า"))</f>
        <v/>
      </c>
      <c r="F411" s="17">
        <f>IF($C411="","",IFERROR(INDEX(สินค้า!$D$5:$D$204,MATCH($C411,สินค้า!$B$5:$B$204,0)),"ไม่พบสินค้า"))</f>
        <v/>
      </c>
      <c r="G411" s="15" t="n"/>
      <c r="H411" s="15" t="n"/>
      <c r="I411" s="18">
        <f>IF(AND(ISNUMBER(G411),ISNUMBER(H411),G411&gt;0),H411/G411,"")</f>
        <v/>
      </c>
      <c r="J411" s="15" t="n"/>
      <c r="K411" s="15" t="n"/>
      <c r="L411" s="17">
        <f>IF(A411="","",TEXT(A411,"yyyy-mm"))</f>
        <v/>
      </c>
      <c r="M411" s="17">
        <f>IF(AND(A411&lt;&gt;"",J411="Pending"),TODAY()-A411,"")</f>
        <v/>
      </c>
    </row>
    <row r="412">
      <c r="A412" s="16" t="n"/>
      <c r="B412" s="15" t="n"/>
      <c r="C412" s="15" t="n"/>
      <c r="D412" s="17">
        <f>IF($C412="","",IFERROR(INDEX(สินค้า!$A$5:$A$204,MATCH($C412,สินค้า!$B$5:$B$204,0)),"ไม่พบสินค้า"))</f>
        <v/>
      </c>
      <c r="E412" s="17">
        <f>IF($C412="","",IFERROR(INDEX(สินค้า!$C$5:$C$204,MATCH($C412,สินค้า!$B$5:$B$204,0)),"ไม่พบสินค้า"))</f>
        <v/>
      </c>
      <c r="F412" s="17">
        <f>IF($C412="","",IFERROR(INDEX(สินค้า!$D$5:$D$204,MATCH($C412,สินค้า!$B$5:$B$204,0)),"ไม่พบสินค้า"))</f>
        <v/>
      </c>
      <c r="G412" s="15" t="n"/>
      <c r="H412" s="15" t="n"/>
      <c r="I412" s="18">
        <f>IF(AND(ISNUMBER(G412),ISNUMBER(H412),G412&gt;0),H412/G412,"")</f>
        <v/>
      </c>
      <c r="J412" s="15" t="n"/>
      <c r="K412" s="15" t="n"/>
      <c r="L412" s="17">
        <f>IF(A412="","",TEXT(A412,"yyyy-mm"))</f>
        <v/>
      </c>
      <c r="M412" s="17">
        <f>IF(AND(A412&lt;&gt;"",J412="Pending"),TODAY()-A412,"")</f>
        <v/>
      </c>
    </row>
    <row r="413">
      <c r="A413" s="16" t="n"/>
      <c r="B413" s="15" t="n"/>
      <c r="C413" s="15" t="n"/>
      <c r="D413" s="17">
        <f>IF($C413="","",IFERROR(INDEX(สินค้า!$A$5:$A$204,MATCH($C413,สินค้า!$B$5:$B$204,0)),"ไม่พบสินค้า"))</f>
        <v/>
      </c>
      <c r="E413" s="17">
        <f>IF($C413="","",IFERROR(INDEX(สินค้า!$C$5:$C$204,MATCH($C413,สินค้า!$B$5:$B$204,0)),"ไม่พบสินค้า"))</f>
        <v/>
      </c>
      <c r="F413" s="17">
        <f>IF($C413="","",IFERROR(INDEX(สินค้า!$D$5:$D$204,MATCH($C413,สินค้า!$B$5:$B$204,0)),"ไม่พบสินค้า"))</f>
        <v/>
      </c>
      <c r="G413" s="15" t="n"/>
      <c r="H413" s="15" t="n"/>
      <c r="I413" s="18">
        <f>IF(AND(ISNUMBER(G413),ISNUMBER(H413),G413&gt;0),H413/G413,"")</f>
        <v/>
      </c>
      <c r="J413" s="15" t="n"/>
      <c r="K413" s="15" t="n"/>
      <c r="L413" s="17">
        <f>IF(A413="","",TEXT(A413,"yyyy-mm"))</f>
        <v/>
      </c>
      <c r="M413" s="17">
        <f>IF(AND(A413&lt;&gt;"",J413="Pending"),TODAY()-A413,"")</f>
        <v/>
      </c>
    </row>
    <row r="414">
      <c r="A414" s="16" t="n"/>
      <c r="B414" s="15" t="n"/>
      <c r="C414" s="15" t="n"/>
      <c r="D414" s="17">
        <f>IF($C414="","",IFERROR(INDEX(สินค้า!$A$5:$A$204,MATCH($C414,สินค้า!$B$5:$B$204,0)),"ไม่พบสินค้า"))</f>
        <v/>
      </c>
      <c r="E414" s="17">
        <f>IF($C414="","",IFERROR(INDEX(สินค้า!$C$5:$C$204,MATCH($C414,สินค้า!$B$5:$B$204,0)),"ไม่พบสินค้า"))</f>
        <v/>
      </c>
      <c r="F414" s="17">
        <f>IF($C414="","",IFERROR(INDEX(สินค้า!$D$5:$D$204,MATCH($C414,สินค้า!$B$5:$B$204,0)),"ไม่พบสินค้า"))</f>
        <v/>
      </c>
      <c r="G414" s="15" t="n"/>
      <c r="H414" s="15" t="n"/>
      <c r="I414" s="18">
        <f>IF(AND(ISNUMBER(G414),ISNUMBER(H414),G414&gt;0),H414/G414,"")</f>
        <v/>
      </c>
      <c r="J414" s="15" t="n"/>
      <c r="K414" s="15" t="n"/>
      <c r="L414" s="17">
        <f>IF(A414="","",TEXT(A414,"yyyy-mm"))</f>
        <v/>
      </c>
      <c r="M414" s="17">
        <f>IF(AND(A414&lt;&gt;"",J414="Pending"),TODAY()-A414,"")</f>
        <v/>
      </c>
    </row>
    <row r="415">
      <c r="A415" s="16" t="n"/>
      <c r="B415" s="15" t="n"/>
      <c r="C415" s="15" t="n"/>
      <c r="D415" s="17">
        <f>IF($C415="","",IFERROR(INDEX(สินค้า!$A$5:$A$204,MATCH($C415,สินค้า!$B$5:$B$204,0)),"ไม่พบสินค้า"))</f>
        <v/>
      </c>
      <c r="E415" s="17">
        <f>IF($C415="","",IFERROR(INDEX(สินค้า!$C$5:$C$204,MATCH($C415,สินค้า!$B$5:$B$204,0)),"ไม่พบสินค้า"))</f>
        <v/>
      </c>
      <c r="F415" s="17">
        <f>IF($C415="","",IFERROR(INDEX(สินค้า!$D$5:$D$204,MATCH($C415,สินค้า!$B$5:$B$204,0)),"ไม่พบสินค้า"))</f>
        <v/>
      </c>
      <c r="G415" s="15" t="n"/>
      <c r="H415" s="15" t="n"/>
      <c r="I415" s="18">
        <f>IF(AND(ISNUMBER(G415),ISNUMBER(H415),G415&gt;0),H415/G415,"")</f>
        <v/>
      </c>
      <c r="J415" s="15" t="n"/>
      <c r="K415" s="15" t="n"/>
      <c r="L415" s="17">
        <f>IF(A415="","",TEXT(A415,"yyyy-mm"))</f>
        <v/>
      </c>
      <c r="M415" s="17">
        <f>IF(AND(A415&lt;&gt;"",J415="Pending"),TODAY()-A415,"")</f>
        <v/>
      </c>
    </row>
    <row r="416">
      <c r="A416" s="16" t="n"/>
      <c r="B416" s="15" t="n"/>
      <c r="C416" s="15" t="n"/>
      <c r="D416" s="17">
        <f>IF($C416="","",IFERROR(INDEX(สินค้า!$A$5:$A$204,MATCH($C416,สินค้า!$B$5:$B$204,0)),"ไม่พบสินค้า"))</f>
        <v/>
      </c>
      <c r="E416" s="17">
        <f>IF($C416="","",IFERROR(INDEX(สินค้า!$C$5:$C$204,MATCH($C416,สินค้า!$B$5:$B$204,0)),"ไม่พบสินค้า"))</f>
        <v/>
      </c>
      <c r="F416" s="17">
        <f>IF($C416="","",IFERROR(INDEX(สินค้า!$D$5:$D$204,MATCH($C416,สินค้า!$B$5:$B$204,0)),"ไม่พบสินค้า"))</f>
        <v/>
      </c>
      <c r="G416" s="15" t="n"/>
      <c r="H416" s="15" t="n"/>
      <c r="I416" s="18">
        <f>IF(AND(ISNUMBER(G416),ISNUMBER(H416),G416&gt;0),H416/G416,"")</f>
        <v/>
      </c>
      <c r="J416" s="15" t="n"/>
      <c r="K416" s="15" t="n"/>
      <c r="L416" s="17">
        <f>IF(A416="","",TEXT(A416,"yyyy-mm"))</f>
        <v/>
      </c>
      <c r="M416" s="17">
        <f>IF(AND(A416&lt;&gt;"",J416="Pending"),TODAY()-A416,"")</f>
        <v/>
      </c>
    </row>
    <row r="417">
      <c r="A417" s="16" t="n"/>
      <c r="B417" s="15" t="n"/>
      <c r="C417" s="15" t="n"/>
      <c r="D417" s="17">
        <f>IF($C417="","",IFERROR(INDEX(สินค้า!$A$5:$A$204,MATCH($C417,สินค้า!$B$5:$B$204,0)),"ไม่พบสินค้า"))</f>
        <v/>
      </c>
      <c r="E417" s="17">
        <f>IF($C417="","",IFERROR(INDEX(สินค้า!$C$5:$C$204,MATCH($C417,สินค้า!$B$5:$B$204,0)),"ไม่พบสินค้า"))</f>
        <v/>
      </c>
      <c r="F417" s="17">
        <f>IF($C417="","",IFERROR(INDEX(สินค้า!$D$5:$D$204,MATCH($C417,สินค้า!$B$5:$B$204,0)),"ไม่พบสินค้า"))</f>
        <v/>
      </c>
      <c r="G417" s="15" t="n"/>
      <c r="H417" s="15" t="n"/>
      <c r="I417" s="18">
        <f>IF(AND(ISNUMBER(G417),ISNUMBER(H417),G417&gt;0),H417/G417,"")</f>
        <v/>
      </c>
      <c r="J417" s="15" t="n"/>
      <c r="K417" s="15" t="n"/>
      <c r="L417" s="17">
        <f>IF(A417="","",TEXT(A417,"yyyy-mm"))</f>
        <v/>
      </c>
      <c r="M417" s="17">
        <f>IF(AND(A417&lt;&gt;"",J417="Pending"),TODAY()-A417,"")</f>
        <v/>
      </c>
    </row>
    <row r="418">
      <c r="A418" s="16" t="n"/>
      <c r="B418" s="15" t="n"/>
      <c r="C418" s="15" t="n"/>
      <c r="D418" s="17">
        <f>IF($C418="","",IFERROR(INDEX(สินค้า!$A$5:$A$204,MATCH($C418,สินค้า!$B$5:$B$204,0)),"ไม่พบสินค้า"))</f>
        <v/>
      </c>
      <c r="E418" s="17">
        <f>IF($C418="","",IFERROR(INDEX(สินค้า!$C$5:$C$204,MATCH($C418,สินค้า!$B$5:$B$204,0)),"ไม่พบสินค้า"))</f>
        <v/>
      </c>
      <c r="F418" s="17">
        <f>IF($C418="","",IFERROR(INDEX(สินค้า!$D$5:$D$204,MATCH($C418,สินค้า!$B$5:$B$204,0)),"ไม่พบสินค้า"))</f>
        <v/>
      </c>
      <c r="G418" s="15" t="n"/>
      <c r="H418" s="15" t="n"/>
      <c r="I418" s="18">
        <f>IF(AND(ISNUMBER(G418),ISNUMBER(H418),G418&gt;0),H418/G418,"")</f>
        <v/>
      </c>
      <c r="J418" s="15" t="n"/>
      <c r="K418" s="15" t="n"/>
      <c r="L418" s="17">
        <f>IF(A418="","",TEXT(A418,"yyyy-mm"))</f>
        <v/>
      </c>
      <c r="M418" s="17">
        <f>IF(AND(A418&lt;&gt;"",J418="Pending"),TODAY()-A418,"")</f>
        <v/>
      </c>
    </row>
    <row r="419">
      <c r="A419" s="16" t="n"/>
      <c r="B419" s="15" t="n"/>
      <c r="C419" s="15" t="n"/>
      <c r="D419" s="17">
        <f>IF($C419="","",IFERROR(INDEX(สินค้า!$A$5:$A$204,MATCH($C419,สินค้า!$B$5:$B$204,0)),"ไม่พบสินค้า"))</f>
        <v/>
      </c>
      <c r="E419" s="17">
        <f>IF($C419="","",IFERROR(INDEX(สินค้า!$C$5:$C$204,MATCH($C419,สินค้า!$B$5:$B$204,0)),"ไม่พบสินค้า"))</f>
        <v/>
      </c>
      <c r="F419" s="17">
        <f>IF($C419="","",IFERROR(INDEX(สินค้า!$D$5:$D$204,MATCH($C419,สินค้า!$B$5:$B$204,0)),"ไม่พบสินค้า"))</f>
        <v/>
      </c>
      <c r="G419" s="15" t="n"/>
      <c r="H419" s="15" t="n"/>
      <c r="I419" s="18">
        <f>IF(AND(ISNUMBER(G419),ISNUMBER(H419),G419&gt;0),H419/G419,"")</f>
        <v/>
      </c>
      <c r="J419" s="15" t="n"/>
      <c r="K419" s="15" t="n"/>
      <c r="L419" s="17">
        <f>IF(A419="","",TEXT(A419,"yyyy-mm"))</f>
        <v/>
      </c>
      <c r="M419" s="17">
        <f>IF(AND(A419&lt;&gt;"",J419="Pending"),TODAY()-A419,"")</f>
        <v/>
      </c>
    </row>
    <row r="420">
      <c r="A420" s="16" t="n"/>
      <c r="B420" s="15" t="n"/>
      <c r="C420" s="15" t="n"/>
      <c r="D420" s="17">
        <f>IF($C420="","",IFERROR(INDEX(สินค้า!$A$5:$A$204,MATCH($C420,สินค้า!$B$5:$B$204,0)),"ไม่พบสินค้า"))</f>
        <v/>
      </c>
      <c r="E420" s="17">
        <f>IF($C420="","",IFERROR(INDEX(สินค้า!$C$5:$C$204,MATCH($C420,สินค้า!$B$5:$B$204,0)),"ไม่พบสินค้า"))</f>
        <v/>
      </c>
      <c r="F420" s="17">
        <f>IF($C420="","",IFERROR(INDEX(สินค้า!$D$5:$D$204,MATCH($C420,สินค้า!$B$5:$B$204,0)),"ไม่พบสินค้า"))</f>
        <v/>
      </c>
      <c r="G420" s="15" t="n"/>
      <c r="H420" s="15" t="n"/>
      <c r="I420" s="18">
        <f>IF(AND(ISNUMBER(G420),ISNUMBER(H420),G420&gt;0),H420/G420,"")</f>
        <v/>
      </c>
      <c r="J420" s="15" t="n"/>
      <c r="K420" s="15" t="n"/>
      <c r="L420" s="17">
        <f>IF(A420="","",TEXT(A420,"yyyy-mm"))</f>
        <v/>
      </c>
      <c r="M420" s="17">
        <f>IF(AND(A420&lt;&gt;"",J420="Pending"),TODAY()-A420,"")</f>
        <v/>
      </c>
    </row>
    <row r="421">
      <c r="A421" s="16" t="n"/>
      <c r="B421" s="15" t="n"/>
      <c r="C421" s="15" t="n"/>
      <c r="D421" s="17">
        <f>IF($C421="","",IFERROR(INDEX(สินค้า!$A$5:$A$204,MATCH($C421,สินค้า!$B$5:$B$204,0)),"ไม่พบสินค้า"))</f>
        <v/>
      </c>
      <c r="E421" s="17">
        <f>IF($C421="","",IFERROR(INDEX(สินค้า!$C$5:$C$204,MATCH($C421,สินค้า!$B$5:$B$204,0)),"ไม่พบสินค้า"))</f>
        <v/>
      </c>
      <c r="F421" s="17">
        <f>IF($C421="","",IFERROR(INDEX(สินค้า!$D$5:$D$204,MATCH($C421,สินค้า!$B$5:$B$204,0)),"ไม่พบสินค้า"))</f>
        <v/>
      </c>
      <c r="G421" s="15" t="n"/>
      <c r="H421" s="15" t="n"/>
      <c r="I421" s="18">
        <f>IF(AND(ISNUMBER(G421),ISNUMBER(H421),G421&gt;0),H421/G421,"")</f>
        <v/>
      </c>
      <c r="J421" s="15" t="n"/>
      <c r="K421" s="15" t="n"/>
      <c r="L421" s="17">
        <f>IF(A421="","",TEXT(A421,"yyyy-mm"))</f>
        <v/>
      </c>
      <c r="M421" s="17">
        <f>IF(AND(A421&lt;&gt;"",J421="Pending"),TODAY()-A421,"")</f>
        <v/>
      </c>
    </row>
    <row r="422">
      <c r="A422" s="16" t="n"/>
      <c r="B422" s="15" t="n"/>
      <c r="C422" s="15" t="n"/>
      <c r="D422" s="17">
        <f>IF($C422="","",IFERROR(INDEX(สินค้า!$A$5:$A$204,MATCH($C422,สินค้า!$B$5:$B$204,0)),"ไม่พบสินค้า"))</f>
        <v/>
      </c>
      <c r="E422" s="17">
        <f>IF($C422="","",IFERROR(INDEX(สินค้า!$C$5:$C$204,MATCH($C422,สินค้า!$B$5:$B$204,0)),"ไม่พบสินค้า"))</f>
        <v/>
      </c>
      <c r="F422" s="17">
        <f>IF($C422="","",IFERROR(INDEX(สินค้า!$D$5:$D$204,MATCH($C422,สินค้า!$B$5:$B$204,0)),"ไม่พบสินค้า"))</f>
        <v/>
      </c>
      <c r="G422" s="15" t="n"/>
      <c r="H422" s="15" t="n"/>
      <c r="I422" s="18">
        <f>IF(AND(ISNUMBER(G422),ISNUMBER(H422),G422&gt;0),H422/G422,"")</f>
        <v/>
      </c>
      <c r="J422" s="15" t="n"/>
      <c r="K422" s="15" t="n"/>
      <c r="L422" s="17">
        <f>IF(A422="","",TEXT(A422,"yyyy-mm"))</f>
        <v/>
      </c>
      <c r="M422" s="17">
        <f>IF(AND(A422&lt;&gt;"",J422="Pending"),TODAY()-A422,"")</f>
        <v/>
      </c>
    </row>
    <row r="423">
      <c r="A423" s="16" t="n"/>
      <c r="B423" s="15" t="n"/>
      <c r="C423" s="15" t="n"/>
      <c r="D423" s="17">
        <f>IF($C423="","",IFERROR(INDEX(สินค้า!$A$5:$A$204,MATCH($C423,สินค้า!$B$5:$B$204,0)),"ไม่พบสินค้า"))</f>
        <v/>
      </c>
      <c r="E423" s="17">
        <f>IF($C423="","",IFERROR(INDEX(สินค้า!$C$5:$C$204,MATCH($C423,สินค้า!$B$5:$B$204,0)),"ไม่พบสินค้า"))</f>
        <v/>
      </c>
      <c r="F423" s="17">
        <f>IF($C423="","",IFERROR(INDEX(สินค้า!$D$5:$D$204,MATCH($C423,สินค้า!$B$5:$B$204,0)),"ไม่พบสินค้า"))</f>
        <v/>
      </c>
      <c r="G423" s="15" t="n"/>
      <c r="H423" s="15" t="n"/>
      <c r="I423" s="18">
        <f>IF(AND(ISNUMBER(G423),ISNUMBER(H423),G423&gt;0),H423/G423,"")</f>
        <v/>
      </c>
      <c r="J423" s="15" t="n"/>
      <c r="K423" s="15" t="n"/>
      <c r="L423" s="17">
        <f>IF(A423="","",TEXT(A423,"yyyy-mm"))</f>
        <v/>
      </c>
      <c r="M423" s="17">
        <f>IF(AND(A423&lt;&gt;"",J423="Pending"),TODAY()-A423,"")</f>
        <v/>
      </c>
    </row>
    <row r="424">
      <c r="A424" s="16" t="n"/>
      <c r="B424" s="15" t="n"/>
      <c r="C424" s="15" t="n"/>
      <c r="D424" s="17">
        <f>IF($C424="","",IFERROR(INDEX(สินค้า!$A$5:$A$204,MATCH($C424,สินค้า!$B$5:$B$204,0)),"ไม่พบสินค้า"))</f>
        <v/>
      </c>
      <c r="E424" s="17">
        <f>IF($C424="","",IFERROR(INDEX(สินค้า!$C$5:$C$204,MATCH($C424,สินค้า!$B$5:$B$204,0)),"ไม่พบสินค้า"))</f>
        <v/>
      </c>
      <c r="F424" s="17">
        <f>IF($C424="","",IFERROR(INDEX(สินค้า!$D$5:$D$204,MATCH($C424,สินค้า!$B$5:$B$204,0)),"ไม่พบสินค้า"))</f>
        <v/>
      </c>
      <c r="G424" s="15" t="n"/>
      <c r="H424" s="15" t="n"/>
      <c r="I424" s="18">
        <f>IF(AND(ISNUMBER(G424),ISNUMBER(H424),G424&gt;0),H424/G424,"")</f>
        <v/>
      </c>
      <c r="J424" s="15" t="n"/>
      <c r="K424" s="15" t="n"/>
      <c r="L424" s="17">
        <f>IF(A424="","",TEXT(A424,"yyyy-mm"))</f>
        <v/>
      </c>
      <c r="M424" s="17">
        <f>IF(AND(A424&lt;&gt;"",J424="Pending"),TODAY()-A424,"")</f>
        <v/>
      </c>
    </row>
    <row r="425">
      <c r="A425" s="16" t="n"/>
      <c r="B425" s="15" t="n"/>
      <c r="C425" s="15" t="n"/>
      <c r="D425" s="17">
        <f>IF($C425="","",IFERROR(INDEX(สินค้า!$A$5:$A$204,MATCH($C425,สินค้า!$B$5:$B$204,0)),"ไม่พบสินค้า"))</f>
        <v/>
      </c>
      <c r="E425" s="17">
        <f>IF($C425="","",IFERROR(INDEX(สินค้า!$C$5:$C$204,MATCH($C425,สินค้า!$B$5:$B$204,0)),"ไม่พบสินค้า"))</f>
        <v/>
      </c>
      <c r="F425" s="17">
        <f>IF($C425="","",IFERROR(INDEX(สินค้า!$D$5:$D$204,MATCH($C425,สินค้า!$B$5:$B$204,0)),"ไม่พบสินค้า"))</f>
        <v/>
      </c>
      <c r="G425" s="15" t="n"/>
      <c r="H425" s="15" t="n"/>
      <c r="I425" s="18">
        <f>IF(AND(ISNUMBER(G425),ISNUMBER(H425),G425&gt;0),H425/G425,"")</f>
        <v/>
      </c>
      <c r="J425" s="15" t="n"/>
      <c r="K425" s="15" t="n"/>
      <c r="L425" s="17">
        <f>IF(A425="","",TEXT(A425,"yyyy-mm"))</f>
        <v/>
      </c>
      <c r="M425" s="17">
        <f>IF(AND(A425&lt;&gt;"",J425="Pending"),TODAY()-A425,"")</f>
        <v/>
      </c>
    </row>
    <row r="426">
      <c r="A426" s="16" t="n"/>
      <c r="B426" s="15" t="n"/>
      <c r="C426" s="15" t="n"/>
      <c r="D426" s="17">
        <f>IF($C426="","",IFERROR(INDEX(สินค้า!$A$5:$A$204,MATCH($C426,สินค้า!$B$5:$B$204,0)),"ไม่พบสินค้า"))</f>
        <v/>
      </c>
      <c r="E426" s="17">
        <f>IF($C426="","",IFERROR(INDEX(สินค้า!$C$5:$C$204,MATCH($C426,สินค้า!$B$5:$B$204,0)),"ไม่พบสินค้า"))</f>
        <v/>
      </c>
      <c r="F426" s="17">
        <f>IF($C426="","",IFERROR(INDEX(สินค้า!$D$5:$D$204,MATCH($C426,สินค้า!$B$5:$B$204,0)),"ไม่พบสินค้า"))</f>
        <v/>
      </c>
      <c r="G426" s="15" t="n"/>
      <c r="H426" s="15" t="n"/>
      <c r="I426" s="18">
        <f>IF(AND(ISNUMBER(G426),ISNUMBER(H426),G426&gt;0),H426/G426,"")</f>
        <v/>
      </c>
      <c r="J426" s="15" t="n"/>
      <c r="K426" s="15" t="n"/>
      <c r="L426" s="17">
        <f>IF(A426="","",TEXT(A426,"yyyy-mm"))</f>
        <v/>
      </c>
      <c r="M426" s="17">
        <f>IF(AND(A426&lt;&gt;"",J426="Pending"),TODAY()-A426,"")</f>
        <v/>
      </c>
    </row>
    <row r="427">
      <c r="A427" s="16" t="n"/>
      <c r="B427" s="15" t="n"/>
      <c r="C427" s="15" t="n"/>
      <c r="D427" s="17">
        <f>IF($C427="","",IFERROR(INDEX(สินค้า!$A$5:$A$204,MATCH($C427,สินค้า!$B$5:$B$204,0)),"ไม่พบสินค้า"))</f>
        <v/>
      </c>
      <c r="E427" s="17">
        <f>IF($C427="","",IFERROR(INDEX(สินค้า!$C$5:$C$204,MATCH($C427,สินค้า!$B$5:$B$204,0)),"ไม่พบสินค้า"))</f>
        <v/>
      </c>
      <c r="F427" s="17">
        <f>IF($C427="","",IFERROR(INDEX(สินค้า!$D$5:$D$204,MATCH($C427,สินค้า!$B$5:$B$204,0)),"ไม่พบสินค้า"))</f>
        <v/>
      </c>
      <c r="G427" s="15" t="n"/>
      <c r="H427" s="15" t="n"/>
      <c r="I427" s="18">
        <f>IF(AND(ISNUMBER(G427),ISNUMBER(H427),G427&gt;0),H427/G427,"")</f>
        <v/>
      </c>
      <c r="J427" s="15" t="n"/>
      <c r="K427" s="15" t="n"/>
      <c r="L427" s="17">
        <f>IF(A427="","",TEXT(A427,"yyyy-mm"))</f>
        <v/>
      </c>
      <c r="M427" s="17">
        <f>IF(AND(A427&lt;&gt;"",J427="Pending"),TODAY()-A427,"")</f>
        <v/>
      </c>
    </row>
    <row r="428">
      <c r="A428" s="16" t="n"/>
      <c r="B428" s="15" t="n"/>
      <c r="C428" s="15" t="n"/>
      <c r="D428" s="17">
        <f>IF($C428="","",IFERROR(INDEX(สินค้า!$A$5:$A$204,MATCH($C428,สินค้า!$B$5:$B$204,0)),"ไม่พบสินค้า"))</f>
        <v/>
      </c>
      <c r="E428" s="17">
        <f>IF($C428="","",IFERROR(INDEX(สินค้า!$C$5:$C$204,MATCH($C428,สินค้า!$B$5:$B$204,0)),"ไม่พบสินค้า"))</f>
        <v/>
      </c>
      <c r="F428" s="17">
        <f>IF($C428="","",IFERROR(INDEX(สินค้า!$D$5:$D$204,MATCH($C428,สินค้า!$B$5:$B$204,0)),"ไม่พบสินค้า"))</f>
        <v/>
      </c>
      <c r="G428" s="15" t="n"/>
      <c r="H428" s="15" t="n"/>
      <c r="I428" s="18">
        <f>IF(AND(ISNUMBER(G428),ISNUMBER(H428),G428&gt;0),H428/G428,"")</f>
        <v/>
      </c>
      <c r="J428" s="15" t="n"/>
      <c r="K428" s="15" t="n"/>
      <c r="L428" s="17">
        <f>IF(A428="","",TEXT(A428,"yyyy-mm"))</f>
        <v/>
      </c>
      <c r="M428" s="17">
        <f>IF(AND(A428&lt;&gt;"",J428="Pending"),TODAY()-A428,"")</f>
        <v/>
      </c>
    </row>
    <row r="429">
      <c r="A429" s="16" t="n"/>
      <c r="B429" s="15" t="n"/>
      <c r="C429" s="15" t="n"/>
      <c r="D429" s="17">
        <f>IF($C429="","",IFERROR(INDEX(สินค้า!$A$5:$A$204,MATCH($C429,สินค้า!$B$5:$B$204,0)),"ไม่พบสินค้า"))</f>
        <v/>
      </c>
      <c r="E429" s="17">
        <f>IF($C429="","",IFERROR(INDEX(สินค้า!$C$5:$C$204,MATCH($C429,สินค้า!$B$5:$B$204,0)),"ไม่พบสินค้า"))</f>
        <v/>
      </c>
      <c r="F429" s="17">
        <f>IF($C429="","",IFERROR(INDEX(สินค้า!$D$5:$D$204,MATCH($C429,สินค้า!$B$5:$B$204,0)),"ไม่พบสินค้า"))</f>
        <v/>
      </c>
      <c r="G429" s="15" t="n"/>
      <c r="H429" s="15" t="n"/>
      <c r="I429" s="18">
        <f>IF(AND(ISNUMBER(G429),ISNUMBER(H429),G429&gt;0),H429/G429,"")</f>
        <v/>
      </c>
      <c r="J429" s="15" t="n"/>
      <c r="K429" s="15" t="n"/>
      <c r="L429" s="17">
        <f>IF(A429="","",TEXT(A429,"yyyy-mm"))</f>
        <v/>
      </c>
      <c r="M429" s="17">
        <f>IF(AND(A429&lt;&gt;"",J429="Pending"),TODAY()-A429,"")</f>
        <v/>
      </c>
    </row>
    <row r="430">
      <c r="A430" s="16" t="n"/>
      <c r="B430" s="15" t="n"/>
      <c r="C430" s="15" t="n"/>
      <c r="D430" s="17">
        <f>IF($C430="","",IFERROR(INDEX(สินค้า!$A$5:$A$204,MATCH($C430,สินค้า!$B$5:$B$204,0)),"ไม่พบสินค้า"))</f>
        <v/>
      </c>
      <c r="E430" s="17">
        <f>IF($C430="","",IFERROR(INDEX(สินค้า!$C$5:$C$204,MATCH($C430,สินค้า!$B$5:$B$204,0)),"ไม่พบสินค้า"))</f>
        <v/>
      </c>
      <c r="F430" s="17">
        <f>IF($C430="","",IFERROR(INDEX(สินค้า!$D$5:$D$204,MATCH($C430,สินค้า!$B$5:$B$204,0)),"ไม่พบสินค้า"))</f>
        <v/>
      </c>
      <c r="G430" s="15" t="n"/>
      <c r="H430" s="15" t="n"/>
      <c r="I430" s="18">
        <f>IF(AND(ISNUMBER(G430),ISNUMBER(H430),G430&gt;0),H430/G430,"")</f>
        <v/>
      </c>
      <c r="J430" s="15" t="n"/>
      <c r="K430" s="15" t="n"/>
      <c r="L430" s="17">
        <f>IF(A430="","",TEXT(A430,"yyyy-mm"))</f>
        <v/>
      </c>
      <c r="M430" s="17">
        <f>IF(AND(A430&lt;&gt;"",J430="Pending"),TODAY()-A430,"")</f>
        <v/>
      </c>
    </row>
    <row r="431">
      <c r="A431" s="16" t="n"/>
      <c r="B431" s="15" t="n"/>
      <c r="C431" s="15" t="n"/>
      <c r="D431" s="17">
        <f>IF($C431="","",IFERROR(INDEX(สินค้า!$A$5:$A$204,MATCH($C431,สินค้า!$B$5:$B$204,0)),"ไม่พบสินค้า"))</f>
        <v/>
      </c>
      <c r="E431" s="17">
        <f>IF($C431="","",IFERROR(INDEX(สินค้า!$C$5:$C$204,MATCH($C431,สินค้า!$B$5:$B$204,0)),"ไม่พบสินค้า"))</f>
        <v/>
      </c>
      <c r="F431" s="17">
        <f>IF($C431="","",IFERROR(INDEX(สินค้า!$D$5:$D$204,MATCH($C431,สินค้า!$B$5:$B$204,0)),"ไม่พบสินค้า"))</f>
        <v/>
      </c>
      <c r="G431" s="15" t="n"/>
      <c r="H431" s="15" t="n"/>
      <c r="I431" s="18">
        <f>IF(AND(ISNUMBER(G431),ISNUMBER(H431),G431&gt;0),H431/G431,"")</f>
        <v/>
      </c>
      <c r="J431" s="15" t="n"/>
      <c r="K431" s="15" t="n"/>
      <c r="L431" s="17">
        <f>IF(A431="","",TEXT(A431,"yyyy-mm"))</f>
        <v/>
      </c>
      <c r="M431" s="17">
        <f>IF(AND(A431&lt;&gt;"",J431="Pending"),TODAY()-A431,"")</f>
        <v/>
      </c>
    </row>
    <row r="432">
      <c r="A432" s="16" t="n"/>
      <c r="B432" s="15" t="n"/>
      <c r="C432" s="15" t="n"/>
      <c r="D432" s="17">
        <f>IF($C432="","",IFERROR(INDEX(สินค้า!$A$5:$A$204,MATCH($C432,สินค้า!$B$5:$B$204,0)),"ไม่พบสินค้า"))</f>
        <v/>
      </c>
      <c r="E432" s="17">
        <f>IF($C432="","",IFERROR(INDEX(สินค้า!$C$5:$C$204,MATCH($C432,สินค้า!$B$5:$B$204,0)),"ไม่พบสินค้า"))</f>
        <v/>
      </c>
      <c r="F432" s="17">
        <f>IF($C432="","",IFERROR(INDEX(สินค้า!$D$5:$D$204,MATCH($C432,สินค้า!$B$5:$B$204,0)),"ไม่พบสินค้า"))</f>
        <v/>
      </c>
      <c r="G432" s="15" t="n"/>
      <c r="H432" s="15" t="n"/>
      <c r="I432" s="18">
        <f>IF(AND(ISNUMBER(G432),ISNUMBER(H432),G432&gt;0),H432/G432,"")</f>
        <v/>
      </c>
      <c r="J432" s="15" t="n"/>
      <c r="K432" s="15" t="n"/>
      <c r="L432" s="17">
        <f>IF(A432="","",TEXT(A432,"yyyy-mm"))</f>
        <v/>
      </c>
      <c r="M432" s="17">
        <f>IF(AND(A432&lt;&gt;"",J432="Pending"),TODAY()-A432,"")</f>
        <v/>
      </c>
    </row>
    <row r="433">
      <c r="A433" s="16" t="n"/>
      <c r="B433" s="15" t="n"/>
      <c r="C433" s="15" t="n"/>
      <c r="D433" s="17">
        <f>IF($C433="","",IFERROR(INDEX(สินค้า!$A$5:$A$204,MATCH($C433,สินค้า!$B$5:$B$204,0)),"ไม่พบสินค้า"))</f>
        <v/>
      </c>
      <c r="E433" s="17">
        <f>IF($C433="","",IFERROR(INDEX(สินค้า!$C$5:$C$204,MATCH($C433,สินค้า!$B$5:$B$204,0)),"ไม่พบสินค้า"))</f>
        <v/>
      </c>
      <c r="F433" s="17">
        <f>IF($C433="","",IFERROR(INDEX(สินค้า!$D$5:$D$204,MATCH($C433,สินค้า!$B$5:$B$204,0)),"ไม่พบสินค้า"))</f>
        <v/>
      </c>
      <c r="G433" s="15" t="n"/>
      <c r="H433" s="15" t="n"/>
      <c r="I433" s="18">
        <f>IF(AND(ISNUMBER(G433),ISNUMBER(H433),G433&gt;0),H433/G433,"")</f>
        <v/>
      </c>
      <c r="J433" s="15" t="n"/>
      <c r="K433" s="15" t="n"/>
      <c r="L433" s="17">
        <f>IF(A433="","",TEXT(A433,"yyyy-mm"))</f>
        <v/>
      </c>
      <c r="M433" s="17">
        <f>IF(AND(A433&lt;&gt;"",J433="Pending"),TODAY()-A433,"")</f>
        <v/>
      </c>
    </row>
    <row r="434">
      <c r="A434" s="16" t="n"/>
      <c r="B434" s="15" t="n"/>
      <c r="C434" s="15" t="n"/>
      <c r="D434" s="17">
        <f>IF($C434="","",IFERROR(INDEX(สินค้า!$A$5:$A$204,MATCH($C434,สินค้า!$B$5:$B$204,0)),"ไม่พบสินค้า"))</f>
        <v/>
      </c>
      <c r="E434" s="17">
        <f>IF($C434="","",IFERROR(INDEX(สินค้า!$C$5:$C$204,MATCH($C434,สินค้า!$B$5:$B$204,0)),"ไม่พบสินค้า"))</f>
        <v/>
      </c>
      <c r="F434" s="17">
        <f>IF($C434="","",IFERROR(INDEX(สินค้า!$D$5:$D$204,MATCH($C434,สินค้า!$B$5:$B$204,0)),"ไม่พบสินค้า"))</f>
        <v/>
      </c>
      <c r="G434" s="15" t="n"/>
      <c r="H434" s="15" t="n"/>
      <c r="I434" s="18">
        <f>IF(AND(ISNUMBER(G434),ISNUMBER(H434),G434&gt;0),H434/G434,"")</f>
        <v/>
      </c>
      <c r="J434" s="15" t="n"/>
      <c r="K434" s="15" t="n"/>
      <c r="L434" s="17">
        <f>IF(A434="","",TEXT(A434,"yyyy-mm"))</f>
        <v/>
      </c>
      <c r="M434" s="17">
        <f>IF(AND(A434&lt;&gt;"",J434="Pending"),TODAY()-A434,"")</f>
        <v/>
      </c>
    </row>
    <row r="435">
      <c r="A435" s="16" t="n"/>
      <c r="B435" s="15" t="n"/>
      <c r="C435" s="15" t="n"/>
      <c r="D435" s="17">
        <f>IF($C435="","",IFERROR(INDEX(สินค้า!$A$5:$A$204,MATCH($C435,สินค้า!$B$5:$B$204,0)),"ไม่พบสินค้า"))</f>
        <v/>
      </c>
      <c r="E435" s="17">
        <f>IF($C435="","",IFERROR(INDEX(สินค้า!$C$5:$C$204,MATCH($C435,สินค้า!$B$5:$B$204,0)),"ไม่พบสินค้า"))</f>
        <v/>
      </c>
      <c r="F435" s="17">
        <f>IF($C435="","",IFERROR(INDEX(สินค้า!$D$5:$D$204,MATCH($C435,สินค้า!$B$5:$B$204,0)),"ไม่พบสินค้า"))</f>
        <v/>
      </c>
      <c r="G435" s="15" t="n"/>
      <c r="H435" s="15" t="n"/>
      <c r="I435" s="18">
        <f>IF(AND(ISNUMBER(G435),ISNUMBER(H435),G435&gt;0),H435/G435,"")</f>
        <v/>
      </c>
      <c r="J435" s="15" t="n"/>
      <c r="K435" s="15" t="n"/>
      <c r="L435" s="17">
        <f>IF(A435="","",TEXT(A435,"yyyy-mm"))</f>
        <v/>
      </c>
      <c r="M435" s="17">
        <f>IF(AND(A435&lt;&gt;"",J435="Pending"),TODAY()-A435,"")</f>
        <v/>
      </c>
    </row>
    <row r="436">
      <c r="A436" s="16" t="n"/>
      <c r="B436" s="15" t="n"/>
      <c r="C436" s="15" t="n"/>
      <c r="D436" s="17">
        <f>IF($C436="","",IFERROR(INDEX(สินค้า!$A$5:$A$204,MATCH($C436,สินค้า!$B$5:$B$204,0)),"ไม่พบสินค้า"))</f>
        <v/>
      </c>
      <c r="E436" s="17">
        <f>IF($C436="","",IFERROR(INDEX(สินค้า!$C$5:$C$204,MATCH($C436,สินค้า!$B$5:$B$204,0)),"ไม่พบสินค้า"))</f>
        <v/>
      </c>
      <c r="F436" s="17">
        <f>IF($C436="","",IFERROR(INDEX(สินค้า!$D$5:$D$204,MATCH($C436,สินค้า!$B$5:$B$204,0)),"ไม่พบสินค้า"))</f>
        <v/>
      </c>
      <c r="G436" s="15" t="n"/>
      <c r="H436" s="15" t="n"/>
      <c r="I436" s="18">
        <f>IF(AND(ISNUMBER(G436),ISNUMBER(H436),G436&gt;0),H436/G436,"")</f>
        <v/>
      </c>
      <c r="J436" s="15" t="n"/>
      <c r="K436" s="15" t="n"/>
      <c r="L436" s="17">
        <f>IF(A436="","",TEXT(A436,"yyyy-mm"))</f>
        <v/>
      </c>
      <c r="M436" s="17">
        <f>IF(AND(A436&lt;&gt;"",J436="Pending"),TODAY()-A436,"")</f>
        <v/>
      </c>
    </row>
    <row r="437">
      <c r="A437" s="16" t="n"/>
      <c r="B437" s="15" t="n"/>
      <c r="C437" s="15" t="n"/>
      <c r="D437" s="17">
        <f>IF($C437="","",IFERROR(INDEX(สินค้า!$A$5:$A$204,MATCH($C437,สินค้า!$B$5:$B$204,0)),"ไม่พบสินค้า"))</f>
        <v/>
      </c>
      <c r="E437" s="17">
        <f>IF($C437="","",IFERROR(INDEX(สินค้า!$C$5:$C$204,MATCH($C437,สินค้า!$B$5:$B$204,0)),"ไม่พบสินค้า"))</f>
        <v/>
      </c>
      <c r="F437" s="17">
        <f>IF($C437="","",IFERROR(INDEX(สินค้า!$D$5:$D$204,MATCH($C437,สินค้า!$B$5:$B$204,0)),"ไม่พบสินค้า"))</f>
        <v/>
      </c>
      <c r="G437" s="15" t="n"/>
      <c r="H437" s="15" t="n"/>
      <c r="I437" s="18">
        <f>IF(AND(ISNUMBER(G437),ISNUMBER(H437),G437&gt;0),H437/G437,"")</f>
        <v/>
      </c>
      <c r="J437" s="15" t="n"/>
      <c r="K437" s="15" t="n"/>
      <c r="L437" s="17">
        <f>IF(A437="","",TEXT(A437,"yyyy-mm"))</f>
        <v/>
      </c>
      <c r="M437" s="17">
        <f>IF(AND(A437&lt;&gt;"",J437="Pending"),TODAY()-A437,"")</f>
        <v/>
      </c>
    </row>
    <row r="438">
      <c r="A438" s="16" t="n"/>
      <c r="B438" s="15" t="n"/>
      <c r="C438" s="15" t="n"/>
      <c r="D438" s="17">
        <f>IF($C438="","",IFERROR(INDEX(สินค้า!$A$5:$A$204,MATCH($C438,สินค้า!$B$5:$B$204,0)),"ไม่พบสินค้า"))</f>
        <v/>
      </c>
      <c r="E438" s="17">
        <f>IF($C438="","",IFERROR(INDEX(สินค้า!$C$5:$C$204,MATCH($C438,สินค้า!$B$5:$B$204,0)),"ไม่พบสินค้า"))</f>
        <v/>
      </c>
      <c r="F438" s="17">
        <f>IF($C438="","",IFERROR(INDEX(สินค้า!$D$5:$D$204,MATCH($C438,สินค้า!$B$5:$B$204,0)),"ไม่พบสินค้า"))</f>
        <v/>
      </c>
      <c r="G438" s="15" t="n"/>
      <c r="H438" s="15" t="n"/>
      <c r="I438" s="18">
        <f>IF(AND(ISNUMBER(G438),ISNUMBER(H438),G438&gt;0),H438/G438,"")</f>
        <v/>
      </c>
      <c r="J438" s="15" t="n"/>
      <c r="K438" s="15" t="n"/>
      <c r="L438" s="17">
        <f>IF(A438="","",TEXT(A438,"yyyy-mm"))</f>
        <v/>
      </c>
      <c r="M438" s="17">
        <f>IF(AND(A438&lt;&gt;"",J438="Pending"),TODAY()-A438,"")</f>
        <v/>
      </c>
    </row>
    <row r="439">
      <c r="A439" s="16" t="n"/>
      <c r="B439" s="15" t="n"/>
      <c r="C439" s="15" t="n"/>
      <c r="D439" s="17">
        <f>IF($C439="","",IFERROR(INDEX(สินค้า!$A$5:$A$204,MATCH($C439,สินค้า!$B$5:$B$204,0)),"ไม่พบสินค้า"))</f>
        <v/>
      </c>
      <c r="E439" s="17">
        <f>IF($C439="","",IFERROR(INDEX(สินค้า!$C$5:$C$204,MATCH($C439,สินค้า!$B$5:$B$204,0)),"ไม่พบสินค้า"))</f>
        <v/>
      </c>
      <c r="F439" s="17">
        <f>IF($C439="","",IFERROR(INDEX(สินค้า!$D$5:$D$204,MATCH($C439,สินค้า!$B$5:$B$204,0)),"ไม่พบสินค้า"))</f>
        <v/>
      </c>
      <c r="G439" s="15" t="n"/>
      <c r="H439" s="15" t="n"/>
      <c r="I439" s="18">
        <f>IF(AND(ISNUMBER(G439),ISNUMBER(H439),G439&gt;0),H439/G439,"")</f>
        <v/>
      </c>
      <c r="J439" s="15" t="n"/>
      <c r="K439" s="15" t="n"/>
      <c r="L439" s="17">
        <f>IF(A439="","",TEXT(A439,"yyyy-mm"))</f>
        <v/>
      </c>
      <c r="M439" s="17">
        <f>IF(AND(A439&lt;&gt;"",J439="Pending"),TODAY()-A439,"")</f>
        <v/>
      </c>
    </row>
    <row r="440">
      <c r="A440" s="16" t="n"/>
      <c r="B440" s="15" t="n"/>
      <c r="C440" s="15" t="n"/>
      <c r="D440" s="17">
        <f>IF($C440="","",IFERROR(INDEX(สินค้า!$A$5:$A$204,MATCH($C440,สินค้า!$B$5:$B$204,0)),"ไม่พบสินค้า"))</f>
        <v/>
      </c>
      <c r="E440" s="17">
        <f>IF($C440="","",IFERROR(INDEX(สินค้า!$C$5:$C$204,MATCH($C440,สินค้า!$B$5:$B$204,0)),"ไม่พบสินค้า"))</f>
        <v/>
      </c>
      <c r="F440" s="17">
        <f>IF($C440="","",IFERROR(INDEX(สินค้า!$D$5:$D$204,MATCH($C440,สินค้า!$B$5:$B$204,0)),"ไม่พบสินค้า"))</f>
        <v/>
      </c>
      <c r="G440" s="15" t="n"/>
      <c r="H440" s="15" t="n"/>
      <c r="I440" s="18">
        <f>IF(AND(ISNUMBER(G440),ISNUMBER(H440),G440&gt;0),H440/G440,"")</f>
        <v/>
      </c>
      <c r="J440" s="15" t="n"/>
      <c r="K440" s="15" t="n"/>
      <c r="L440" s="17">
        <f>IF(A440="","",TEXT(A440,"yyyy-mm"))</f>
        <v/>
      </c>
      <c r="M440" s="17">
        <f>IF(AND(A440&lt;&gt;"",J440="Pending"),TODAY()-A440,"")</f>
        <v/>
      </c>
    </row>
    <row r="441">
      <c r="A441" s="16" t="n"/>
      <c r="B441" s="15" t="n"/>
      <c r="C441" s="15" t="n"/>
      <c r="D441" s="17">
        <f>IF($C441="","",IFERROR(INDEX(สินค้า!$A$5:$A$204,MATCH($C441,สินค้า!$B$5:$B$204,0)),"ไม่พบสินค้า"))</f>
        <v/>
      </c>
      <c r="E441" s="17">
        <f>IF($C441="","",IFERROR(INDEX(สินค้า!$C$5:$C$204,MATCH($C441,สินค้า!$B$5:$B$204,0)),"ไม่พบสินค้า"))</f>
        <v/>
      </c>
      <c r="F441" s="17">
        <f>IF($C441="","",IFERROR(INDEX(สินค้า!$D$5:$D$204,MATCH($C441,สินค้า!$B$5:$B$204,0)),"ไม่พบสินค้า"))</f>
        <v/>
      </c>
      <c r="G441" s="15" t="n"/>
      <c r="H441" s="15" t="n"/>
      <c r="I441" s="18">
        <f>IF(AND(ISNUMBER(G441),ISNUMBER(H441),G441&gt;0),H441/G441,"")</f>
        <v/>
      </c>
      <c r="J441" s="15" t="n"/>
      <c r="K441" s="15" t="n"/>
      <c r="L441" s="17">
        <f>IF(A441="","",TEXT(A441,"yyyy-mm"))</f>
        <v/>
      </c>
      <c r="M441" s="17">
        <f>IF(AND(A441&lt;&gt;"",J441="Pending"),TODAY()-A441,"")</f>
        <v/>
      </c>
    </row>
    <row r="442">
      <c r="A442" s="16" t="n"/>
      <c r="B442" s="15" t="n"/>
      <c r="C442" s="15" t="n"/>
      <c r="D442" s="17">
        <f>IF($C442="","",IFERROR(INDEX(สินค้า!$A$5:$A$204,MATCH($C442,สินค้า!$B$5:$B$204,0)),"ไม่พบสินค้า"))</f>
        <v/>
      </c>
      <c r="E442" s="17">
        <f>IF($C442="","",IFERROR(INDEX(สินค้า!$C$5:$C$204,MATCH($C442,สินค้า!$B$5:$B$204,0)),"ไม่พบสินค้า"))</f>
        <v/>
      </c>
      <c r="F442" s="17">
        <f>IF($C442="","",IFERROR(INDEX(สินค้า!$D$5:$D$204,MATCH($C442,สินค้า!$B$5:$B$204,0)),"ไม่พบสินค้า"))</f>
        <v/>
      </c>
      <c r="G442" s="15" t="n"/>
      <c r="H442" s="15" t="n"/>
      <c r="I442" s="18">
        <f>IF(AND(ISNUMBER(G442),ISNUMBER(H442),G442&gt;0),H442/G442,"")</f>
        <v/>
      </c>
      <c r="J442" s="15" t="n"/>
      <c r="K442" s="15" t="n"/>
      <c r="L442" s="17">
        <f>IF(A442="","",TEXT(A442,"yyyy-mm"))</f>
        <v/>
      </c>
      <c r="M442" s="17">
        <f>IF(AND(A442&lt;&gt;"",J442="Pending"),TODAY()-A442,"")</f>
        <v/>
      </c>
    </row>
    <row r="443">
      <c r="A443" s="16" t="n"/>
      <c r="B443" s="15" t="n"/>
      <c r="C443" s="15" t="n"/>
      <c r="D443" s="17">
        <f>IF($C443="","",IFERROR(INDEX(สินค้า!$A$5:$A$204,MATCH($C443,สินค้า!$B$5:$B$204,0)),"ไม่พบสินค้า"))</f>
        <v/>
      </c>
      <c r="E443" s="17">
        <f>IF($C443="","",IFERROR(INDEX(สินค้า!$C$5:$C$204,MATCH($C443,สินค้า!$B$5:$B$204,0)),"ไม่พบสินค้า"))</f>
        <v/>
      </c>
      <c r="F443" s="17">
        <f>IF($C443="","",IFERROR(INDEX(สินค้า!$D$5:$D$204,MATCH($C443,สินค้า!$B$5:$B$204,0)),"ไม่พบสินค้า"))</f>
        <v/>
      </c>
      <c r="G443" s="15" t="n"/>
      <c r="H443" s="15" t="n"/>
      <c r="I443" s="18">
        <f>IF(AND(ISNUMBER(G443),ISNUMBER(H443),G443&gt;0),H443/G443,"")</f>
        <v/>
      </c>
      <c r="J443" s="15" t="n"/>
      <c r="K443" s="15" t="n"/>
      <c r="L443" s="17">
        <f>IF(A443="","",TEXT(A443,"yyyy-mm"))</f>
        <v/>
      </c>
      <c r="M443" s="17">
        <f>IF(AND(A443&lt;&gt;"",J443="Pending"),TODAY()-A443,"")</f>
        <v/>
      </c>
    </row>
    <row r="444">
      <c r="A444" s="16" t="n"/>
      <c r="B444" s="15" t="n"/>
      <c r="C444" s="15" t="n"/>
      <c r="D444" s="17">
        <f>IF($C444="","",IFERROR(INDEX(สินค้า!$A$5:$A$204,MATCH($C444,สินค้า!$B$5:$B$204,0)),"ไม่พบสินค้า"))</f>
        <v/>
      </c>
      <c r="E444" s="17">
        <f>IF($C444="","",IFERROR(INDEX(สินค้า!$C$5:$C$204,MATCH($C444,สินค้า!$B$5:$B$204,0)),"ไม่พบสินค้า"))</f>
        <v/>
      </c>
      <c r="F444" s="17">
        <f>IF($C444="","",IFERROR(INDEX(สินค้า!$D$5:$D$204,MATCH($C444,สินค้า!$B$5:$B$204,0)),"ไม่พบสินค้า"))</f>
        <v/>
      </c>
      <c r="G444" s="15" t="n"/>
      <c r="H444" s="15" t="n"/>
      <c r="I444" s="18">
        <f>IF(AND(ISNUMBER(G444),ISNUMBER(H444),G444&gt;0),H444/G444,"")</f>
        <v/>
      </c>
      <c r="J444" s="15" t="n"/>
      <c r="K444" s="15" t="n"/>
      <c r="L444" s="17">
        <f>IF(A444="","",TEXT(A444,"yyyy-mm"))</f>
        <v/>
      </c>
      <c r="M444" s="17">
        <f>IF(AND(A444&lt;&gt;"",J444="Pending"),TODAY()-A444,"")</f>
        <v/>
      </c>
    </row>
    <row r="445">
      <c r="A445" s="16" t="n"/>
      <c r="B445" s="15" t="n"/>
      <c r="C445" s="15" t="n"/>
      <c r="D445" s="17">
        <f>IF($C445="","",IFERROR(INDEX(สินค้า!$A$5:$A$204,MATCH($C445,สินค้า!$B$5:$B$204,0)),"ไม่พบสินค้า"))</f>
        <v/>
      </c>
      <c r="E445" s="17">
        <f>IF($C445="","",IFERROR(INDEX(สินค้า!$C$5:$C$204,MATCH($C445,สินค้า!$B$5:$B$204,0)),"ไม่พบสินค้า"))</f>
        <v/>
      </c>
      <c r="F445" s="17">
        <f>IF($C445="","",IFERROR(INDEX(สินค้า!$D$5:$D$204,MATCH($C445,สินค้า!$B$5:$B$204,0)),"ไม่พบสินค้า"))</f>
        <v/>
      </c>
      <c r="G445" s="15" t="n"/>
      <c r="H445" s="15" t="n"/>
      <c r="I445" s="18">
        <f>IF(AND(ISNUMBER(G445),ISNUMBER(H445),G445&gt;0),H445/G445,"")</f>
        <v/>
      </c>
      <c r="J445" s="15" t="n"/>
      <c r="K445" s="15" t="n"/>
      <c r="L445" s="17">
        <f>IF(A445="","",TEXT(A445,"yyyy-mm"))</f>
        <v/>
      </c>
      <c r="M445" s="17">
        <f>IF(AND(A445&lt;&gt;"",J445="Pending"),TODAY()-A445,"")</f>
        <v/>
      </c>
    </row>
    <row r="446">
      <c r="A446" s="16" t="n"/>
      <c r="B446" s="15" t="n"/>
      <c r="C446" s="15" t="n"/>
      <c r="D446" s="17">
        <f>IF($C446="","",IFERROR(INDEX(สินค้า!$A$5:$A$204,MATCH($C446,สินค้า!$B$5:$B$204,0)),"ไม่พบสินค้า"))</f>
        <v/>
      </c>
      <c r="E446" s="17">
        <f>IF($C446="","",IFERROR(INDEX(สินค้า!$C$5:$C$204,MATCH($C446,สินค้า!$B$5:$B$204,0)),"ไม่พบสินค้า"))</f>
        <v/>
      </c>
      <c r="F446" s="17">
        <f>IF($C446="","",IFERROR(INDEX(สินค้า!$D$5:$D$204,MATCH($C446,สินค้า!$B$5:$B$204,0)),"ไม่พบสินค้า"))</f>
        <v/>
      </c>
      <c r="G446" s="15" t="n"/>
      <c r="H446" s="15" t="n"/>
      <c r="I446" s="18">
        <f>IF(AND(ISNUMBER(G446),ISNUMBER(H446),G446&gt;0),H446/G446,"")</f>
        <v/>
      </c>
      <c r="J446" s="15" t="n"/>
      <c r="K446" s="15" t="n"/>
      <c r="L446" s="17">
        <f>IF(A446="","",TEXT(A446,"yyyy-mm"))</f>
        <v/>
      </c>
      <c r="M446" s="17">
        <f>IF(AND(A446&lt;&gt;"",J446="Pending"),TODAY()-A446,"")</f>
        <v/>
      </c>
    </row>
    <row r="447">
      <c r="A447" s="16" t="n"/>
      <c r="B447" s="15" t="n"/>
      <c r="C447" s="15" t="n"/>
      <c r="D447" s="17">
        <f>IF($C447="","",IFERROR(INDEX(สินค้า!$A$5:$A$204,MATCH($C447,สินค้า!$B$5:$B$204,0)),"ไม่พบสินค้า"))</f>
        <v/>
      </c>
      <c r="E447" s="17">
        <f>IF($C447="","",IFERROR(INDEX(สินค้า!$C$5:$C$204,MATCH($C447,สินค้า!$B$5:$B$204,0)),"ไม่พบสินค้า"))</f>
        <v/>
      </c>
      <c r="F447" s="17">
        <f>IF($C447="","",IFERROR(INDEX(สินค้า!$D$5:$D$204,MATCH($C447,สินค้า!$B$5:$B$204,0)),"ไม่พบสินค้า"))</f>
        <v/>
      </c>
      <c r="G447" s="15" t="n"/>
      <c r="H447" s="15" t="n"/>
      <c r="I447" s="18">
        <f>IF(AND(ISNUMBER(G447),ISNUMBER(H447),G447&gt;0),H447/G447,"")</f>
        <v/>
      </c>
      <c r="J447" s="15" t="n"/>
      <c r="K447" s="15" t="n"/>
      <c r="L447" s="17">
        <f>IF(A447="","",TEXT(A447,"yyyy-mm"))</f>
        <v/>
      </c>
      <c r="M447" s="17">
        <f>IF(AND(A447&lt;&gt;"",J447="Pending"),TODAY()-A447,"")</f>
        <v/>
      </c>
    </row>
    <row r="448">
      <c r="A448" s="16" t="n"/>
      <c r="B448" s="15" t="n"/>
      <c r="C448" s="15" t="n"/>
      <c r="D448" s="17">
        <f>IF($C448="","",IFERROR(INDEX(สินค้า!$A$5:$A$204,MATCH($C448,สินค้า!$B$5:$B$204,0)),"ไม่พบสินค้า"))</f>
        <v/>
      </c>
      <c r="E448" s="17">
        <f>IF($C448="","",IFERROR(INDEX(สินค้า!$C$5:$C$204,MATCH($C448,สินค้า!$B$5:$B$204,0)),"ไม่พบสินค้า"))</f>
        <v/>
      </c>
      <c r="F448" s="17">
        <f>IF($C448="","",IFERROR(INDEX(สินค้า!$D$5:$D$204,MATCH($C448,สินค้า!$B$5:$B$204,0)),"ไม่พบสินค้า"))</f>
        <v/>
      </c>
      <c r="G448" s="15" t="n"/>
      <c r="H448" s="15" t="n"/>
      <c r="I448" s="18">
        <f>IF(AND(ISNUMBER(G448),ISNUMBER(H448),G448&gt;0),H448/G448,"")</f>
        <v/>
      </c>
      <c r="J448" s="15" t="n"/>
      <c r="K448" s="15" t="n"/>
      <c r="L448" s="17">
        <f>IF(A448="","",TEXT(A448,"yyyy-mm"))</f>
        <v/>
      </c>
      <c r="M448" s="17">
        <f>IF(AND(A448&lt;&gt;"",J448="Pending"),TODAY()-A448,"")</f>
        <v/>
      </c>
    </row>
    <row r="449">
      <c r="A449" s="16" t="n"/>
      <c r="B449" s="15" t="n"/>
      <c r="C449" s="15" t="n"/>
      <c r="D449" s="17">
        <f>IF($C449="","",IFERROR(INDEX(สินค้า!$A$5:$A$204,MATCH($C449,สินค้า!$B$5:$B$204,0)),"ไม่พบสินค้า"))</f>
        <v/>
      </c>
      <c r="E449" s="17">
        <f>IF($C449="","",IFERROR(INDEX(สินค้า!$C$5:$C$204,MATCH($C449,สินค้า!$B$5:$B$204,0)),"ไม่พบสินค้า"))</f>
        <v/>
      </c>
      <c r="F449" s="17">
        <f>IF($C449="","",IFERROR(INDEX(สินค้า!$D$5:$D$204,MATCH($C449,สินค้า!$B$5:$B$204,0)),"ไม่พบสินค้า"))</f>
        <v/>
      </c>
      <c r="G449" s="15" t="n"/>
      <c r="H449" s="15" t="n"/>
      <c r="I449" s="18">
        <f>IF(AND(ISNUMBER(G449),ISNUMBER(H449),G449&gt;0),H449/G449,"")</f>
        <v/>
      </c>
      <c r="J449" s="15" t="n"/>
      <c r="K449" s="15" t="n"/>
      <c r="L449" s="17">
        <f>IF(A449="","",TEXT(A449,"yyyy-mm"))</f>
        <v/>
      </c>
      <c r="M449" s="17">
        <f>IF(AND(A449&lt;&gt;"",J449="Pending"),TODAY()-A449,"")</f>
        <v/>
      </c>
    </row>
    <row r="450">
      <c r="A450" s="16" t="n"/>
      <c r="B450" s="15" t="n"/>
      <c r="C450" s="15" t="n"/>
      <c r="D450" s="17">
        <f>IF($C450="","",IFERROR(INDEX(สินค้า!$A$5:$A$204,MATCH($C450,สินค้า!$B$5:$B$204,0)),"ไม่พบสินค้า"))</f>
        <v/>
      </c>
      <c r="E450" s="17">
        <f>IF($C450="","",IFERROR(INDEX(สินค้า!$C$5:$C$204,MATCH($C450,สินค้า!$B$5:$B$204,0)),"ไม่พบสินค้า"))</f>
        <v/>
      </c>
      <c r="F450" s="17">
        <f>IF($C450="","",IFERROR(INDEX(สินค้า!$D$5:$D$204,MATCH($C450,สินค้า!$B$5:$B$204,0)),"ไม่พบสินค้า"))</f>
        <v/>
      </c>
      <c r="G450" s="15" t="n"/>
      <c r="H450" s="15" t="n"/>
      <c r="I450" s="18">
        <f>IF(AND(ISNUMBER(G450),ISNUMBER(H450),G450&gt;0),H450/G450,"")</f>
        <v/>
      </c>
      <c r="J450" s="15" t="n"/>
      <c r="K450" s="15" t="n"/>
      <c r="L450" s="17">
        <f>IF(A450="","",TEXT(A450,"yyyy-mm"))</f>
        <v/>
      </c>
      <c r="M450" s="17">
        <f>IF(AND(A450&lt;&gt;"",J450="Pending"),TODAY()-A450,"")</f>
        <v/>
      </c>
    </row>
    <row r="451">
      <c r="A451" s="16" t="n"/>
      <c r="B451" s="15" t="n"/>
      <c r="C451" s="15" t="n"/>
      <c r="D451" s="17">
        <f>IF($C451="","",IFERROR(INDEX(สินค้า!$A$5:$A$204,MATCH($C451,สินค้า!$B$5:$B$204,0)),"ไม่พบสินค้า"))</f>
        <v/>
      </c>
      <c r="E451" s="17">
        <f>IF($C451="","",IFERROR(INDEX(สินค้า!$C$5:$C$204,MATCH($C451,สินค้า!$B$5:$B$204,0)),"ไม่พบสินค้า"))</f>
        <v/>
      </c>
      <c r="F451" s="17">
        <f>IF($C451="","",IFERROR(INDEX(สินค้า!$D$5:$D$204,MATCH($C451,สินค้า!$B$5:$B$204,0)),"ไม่พบสินค้า"))</f>
        <v/>
      </c>
      <c r="G451" s="15" t="n"/>
      <c r="H451" s="15" t="n"/>
      <c r="I451" s="18">
        <f>IF(AND(ISNUMBER(G451),ISNUMBER(H451),G451&gt;0),H451/G451,"")</f>
        <v/>
      </c>
      <c r="J451" s="15" t="n"/>
      <c r="K451" s="15" t="n"/>
      <c r="L451" s="17">
        <f>IF(A451="","",TEXT(A451,"yyyy-mm"))</f>
        <v/>
      </c>
      <c r="M451" s="17">
        <f>IF(AND(A451&lt;&gt;"",J451="Pending"),TODAY()-A451,"")</f>
        <v/>
      </c>
    </row>
    <row r="452">
      <c r="A452" s="16" t="n"/>
      <c r="B452" s="15" t="n"/>
      <c r="C452" s="15" t="n"/>
      <c r="D452" s="17">
        <f>IF($C452="","",IFERROR(INDEX(สินค้า!$A$5:$A$204,MATCH($C452,สินค้า!$B$5:$B$204,0)),"ไม่พบสินค้า"))</f>
        <v/>
      </c>
      <c r="E452" s="17">
        <f>IF($C452="","",IFERROR(INDEX(สินค้า!$C$5:$C$204,MATCH($C452,สินค้า!$B$5:$B$204,0)),"ไม่พบสินค้า"))</f>
        <v/>
      </c>
      <c r="F452" s="17">
        <f>IF($C452="","",IFERROR(INDEX(สินค้า!$D$5:$D$204,MATCH($C452,สินค้า!$B$5:$B$204,0)),"ไม่พบสินค้า"))</f>
        <v/>
      </c>
      <c r="G452" s="15" t="n"/>
      <c r="H452" s="15" t="n"/>
      <c r="I452" s="18">
        <f>IF(AND(ISNUMBER(G452),ISNUMBER(H452),G452&gt;0),H452/G452,"")</f>
        <v/>
      </c>
      <c r="J452" s="15" t="n"/>
      <c r="K452" s="15" t="n"/>
      <c r="L452" s="17">
        <f>IF(A452="","",TEXT(A452,"yyyy-mm"))</f>
        <v/>
      </c>
      <c r="M452" s="17">
        <f>IF(AND(A452&lt;&gt;"",J452="Pending"),TODAY()-A452,"")</f>
        <v/>
      </c>
    </row>
    <row r="453">
      <c r="A453" s="16" t="n"/>
      <c r="B453" s="15" t="n"/>
      <c r="C453" s="15" t="n"/>
      <c r="D453" s="17">
        <f>IF($C453="","",IFERROR(INDEX(สินค้า!$A$5:$A$204,MATCH($C453,สินค้า!$B$5:$B$204,0)),"ไม่พบสินค้า"))</f>
        <v/>
      </c>
      <c r="E453" s="17">
        <f>IF($C453="","",IFERROR(INDEX(สินค้า!$C$5:$C$204,MATCH($C453,สินค้า!$B$5:$B$204,0)),"ไม่พบสินค้า"))</f>
        <v/>
      </c>
      <c r="F453" s="17">
        <f>IF($C453="","",IFERROR(INDEX(สินค้า!$D$5:$D$204,MATCH($C453,สินค้า!$B$5:$B$204,0)),"ไม่พบสินค้า"))</f>
        <v/>
      </c>
      <c r="G453" s="15" t="n"/>
      <c r="H453" s="15" t="n"/>
      <c r="I453" s="18">
        <f>IF(AND(ISNUMBER(G453),ISNUMBER(H453),G453&gt;0),H453/G453,"")</f>
        <v/>
      </c>
      <c r="J453" s="15" t="n"/>
      <c r="K453" s="15" t="n"/>
      <c r="L453" s="17">
        <f>IF(A453="","",TEXT(A453,"yyyy-mm"))</f>
        <v/>
      </c>
      <c r="M453" s="17">
        <f>IF(AND(A453&lt;&gt;"",J453="Pending"),TODAY()-A453,"")</f>
        <v/>
      </c>
    </row>
    <row r="454">
      <c r="A454" s="16" t="n"/>
      <c r="B454" s="15" t="n"/>
      <c r="C454" s="15" t="n"/>
      <c r="D454" s="17">
        <f>IF($C454="","",IFERROR(INDEX(สินค้า!$A$5:$A$204,MATCH($C454,สินค้า!$B$5:$B$204,0)),"ไม่พบสินค้า"))</f>
        <v/>
      </c>
      <c r="E454" s="17">
        <f>IF($C454="","",IFERROR(INDEX(สินค้า!$C$5:$C$204,MATCH($C454,สินค้า!$B$5:$B$204,0)),"ไม่พบสินค้า"))</f>
        <v/>
      </c>
      <c r="F454" s="17">
        <f>IF($C454="","",IFERROR(INDEX(สินค้า!$D$5:$D$204,MATCH($C454,สินค้า!$B$5:$B$204,0)),"ไม่พบสินค้า"))</f>
        <v/>
      </c>
      <c r="G454" s="15" t="n"/>
      <c r="H454" s="15" t="n"/>
      <c r="I454" s="18">
        <f>IF(AND(ISNUMBER(G454),ISNUMBER(H454),G454&gt;0),H454/G454,"")</f>
        <v/>
      </c>
      <c r="J454" s="15" t="n"/>
      <c r="K454" s="15" t="n"/>
      <c r="L454" s="17">
        <f>IF(A454="","",TEXT(A454,"yyyy-mm"))</f>
        <v/>
      </c>
      <c r="M454" s="17">
        <f>IF(AND(A454&lt;&gt;"",J454="Pending"),TODAY()-A454,"")</f>
        <v/>
      </c>
    </row>
    <row r="455">
      <c r="A455" s="16" t="n"/>
      <c r="B455" s="15" t="n"/>
      <c r="C455" s="15" t="n"/>
      <c r="D455" s="17">
        <f>IF($C455="","",IFERROR(INDEX(สินค้า!$A$5:$A$204,MATCH($C455,สินค้า!$B$5:$B$204,0)),"ไม่พบสินค้า"))</f>
        <v/>
      </c>
      <c r="E455" s="17">
        <f>IF($C455="","",IFERROR(INDEX(สินค้า!$C$5:$C$204,MATCH($C455,สินค้า!$B$5:$B$204,0)),"ไม่พบสินค้า"))</f>
        <v/>
      </c>
      <c r="F455" s="17">
        <f>IF($C455="","",IFERROR(INDEX(สินค้า!$D$5:$D$204,MATCH($C455,สินค้า!$B$5:$B$204,0)),"ไม่พบสินค้า"))</f>
        <v/>
      </c>
      <c r="G455" s="15" t="n"/>
      <c r="H455" s="15" t="n"/>
      <c r="I455" s="18">
        <f>IF(AND(ISNUMBER(G455),ISNUMBER(H455),G455&gt;0),H455/G455,"")</f>
        <v/>
      </c>
      <c r="J455" s="15" t="n"/>
      <c r="K455" s="15" t="n"/>
      <c r="L455" s="17">
        <f>IF(A455="","",TEXT(A455,"yyyy-mm"))</f>
        <v/>
      </c>
      <c r="M455" s="17">
        <f>IF(AND(A455&lt;&gt;"",J455="Pending"),TODAY()-A455,"")</f>
        <v/>
      </c>
    </row>
    <row r="456">
      <c r="A456" s="16" t="n"/>
      <c r="B456" s="15" t="n"/>
      <c r="C456" s="15" t="n"/>
      <c r="D456" s="17">
        <f>IF($C456="","",IFERROR(INDEX(สินค้า!$A$5:$A$204,MATCH($C456,สินค้า!$B$5:$B$204,0)),"ไม่พบสินค้า"))</f>
        <v/>
      </c>
      <c r="E456" s="17">
        <f>IF($C456="","",IFERROR(INDEX(สินค้า!$C$5:$C$204,MATCH($C456,สินค้า!$B$5:$B$204,0)),"ไม่พบสินค้า"))</f>
        <v/>
      </c>
      <c r="F456" s="17">
        <f>IF($C456="","",IFERROR(INDEX(สินค้า!$D$5:$D$204,MATCH($C456,สินค้า!$B$5:$B$204,0)),"ไม่พบสินค้า"))</f>
        <v/>
      </c>
      <c r="G456" s="15" t="n"/>
      <c r="H456" s="15" t="n"/>
      <c r="I456" s="18">
        <f>IF(AND(ISNUMBER(G456),ISNUMBER(H456),G456&gt;0),H456/G456,"")</f>
        <v/>
      </c>
      <c r="J456" s="15" t="n"/>
      <c r="K456" s="15" t="n"/>
      <c r="L456" s="17">
        <f>IF(A456="","",TEXT(A456,"yyyy-mm"))</f>
        <v/>
      </c>
      <c r="M456" s="17">
        <f>IF(AND(A456&lt;&gt;"",J456="Pending"),TODAY()-A456,"")</f>
        <v/>
      </c>
    </row>
    <row r="457">
      <c r="A457" s="16" t="n"/>
      <c r="B457" s="15" t="n"/>
      <c r="C457" s="15" t="n"/>
      <c r="D457" s="17">
        <f>IF($C457="","",IFERROR(INDEX(สินค้า!$A$5:$A$204,MATCH($C457,สินค้า!$B$5:$B$204,0)),"ไม่พบสินค้า"))</f>
        <v/>
      </c>
      <c r="E457" s="17">
        <f>IF($C457="","",IFERROR(INDEX(สินค้า!$C$5:$C$204,MATCH($C457,สินค้า!$B$5:$B$204,0)),"ไม่พบสินค้า"))</f>
        <v/>
      </c>
      <c r="F457" s="17">
        <f>IF($C457="","",IFERROR(INDEX(สินค้า!$D$5:$D$204,MATCH($C457,สินค้า!$B$5:$B$204,0)),"ไม่พบสินค้า"))</f>
        <v/>
      </c>
      <c r="G457" s="15" t="n"/>
      <c r="H457" s="15" t="n"/>
      <c r="I457" s="18">
        <f>IF(AND(ISNUMBER(G457),ISNUMBER(H457),G457&gt;0),H457/G457,"")</f>
        <v/>
      </c>
      <c r="J457" s="15" t="n"/>
      <c r="K457" s="15" t="n"/>
      <c r="L457" s="17">
        <f>IF(A457="","",TEXT(A457,"yyyy-mm"))</f>
        <v/>
      </c>
      <c r="M457" s="17">
        <f>IF(AND(A457&lt;&gt;"",J457="Pending"),TODAY()-A457,"")</f>
        <v/>
      </c>
    </row>
    <row r="458">
      <c r="A458" s="16" t="n"/>
      <c r="B458" s="15" t="n"/>
      <c r="C458" s="15" t="n"/>
      <c r="D458" s="17">
        <f>IF($C458="","",IFERROR(INDEX(สินค้า!$A$5:$A$204,MATCH($C458,สินค้า!$B$5:$B$204,0)),"ไม่พบสินค้า"))</f>
        <v/>
      </c>
      <c r="E458" s="17">
        <f>IF($C458="","",IFERROR(INDEX(สินค้า!$C$5:$C$204,MATCH($C458,สินค้า!$B$5:$B$204,0)),"ไม่พบสินค้า"))</f>
        <v/>
      </c>
      <c r="F458" s="17">
        <f>IF($C458="","",IFERROR(INDEX(สินค้า!$D$5:$D$204,MATCH($C458,สินค้า!$B$5:$B$204,0)),"ไม่พบสินค้า"))</f>
        <v/>
      </c>
      <c r="G458" s="15" t="n"/>
      <c r="H458" s="15" t="n"/>
      <c r="I458" s="18">
        <f>IF(AND(ISNUMBER(G458),ISNUMBER(H458),G458&gt;0),H458/G458,"")</f>
        <v/>
      </c>
      <c r="J458" s="15" t="n"/>
      <c r="K458" s="15" t="n"/>
      <c r="L458" s="17">
        <f>IF(A458="","",TEXT(A458,"yyyy-mm"))</f>
        <v/>
      </c>
      <c r="M458" s="17">
        <f>IF(AND(A458&lt;&gt;"",J458="Pending"),TODAY()-A458,"")</f>
        <v/>
      </c>
    </row>
    <row r="459">
      <c r="A459" s="16" t="n"/>
      <c r="B459" s="15" t="n"/>
      <c r="C459" s="15" t="n"/>
      <c r="D459" s="17">
        <f>IF($C459="","",IFERROR(INDEX(สินค้า!$A$5:$A$204,MATCH($C459,สินค้า!$B$5:$B$204,0)),"ไม่พบสินค้า"))</f>
        <v/>
      </c>
      <c r="E459" s="17">
        <f>IF($C459="","",IFERROR(INDEX(สินค้า!$C$5:$C$204,MATCH($C459,สินค้า!$B$5:$B$204,0)),"ไม่พบสินค้า"))</f>
        <v/>
      </c>
      <c r="F459" s="17">
        <f>IF($C459="","",IFERROR(INDEX(สินค้า!$D$5:$D$204,MATCH($C459,สินค้า!$B$5:$B$204,0)),"ไม่พบสินค้า"))</f>
        <v/>
      </c>
      <c r="G459" s="15" t="n"/>
      <c r="H459" s="15" t="n"/>
      <c r="I459" s="18">
        <f>IF(AND(ISNUMBER(G459),ISNUMBER(H459),G459&gt;0),H459/G459,"")</f>
        <v/>
      </c>
      <c r="J459" s="15" t="n"/>
      <c r="K459" s="15" t="n"/>
      <c r="L459" s="17">
        <f>IF(A459="","",TEXT(A459,"yyyy-mm"))</f>
        <v/>
      </c>
      <c r="M459" s="17">
        <f>IF(AND(A459&lt;&gt;"",J459="Pending"),TODAY()-A459,"")</f>
        <v/>
      </c>
    </row>
    <row r="460">
      <c r="A460" s="16" t="n"/>
      <c r="B460" s="15" t="n"/>
      <c r="C460" s="15" t="n"/>
      <c r="D460" s="17">
        <f>IF($C460="","",IFERROR(INDEX(สินค้า!$A$5:$A$204,MATCH($C460,สินค้า!$B$5:$B$204,0)),"ไม่พบสินค้า"))</f>
        <v/>
      </c>
      <c r="E460" s="17">
        <f>IF($C460="","",IFERROR(INDEX(สินค้า!$C$5:$C$204,MATCH($C460,สินค้า!$B$5:$B$204,0)),"ไม่พบสินค้า"))</f>
        <v/>
      </c>
      <c r="F460" s="17">
        <f>IF($C460="","",IFERROR(INDEX(สินค้า!$D$5:$D$204,MATCH($C460,สินค้า!$B$5:$B$204,0)),"ไม่พบสินค้า"))</f>
        <v/>
      </c>
      <c r="G460" s="15" t="n"/>
      <c r="H460" s="15" t="n"/>
      <c r="I460" s="18">
        <f>IF(AND(ISNUMBER(G460),ISNUMBER(H460),G460&gt;0),H460/G460,"")</f>
        <v/>
      </c>
      <c r="J460" s="15" t="n"/>
      <c r="K460" s="15" t="n"/>
      <c r="L460" s="17">
        <f>IF(A460="","",TEXT(A460,"yyyy-mm"))</f>
        <v/>
      </c>
      <c r="M460" s="17">
        <f>IF(AND(A460&lt;&gt;"",J460="Pending"),TODAY()-A460,"")</f>
        <v/>
      </c>
    </row>
    <row r="461">
      <c r="A461" s="16" t="n"/>
      <c r="B461" s="15" t="n"/>
      <c r="C461" s="15" t="n"/>
      <c r="D461" s="17">
        <f>IF($C461="","",IFERROR(INDEX(สินค้า!$A$5:$A$204,MATCH($C461,สินค้า!$B$5:$B$204,0)),"ไม่พบสินค้า"))</f>
        <v/>
      </c>
      <c r="E461" s="17">
        <f>IF($C461="","",IFERROR(INDEX(สินค้า!$C$5:$C$204,MATCH($C461,สินค้า!$B$5:$B$204,0)),"ไม่พบสินค้า"))</f>
        <v/>
      </c>
      <c r="F461" s="17">
        <f>IF($C461="","",IFERROR(INDEX(สินค้า!$D$5:$D$204,MATCH($C461,สินค้า!$B$5:$B$204,0)),"ไม่พบสินค้า"))</f>
        <v/>
      </c>
      <c r="G461" s="15" t="n"/>
      <c r="H461" s="15" t="n"/>
      <c r="I461" s="18">
        <f>IF(AND(ISNUMBER(G461),ISNUMBER(H461),G461&gt;0),H461/G461,"")</f>
        <v/>
      </c>
      <c r="J461" s="15" t="n"/>
      <c r="K461" s="15" t="n"/>
      <c r="L461" s="17">
        <f>IF(A461="","",TEXT(A461,"yyyy-mm"))</f>
        <v/>
      </c>
      <c r="M461" s="17">
        <f>IF(AND(A461&lt;&gt;"",J461="Pending"),TODAY()-A461,"")</f>
        <v/>
      </c>
    </row>
    <row r="462">
      <c r="A462" s="16" t="n"/>
      <c r="B462" s="15" t="n"/>
      <c r="C462" s="15" t="n"/>
      <c r="D462" s="17">
        <f>IF($C462="","",IFERROR(INDEX(สินค้า!$A$5:$A$204,MATCH($C462,สินค้า!$B$5:$B$204,0)),"ไม่พบสินค้า"))</f>
        <v/>
      </c>
      <c r="E462" s="17">
        <f>IF($C462="","",IFERROR(INDEX(สินค้า!$C$5:$C$204,MATCH($C462,สินค้า!$B$5:$B$204,0)),"ไม่พบสินค้า"))</f>
        <v/>
      </c>
      <c r="F462" s="17">
        <f>IF($C462="","",IFERROR(INDEX(สินค้า!$D$5:$D$204,MATCH($C462,สินค้า!$B$5:$B$204,0)),"ไม่พบสินค้า"))</f>
        <v/>
      </c>
      <c r="G462" s="15" t="n"/>
      <c r="H462" s="15" t="n"/>
      <c r="I462" s="18">
        <f>IF(AND(ISNUMBER(G462),ISNUMBER(H462),G462&gt;0),H462/G462,"")</f>
        <v/>
      </c>
      <c r="J462" s="15" t="n"/>
      <c r="K462" s="15" t="n"/>
      <c r="L462" s="17">
        <f>IF(A462="","",TEXT(A462,"yyyy-mm"))</f>
        <v/>
      </c>
      <c r="M462" s="17">
        <f>IF(AND(A462&lt;&gt;"",J462="Pending"),TODAY()-A462,"")</f>
        <v/>
      </c>
    </row>
    <row r="463">
      <c r="A463" s="16" t="n"/>
      <c r="B463" s="15" t="n"/>
      <c r="C463" s="15" t="n"/>
      <c r="D463" s="17">
        <f>IF($C463="","",IFERROR(INDEX(สินค้า!$A$5:$A$204,MATCH($C463,สินค้า!$B$5:$B$204,0)),"ไม่พบสินค้า"))</f>
        <v/>
      </c>
      <c r="E463" s="17">
        <f>IF($C463="","",IFERROR(INDEX(สินค้า!$C$5:$C$204,MATCH($C463,สินค้า!$B$5:$B$204,0)),"ไม่พบสินค้า"))</f>
        <v/>
      </c>
      <c r="F463" s="17">
        <f>IF($C463="","",IFERROR(INDEX(สินค้า!$D$5:$D$204,MATCH($C463,สินค้า!$B$5:$B$204,0)),"ไม่พบสินค้า"))</f>
        <v/>
      </c>
      <c r="G463" s="15" t="n"/>
      <c r="H463" s="15" t="n"/>
      <c r="I463" s="18">
        <f>IF(AND(ISNUMBER(G463),ISNUMBER(H463),G463&gt;0),H463/G463,"")</f>
        <v/>
      </c>
      <c r="J463" s="15" t="n"/>
      <c r="K463" s="15" t="n"/>
      <c r="L463" s="17">
        <f>IF(A463="","",TEXT(A463,"yyyy-mm"))</f>
        <v/>
      </c>
      <c r="M463" s="17">
        <f>IF(AND(A463&lt;&gt;"",J463="Pending"),TODAY()-A463,"")</f>
        <v/>
      </c>
    </row>
    <row r="464">
      <c r="A464" s="16" t="n"/>
      <c r="B464" s="15" t="n"/>
      <c r="C464" s="15" t="n"/>
      <c r="D464" s="17">
        <f>IF($C464="","",IFERROR(INDEX(สินค้า!$A$5:$A$204,MATCH($C464,สินค้า!$B$5:$B$204,0)),"ไม่พบสินค้า"))</f>
        <v/>
      </c>
      <c r="E464" s="17">
        <f>IF($C464="","",IFERROR(INDEX(สินค้า!$C$5:$C$204,MATCH($C464,สินค้า!$B$5:$B$204,0)),"ไม่พบสินค้า"))</f>
        <v/>
      </c>
      <c r="F464" s="17">
        <f>IF($C464="","",IFERROR(INDEX(สินค้า!$D$5:$D$204,MATCH($C464,สินค้า!$B$5:$B$204,0)),"ไม่พบสินค้า"))</f>
        <v/>
      </c>
      <c r="G464" s="15" t="n"/>
      <c r="H464" s="15" t="n"/>
      <c r="I464" s="18">
        <f>IF(AND(ISNUMBER(G464),ISNUMBER(H464),G464&gt;0),H464/G464,"")</f>
        <v/>
      </c>
      <c r="J464" s="15" t="n"/>
      <c r="K464" s="15" t="n"/>
      <c r="L464" s="17">
        <f>IF(A464="","",TEXT(A464,"yyyy-mm"))</f>
        <v/>
      </c>
      <c r="M464" s="17">
        <f>IF(AND(A464&lt;&gt;"",J464="Pending"),TODAY()-A464,"")</f>
        <v/>
      </c>
    </row>
    <row r="465">
      <c r="A465" s="16" t="n"/>
      <c r="B465" s="15" t="n"/>
      <c r="C465" s="15" t="n"/>
      <c r="D465" s="17">
        <f>IF($C465="","",IFERROR(INDEX(สินค้า!$A$5:$A$204,MATCH($C465,สินค้า!$B$5:$B$204,0)),"ไม่พบสินค้า"))</f>
        <v/>
      </c>
      <c r="E465" s="17">
        <f>IF($C465="","",IFERROR(INDEX(สินค้า!$C$5:$C$204,MATCH($C465,สินค้า!$B$5:$B$204,0)),"ไม่พบสินค้า"))</f>
        <v/>
      </c>
      <c r="F465" s="17">
        <f>IF($C465="","",IFERROR(INDEX(สินค้า!$D$5:$D$204,MATCH($C465,สินค้า!$B$5:$B$204,0)),"ไม่พบสินค้า"))</f>
        <v/>
      </c>
      <c r="G465" s="15" t="n"/>
      <c r="H465" s="15" t="n"/>
      <c r="I465" s="18">
        <f>IF(AND(ISNUMBER(G465),ISNUMBER(H465),G465&gt;0),H465/G465,"")</f>
        <v/>
      </c>
      <c r="J465" s="15" t="n"/>
      <c r="K465" s="15" t="n"/>
      <c r="L465" s="17">
        <f>IF(A465="","",TEXT(A465,"yyyy-mm"))</f>
        <v/>
      </c>
      <c r="M465" s="17">
        <f>IF(AND(A465&lt;&gt;"",J465="Pending"),TODAY()-A465,"")</f>
        <v/>
      </c>
    </row>
    <row r="466">
      <c r="A466" s="16" t="n"/>
      <c r="B466" s="15" t="n"/>
      <c r="C466" s="15" t="n"/>
      <c r="D466" s="17">
        <f>IF($C466="","",IFERROR(INDEX(สินค้า!$A$5:$A$204,MATCH($C466,สินค้า!$B$5:$B$204,0)),"ไม่พบสินค้า"))</f>
        <v/>
      </c>
      <c r="E466" s="17">
        <f>IF($C466="","",IFERROR(INDEX(สินค้า!$C$5:$C$204,MATCH($C466,สินค้า!$B$5:$B$204,0)),"ไม่พบสินค้า"))</f>
        <v/>
      </c>
      <c r="F466" s="17">
        <f>IF($C466="","",IFERROR(INDEX(สินค้า!$D$5:$D$204,MATCH($C466,สินค้า!$B$5:$B$204,0)),"ไม่พบสินค้า"))</f>
        <v/>
      </c>
      <c r="G466" s="15" t="n"/>
      <c r="H466" s="15" t="n"/>
      <c r="I466" s="18">
        <f>IF(AND(ISNUMBER(G466),ISNUMBER(H466),G466&gt;0),H466/G466,"")</f>
        <v/>
      </c>
      <c r="J466" s="15" t="n"/>
      <c r="K466" s="15" t="n"/>
      <c r="L466" s="17">
        <f>IF(A466="","",TEXT(A466,"yyyy-mm"))</f>
        <v/>
      </c>
      <c r="M466" s="17">
        <f>IF(AND(A466&lt;&gt;"",J466="Pending"),TODAY()-A466,"")</f>
        <v/>
      </c>
    </row>
    <row r="467">
      <c r="A467" s="16" t="n"/>
      <c r="B467" s="15" t="n"/>
      <c r="C467" s="15" t="n"/>
      <c r="D467" s="17">
        <f>IF($C467="","",IFERROR(INDEX(สินค้า!$A$5:$A$204,MATCH($C467,สินค้า!$B$5:$B$204,0)),"ไม่พบสินค้า"))</f>
        <v/>
      </c>
      <c r="E467" s="17">
        <f>IF($C467="","",IFERROR(INDEX(สินค้า!$C$5:$C$204,MATCH($C467,สินค้า!$B$5:$B$204,0)),"ไม่พบสินค้า"))</f>
        <v/>
      </c>
      <c r="F467" s="17">
        <f>IF($C467="","",IFERROR(INDEX(สินค้า!$D$5:$D$204,MATCH($C467,สินค้า!$B$5:$B$204,0)),"ไม่พบสินค้า"))</f>
        <v/>
      </c>
      <c r="G467" s="15" t="n"/>
      <c r="H467" s="15" t="n"/>
      <c r="I467" s="18">
        <f>IF(AND(ISNUMBER(G467),ISNUMBER(H467),G467&gt;0),H467/G467,"")</f>
        <v/>
      </c>
      <c r="J467" s="15" t="n"/>
      <c r="K467" s="15" t="n"/>
      <c r="L467" s="17">
        <f>IF(A467="","",TEXT(A467,"yyyy-mm"))</f>
        <v/>
      </c>
      <c r="M467" s="17">
        <f>IF(AND(A467&lt;&gt;"",J467="Pending"),TODAY()-A467,"")</f>
        <v/>
      </c>
    </row>
    <row r="468">
      <c r="A468" s="16" t="n"/>
      <c r="B468" s="15" t="n"/>
      <c r="C468" s="15" t="n"/>
      <c r="D468" s="17">
        <f>IF($C468="","",IFERROR(INDEX(สินค้า!$A$5:$A$204,MATCH($C468,สินค้า!$B$5:$B$204,0)),"ไม่พบสินค้า"))</f>
        <v/>
      </c>
      <c r="E468" s="17">
        <f>IF($C468="","",IFERROR(INDEX(สินค้า!$C$5:$C$204,MATCH($C468,สินค้า!$B$5:$B$204,0)),"ไม่พบสินค้า"))</f>
        <v/>
      </c>
      <c r="F468" s="17">
        <f>IF($C468="","",IFERROR(INDEX(สินค้า!$D$5:$D$204,MATCH($C468,สินค้า!$B$5:$B$204,0)),"ไม่พบสินค้า"))</f>
        <v/>
      </c>
      <c r="G468" s="15" t="n"/>
      <c r="H468" s="15" t="n"/>
      <c r="I468" s="18">
        <f>IF(AND(ISNUMBER(G468),ISNUMBER(H468),G468&gt;0),H468/G468,"")</f>
        <v/>
      </c>
      <c r="J468" s="15" t="n"/>
      <c r="K468" s="15" t="n"/>
      <c r="L468" s="17">
        <f>IF(A468="","",TEXT(A468,"yyyy-mm"))</f>
        <v/>
      </c>
      <c r="M468" s="17">
        <f>IF(AND(A468&lt;&gt;"",J468="Pending"),TODAY()-A468,"")</f>
        <v/>
      </c>
    </row>
    <row r="469">
      <c r="A469" s="16" t="n"/>
      <c r="B469" s="15" t="n"/>
      <c r="C469" s="15" t="n"/>
      <c r="D469" s="17">
        <f>IF($C469="","",IFERROR(INDEX(สินค้า!$A$5:$A$204,MATCH($C469,สินค้า!$B$5:$B$204,0)),"ไม่พบสินค้า"))</f>
        <v/>
      </c>
      <c r="E469" s="17">
        <f>IF($C469="","",IFERROR(INDEX(สินค้า!$C$5:$C$204,MATCH($C469,สินค้า!$B$5:$B$204,0)),"ไม่พบสินค้า"))</f>
        <v/>
      </c>
      <c r="F469" s="17">
        <f>IF($C469="","",IFERROR(INDEX(สินค้า!$D$5:$D$204,MATCH($C469,สินค้า!$B$5:$B$204,0)),"ไม่พบสินค้า"))</f>
        <v/>
      </c>
      <c r="G469" s="15" t="n"/>
      <c r="H469" s="15" t="n"/>
      <c r="I469" s="18">
        <f>IF(AND(ISNUMBER(G469),ISNUMBER(H469),G469&gt;0),H469/G469,"")</f>
        <v/>
      </c>
      <c r="J469" s="15" t="n"/>
      <c r="K469" s="15" t="n"/>
      <c r="L469" s="17">
        <f>IF(A469="","",TEXT(A469,"yyyy-mm"))</f>
        <v/>
      </c>
      <c r="M469" s="17">
        <f>IF(AND(A469&lt;&gt;"",J469="Pending"),TODAY()-A469,"")</f>
        <v/>
      </c>
    </row>
    <row r="470">
      <c r="A470" s="16" t="n"/>
      <c r="B470" s="15" t="n"/>
      <c r="C470" s="15" t="n"/>
      <c r="D470" s="17">
        <f>IF($C470="","",IFERROR(INDEX(สินค้า!$A$5:$A$204,MATCH($C470,สินค้า!$B$5:$B$204,0)),"ไม่พบสินค้า"))</f>
        <v/>
      </c>
      <c r="E470" s="17">
        <f>IF($C470="","",IFERROR(INDEX(สินค้า!$C$5:$C$204,MATCH($C470,สินค้า!$B$5:$B$204,0)),"ไม่พบสินค้า"))</f>
        <v/>
      </c>
      <c r="F470" s="17">
        <f>IF($C470="","",IFERROR(INDEX(สินค้า!$D$5:$D$204,MATCH($C470,สินค้า!$B$5:$B$204,0)),"ไม่พบสินค้า"))</f>
        <v/>
      </c>
      <c r="G470" s="15" t="n"/>
      <c r="H470" s="15" t="n"/>
      <c r="I470" s="18">
        <f>IF(AND(ISNUMBER(G470),ISNUMBER(H470),G470&gt;0),H470/G470,"")</f>
        <v/>
      </c>
      <c r="J470" s="15" t="n"/>
      <c r="K470" s="15" t="n"/>
      <c r="L470" s="17">
        <f>IF(A470="","",TEXT(A470,"yyyy-mm"))</f>
        <v/>
      </c>
      <c r="M470" s="17">
        <f>IF(AND(A470&lt;&gt;"",J470="Pending"),TODAY()-A470,"")</f>
        <v/>
      </c>
    </row>
    <row r="471">
      <c r="A471" s="16" t="n"/>
      <c r="B471" s="15" t="n"/>
      <c r="C471" s="15" t="n"/>
      <c r="D471" s="17">
        <f>IF($C471="","",IFERROR(INDEX(สินค้า!$A$5:$A$204,MATCH($C471,สินค้า!$B$5:$B$204,0)),"ไม่พบสินค้า"))</f>
        <v/>
      </c>
      <c r="E471" s="17">
        <f>IF($C471="","",IFERROR(INDEX(สินค้า!$C$5:$C$204,MATCH($C471,สินค้า!$B$5:$B$204,0)),"ไม่พบสินค้า"))</f>
        <v/>
      </c>
      <c r="F471" s="17">
        <f>IF($C471="","",IFERROR(INDEX(สินค้า!$D$5:$D$204,MATCH($C471,สินค้า!$B$5:$B$204,0)),"ไม่พบสินค้า"))</f>
        <v/>
      </c>
      <c r="G471" s="15" t="n"/>
      <c r="H471" s="15" t="n"/>
      <c r="I471" s="18">
        <f>IF(AND(ISNUMBER(G471),ISNUMBER(H471),G471&gt;0),H471/G471,"")</f>
        <v/>
      </c>
      <c r="J471" s="15" t="n"/>
      <c r="K471" s="15" t="n"/>
      <c r="L471" s="17">
        <f>IF(A471="","",TEXT(A471,"yyyy-mm"))</f>
        <v/>
      </c>
      <c r="M471" s="17">
        <f>IF(AND(A471&lt;&gt;"",J471="Pending"),TODAY()-A471,"")</f>
        <v/>
      </c>
    </row>
    <row r="472">
      <c r="A472" s="16" t="n"/>
      <c r="B472" s="15" t="n"/>
      <c r="C472" s="15" t="n"/>
      <c r="D472" s="17">
        <f>IF($C472="","",IFERROR(INDEX(สินค้า!$A$5:$A$204,MATCH($C472,สินค้า!$B$5:$B$204,0)),"ไม่พบสินค้า"))</f>
        <v/>
      </c>
      <c r="E472" s="17">
        <f>IF($C472="","",IFERROR(INDEX(สินค้า!$C$5:$C$204,MATCH($C472,สินค้า!$B$5:$B$204,0)),"ไม่พบสินค้า"))</f>
        <v/>
      </c>
      <c r="F472" s="17">
        <f>IF($C472="","",IFERROR(INDEX(สินค้า!$D$5:$D$204,MATCH($C472,สินค้า!$B$5:$B$204,0)),"ไม่พบสินค้า"))</f>
        <v/>
      </c>
      <c r="G472" s="15" t="n"/>
      <c r="H472" s="15" t="n"/>
      <c r="I472" s="18">
        <f>IF(AND(ISNUMBER(G472),ISNUMBER(H472),G472&gt;0),H472/G472,"")</f>
        <v/>
      </c>
      <c r="J472" s="15" t="n"/>
      <c r="K472" s="15" t="n"/>
      <c r="L472" s="17">
        <f>IF(A472="","",TEXT(A472,"yyyy-mm"))</f>
        <v/>
      </c>
      <c r="M472" s="17">
        <f>IF(AND(A472&lt;&gt;"",J472="Pending"),TODAY()-A472,"")</f>
        <v/>
      </c>
    </row>
    <row r="473">
      <c r="A473" s="16" t="n"/>
      <c r="B473" s="15" t="n"/>
      <c r="C473" s="15" t="n"/>
      <c r="D473" s="17">
        <f>IF($C473="","",IFERROR(INDEX(สินค้า!$A$5:$A$204,MATCH($C473,สินค้า!$B$5:$B$204,0)),"ไม่พบสินค้า"))</f>
        <v/>
      </c>
      <c r="E473" s="17">
        <f>IF($C473="","",IFERROR(INDEX(สินค้า!$C$5:$C$204,MATCH($C473,สินค้า!$B$5:$B$204,0)),"ไม่พบสินค้า"))</f>
        <v/>
      </c>
      <c r="F473" s="17">
        <f>IF($C473="","",IFERROR(INDEX(สินค้า!$D$5:$D$204,MATCH($C473,สินค้า!$B$5:$B$204,0)),"ไม่พบสินค้า"))</f>
        <v/>
      </c>
      <c r="G473" s="15" t="n"/>
      <c r="H473" s="15" t="n"/>
      <c r="I473" s="18">
        <f>IF(AND(ISNUMBER(G473),ISNUMBER(H473),G473&gt;0),H473/G473,"")</f>
        <v/>
      </c>
      <c r="J473" s="15" t="n"/>
      <c r="K473" s="15" t="n"/>
      <c r="L473" s="17">
        <f>IF(A473="","",TEXT(A473,"yyyy-mm"))</f>
        <v/>
      </c>
      <c r="M473" s="17">
        <f>IF(AND(A473&lt;&gt;"",J473="Pending"),TODAY()-A473,"")</f>
        <v/>
      </c>
    </row>
    <row r="474">
      <c r="A474" s="16" t="n"/>
      <c r="B474" s="15" t="n"/>
      <c r="C474" s="15" t="n"/>
      <c r="D474" s="17">
        <f>IF($C474="","",IFERROR(INDEX(สินค้า!$A$5:$A$204,MATCH($C474,สินค้า!$B$5:$B$204,0)),"ไม่พบสินค้า"))</f>
        <v/>
      </c>
      <c r="E474" s="17">
        <f>IF($C474="","",IFERROR(INDEX(สินค้า!$C$5:$C$204,MATCH($C474,สินค้า!$B$5:$B$204,0)),"ไม่พบสินค้า"))</f>
        <v/>
      </c>
      <c r="F474" s="17">
        <f>IF($C474="","",IFERROR(INDEX(สินค้า!$D$5:$D$204,MATCH($C474,สินค้า!$B$5:$B$204,0)),"ไม่พบสินค้า"))</f>
        <v/>
      </c>
      <c r="G474" s="15" t="n"/>
      <c r="H474" s="15" t="n"/>
      <c r="I474" s="18">
        <f>IF(AND(ISNUMBER(G474),ISNUMBER(H474),G474&gt;0),H474/G474,"")</f>
        <v/>
      </c>
      <c r="J474" s="15" t="n"/>
      <c r="K474" s="15" t="n"/>
      <c r="L474" s="17">
        <f>IF(A474="","",TEXT(A474,"yyyy-mm"))</f>
        <v/>
      </c>
      <c r="M474" s="17">
        <f>IF(AND(A474&lt;&gt;"",J474="Pending"),TODAY()-A474,"")</f>
        <v/>
      </c>
    </row>
    <row r="475">
      <c r="A475" s="16" t="n"/>
      <c r="B475" s="15" t="n"/>
      <c r="C475" s="15" t="n"/>
      <c r="D475" s="17">
        <f>IF($C475="","",IFERROR(INDEX(สินค้า!$A$5:$A$204,MATCH($C475,สินค้า!$B$5:$B$204,0)),"ไม่พบสินค้า"))</f>
        <v/>
      </c>
      <c r="E475" s="17">
        <f>IF($C475="","",IFERROR(INDEX(สินค้า!$C$5:$C$204,MATCH($C475,สินค้า!$B$5:$B$204,0)),"ไม่พบสินค้า"))</f>
        <v/>
      </c>
      <c r="F475" s="17">
        <f>IF($C475="","",IFERROR(INDEX(สินค้า!$D$5:$D$204,MATCH($C475,สินค้า!$B$5:$B$204,0)),"ไม่พบสินค้า"))</f>
        <v/>
      </c>
      <c r="G475" s="15" t="n"/>
      <c r="H475" s="15" t="n"/>
      <c r="I475" s="18">
        <f>IF(AND(ISNUMBER(G475),ISNUMBER(H475),G475&gt;0),H475/G475,"")</f>
        <v/>
      </c>
      <c r="J475" s="15" t="n"/>
      <c r="K475" s="15" t="n"/>
      <c r="L475" s="17">
        <f>IF(A475="","",TEXT(A475,"yyyy-mm"))</f>
        <v/>
      </c>
      <c r="M475" s="17">
        <f>IF(AND(A475&lt;&gt;"",J475="Pending"),TODAY()-A475,"")</f>
        <v/>
      </c>
    </row>
    <row r="476">
      <c r="A476" s="16" t="n"/>
      <c r="B476" s="15" t="n"/>
      <c r="C476" s="15" t="n"/>
      <c r="D476" s="17">
        <f>IF($C476="","",IFERROR(INDEX(สินค้า!$A$5:$A$204,MATCH($C476,สินค้า!$B$5:$B$204,0)),"ไม่พบสินค้า"))</f>
        <v/>
      </c>
      <c r="E476" s="17">
        <f>IF($C476="","",IFERROR(INDEX(สินค้า!$C$5:$C$204,MATCH($C476,สินค้า!$B$5:$B$204,0)),"ไม่พบสินค้า"))</f>
        <v/>
      </c>
      <c r="F476" s="17">
        <f>IF($C476="","",IFERROR(INDEX(สินค้า!$D$5:$D$204,MATCH($C476,สินค้า!$B$5:$B$204,0)),"ไม่พบสินค้า"))</f>
        <v/>
      </c>
      <c r="G476" s="15" t="n"/>
      <c r="H476" s="15" t="n"/>
      <c r="I476" s="18">
        <f>IF(AND(ISNUMBER(G476),ISNUMBER(H476),G476&gt;0),H476/G476,"")</f>
        <v/>
      </c>
      <c r="J476" s="15" t="n"/>
      <c r="K476" s="15" t="n"/>
      <c r="L476" s="17">
        <f>IF(A476="","",TEXT(A476,"yyyy-mm"))</f>
        <v/>
      </c>
      <c r="M476" s="17">
        <f>IF(AND(A476&lt;&gt;"",J476="Pending"),TODAY()-A476,"")</f>
        <v/>
      </c>
    </row>
    <row r="477">
      <c r="A477" s="16" t="n"/>
      <c r="B477" s="15" t="n"/>
      <c r="C477" s="15" t="n"/>
      <c r="D477" s="17">
        <f>IF($C477="","",IFERROR(INDEX(สินค้า!$A$5:$A$204,MATCH($C477,สินค้า!$B$5:$B$204,0)),"ไม่พบสินค้า"))</f>
        <v/>
      </c>
      <c r="E477" s="17">
        <f>IF($C477="","",IFERROR(INDEX(สินค้า!$C$5:$C$204,MATCH($C477,สินค้า!$B$5:$B$204,0)),"ไม่พบสินค้า"))</f>
        <v/>
      </c>
      <c r="F477" s="17">
        <f>IF($C477="","",IFERROR(INDEX(สินค้า!$D$5:$D$204,MATCH($C477,สินค้า!$B$5:$B$204,0)),"ไม่พบสินค้า"))</f>
        <v/>
      </c>
      <c r="G477" s="15" t="n"/>
      <c r="H477" s="15" t="n"/>
      <c r="I477" s="18">
        <f>IF(AND(ISNUMBER(G477),ISNUMBER(H477),G477&gt;0),H477/G477,"")</f>
        <v/>
      </c>
      <c r="J477" s="15" t="n"/>
      <c r="K477" s="15" t="n"/>
      <c r="L477" s="17">
        <f>IF(A477="","",TEXT(A477,"yyyy-mm"))</f>
        <v/>
      </c>
      <c r="M477" s="17">
        <f>IF(AND(A477&lt;&gt;"",J477="Pending"),TODAY()-A477,"")</f>
        <v/>
      </c>
    </row>
    <row r="478">
      <c r="A478" s="16" t="n"/>
      <c r="B478" s="15" t="n"/>
      <c r="C478" s="15" t="n"/>
      <c r="D478" s="17">
        <f>IF($C478="","",IFERROR(INDEX(สินค้า!$A$5:$A$204,MATCH($C478,สินค้า!$B$5:$B$204,0)),"ไม่พบสินค้า"))</f>
        <v/>
      </c>
      <c r="E478" s="17">
        <f>IF($C478="","",IFERROR(INDEX(สินค้า!$C$5:$C$204,MATCH($C478,สินค้า!$B$5:$B$204,0)),"ไม่พบสินค้า"))</f>
        <v/>
      </c>
      <c r="F478" s="17">
        <f>IF($C478="","",IFERROR(INDEX(สินค้า!$D$5:$D$204,MATCH($C478,สินค้า!$B$5:$B$204,0)),"ไม่พบสินค้า"))</f>
        <v/>
      </c>
      <c r="G478" s="15" t="n"/>
      <c r="H478" s="15" t="n"/>
      <c r="I478" s="18">
        <f>IF(AND(ISNUMBER(G478),ISNUMBER(H478),G478&gt;0),H478/G478,"")</f>
        <v/>
      </c>
      <c r="J478" s="15" t="n"/>
      <c r="K478" s="15" t="n"/>
      <c r="L478" s="17">
        <f>IF(A478="","",TEXT(A478,"yyyy-mm"))</f>
        <v/>
      </c>
      <c r="M478" s="17">
        <f>IF(AND(A478&lt;&gt;"",J478="Pending"),TODAY()-A478,"")</f>
        <v/>
      </c>
    </row>
    <row r="479">
      <c r="A479" s="16" t="n"/>
      <c r="B479" s="15" t="n"/>
      <c r="C479" s="15" t="n"/>
      <c r="D479" s="17">
        <f>IF($C479="","",IFERROR(INDEX(สินค้า!$A$5:$A$204,MATCH($C479,สินค้า!$B$5:$B$204,0)),"ไม่พบสินค้า"))</f>
        <v/>
      </c>
      <c r="E479" s="17">
        <f>IF($C479="","",IFERROR(INDEX(สินค้า!$C$5:$C$204,MATCH($C479,สินค้า!$B$5:$B$204,0)),"ไม่พบสินค้า"))</f>
        <v/>
      </c>
      <c r="F479" s="17">
        <f>IF($C479="","",IFERROR(INDEX(สินค้า!$D$5:$D$204,MATCH($C479,สินค้า!$B$5:$B$204,0)),"ไม่พบสินค้า"))</f>
        <v/>
      </c>
      <c r="G479" s="15" t="n"/>
      <c r="H479" s="15" t="n"/>
      <c r="I479" s="18">
        <f>IF(AND(ISNUMBER(G479),ISNUMBER(H479),G479&gt;0),H479/G479,"")</f>
        <v/>
      </c>
      <c r="J479" s="15" t="n"/>
      <c r="K479" s="15" t="n"/>
      <c r="L479" s="17">
        <f>IF(A479="","",TEXT(A479,"yyyy-mm"))</f>
        <v/>
      </c>
      <c r="M479" s="17">
        <f>IF(AND(A479&lt;&gt;"",J479="Pending"),TODAY()-A479,"")</f>
        <v/>
      </c>
    </row>
    <row r="480">
      <c r="A480" s="16" t="n"/>
      <c r="B480" s="15" t="n"/>
      <c r="C480" s="15" t="n"/>
      <c r="D480" s="17">
        <f>IF($C480="","",IFERROR(INDEX(สินค้า!$A$5:$A$204,MATCH($C480,สินค้า!$B$5:$B$204,0)),"ไม่พบสินค้า"))</f>
        <v/>
      </c>
      <c r="E480" s="17">
        <f>IF($C480="","",IFERROR(INDEX(สินค้า!$C$5:$C$204,MATCH($C480,สินค้า!$B$5:$B$204,0)),"ไม่พบสินค้า"))</f>
        <v/>
      </c>
      <c r="F480" s="17">
        <f>IF($C480="","",IFERROR(INDEX(สินค้า!$D$5:$D$204,MATCH($C480,สินค้า!$B$5:$B$204,0)),"ไม่พบสินค้า"))</f>
        <v/>
      </c>
      <c r="G480" s="15" t="n"/>
      <c r="H480" s="15" t="n"/>
      <c r="I480" s="18">
        <f>IF(AND(ISNUMBER(G480),ISNUMBER(H480),G480&gt;0),H480/G480,"")</f>
        <v/>
      </c>
      <c r="J480" s="15" t="n"/>
      <c r="K480" s="15" t="n"/>
      <c r="L480" s="17">
        <f>IF(A480="","",TEXT(A480,"yyyy-mm"))</f>
        <v/>
      </c>
      <c r="M480" s="17">
        <f>IF(AND(A480&lt;&gt;"",J480="Pending"),TODAY()-A480,"")</f>
        <v/>
      </c>
    </row>
    <row r="481">
      <c r="A481" s="16" t="n"/>
      <c r="B481" s="15" t="n"/>
      <c r="C481" s="15" t="n"/>
      <c r="D481" s="17">
        <f>IF($C481="","",IFERROR(INDEX(สินค้า!$A$5:$A$204,MATCH($C481,สินค้า!$B$5:$B$204,0)),"ไม่พบสินค้า"))</f>
        <v/>
      </c>
      <c r="E481" s="17">
        <f>IF($C481="","",IFERROR(INDEX(สินค้า!$C$5:$C$204,MATCH($C481,สินค้า!$B$5:$B$204,0)),"ไม่พบสินค้า"))</f>
        <v/>
      </c>
      <c r="F481" s="17">
        <f>IF($C481="","",IFERROR(INDEX(สินค้า!$D$5:$D$204,MATCH($C481,สินค้า!$B$5:$B$204,0)),"ไม่พบสินค้า"))</f>
        <v/>
      </c>
      <c r="G481" s="15" t="n"/>
      <c r="H481" s="15" t="n"/>
      <c r="I481" s="18">
        <f>IF(AND(ISNUMBER(G481),ISNUMBER(H481),G481&gt;0),H481/G481,"")</f>
        <v/>
      </c>
      <c r="J481" s="15" t="n"/>
      <c r="K481" s="15" t="n"/>
      <c r="L481" s="17">
        <f>IF(A481="","",TEXT(A481,"yyyy-mm"))</f>
        <v/>
      </c>
      <c r="M481" s="17">
        <f>IF(AND(A481&lt;&gt;"",J481="Pending"),TODAY()-A481,"")</f>
        <v/>
      </c>
    </row>
    <row r="482">
      <c r="A482" s="16" t="n"/>
      <c r="B482" s="15" t="n"/>
      <c r="C482" s="15" t="n"/>
      <c r="D482" s="17">
        <f>IF($C482="","",IFERROR(INDEX(สินค้า!$A$5:$A$204,MATCH($C482,สินค้า!$B$5:$B$204,0)),"ไม่พบสินค้า"))</f>
        <v/>
      </c>
      <c r="E482" s="17">
        <f>IF($C482="","",IFERROR(INDEX(สินค้า!$C$5:$C$204,MATCH($C482,สินค้า!$B$5:$B$204,0)),"ไม่พบสินค้า"))</f>
        <v/>
      </c>
      <c r="F482" s="17">
        <f>IF($C482="","",IFERROR(INDEX(สินค้า!$D$5:$D$204,MATCH($C482,สินค้า!$B$5:$B$204,0)),"ไม่พบสินค้า"))</f>
        <v/>
      </c>
      <c r="G482" s="15" t="n"/>
      <c r="H482" s="15" t="n"/>
      <c r="I482" s="18">
        <f>IF(AND(ISNUMBER(G482),ISNUMBER(H482),G482&gt;0),H482/G482,"")</f>
        <v/>
      </c>
      <c r="J482" s="15" t="n"/>
      <c r="K482" s="15" t="n"/>
      <c r="L482" s="17">
        <f>IF(A482="","",TEXT(A482,"yyyy-mm"))</f>
        <v/>
      </c>
      <c r="M482" s="17">
        <f>IF(AND(A482&lt;&gt;"",J482="Pending"),TODAY()-A482,"")</f>
        <v/>
      </c>
    </row>
    <row r="483">
      <c r="A483" s="16" t="n"/>
      <c r="B483" s="15" t="n"/>
      <c r="C483" s="15" t="n"/>
      <c r="D483" s="17">
        <f>IF($C483="","",IFERROR(INDEX(สินค้า!$A$5:$A$204,MATCH($C483,สินค้า!$B$5:$B$204,0)),"ไม่พบสินค้า"))</f>
        <v/>
      </c>
      <c r="E483" s="17">
        <f>IF($C483="","",IFERROR(INDEX(สินค้า!$C$5:$C$204,MATCH($C483,สินค้า!$B$5:$B$204,0)),"ไม่พบสินค้า"))</f>
        <v/>
      </c>
      <c r="F483" s="17">
        <f>IF($C483="","",IFERROR(INDEX(สินค้า!$D$5:$D$204,MATCH($C483,สินค้า!$B$5:$B$204,0)),"ไม่พบสินค้า"))</f>
        <v/>
      </c>
      <c r="G483" s="15" t="n"/>
      <c r="H483" s="15" t="n"/>
      <c r="I483" s="18">
        <f>IF(AND(ISNUMBER(G483),ISNUMBER(H483),G483&gt;0),H483/G483,"")</f>
        <v/>
      </c>
      <c r="J483" s="15" t="n"/>
      <c r="K483" s="15" t="n"/>
      <c r="L483" s="17">
        <f>IF(A483="","",TEXT(A483,"yyyy-mm"))</f>
        <v/>
      </c>
      <c r="M483" s="17">
        <f>IF(AND(A483&lt;&gt;"",J483="Pending"),TODAY()-A483,"")</f>
        <v/>
      </c>
    </row>
    <row r="484">
      <c r="A484" s="16" t="n"/>
      <c r="B484" s="15" t="n"/>
      <c r="C484" s="15" t="n"/>
      <c r="D484" s="17">
        <f>IF($C484="","",IFERROR(INDEX(สินค้า!$A$5:$A$204,MATCH($C484,สินค้า!$B$5:$B$204,0)),"ไม่พบสินค้า"))</f>
        <v/>
      </c>
      <c r="E484" s="17">
        <f>IF($C484="","",IFERROR(INDEX(สินค้า!$C$5:$C$204,MATCH($C484,สินค้า!$B$5:$B$204,0)),"ไม่พบสินค้า"))</f>
        <v/>
      </c>
      <c r="F484" s="17">
        <f>IF($C484="","",IFERROR(INDEX(สินค้า!$D$5:$D$204,MATCH($C484,สินค้า!$B$5:$B$204,0)),"ไม่พบสินค้า"))</f>
        <v/>
      </c>
      <c r="G484" s="15" t="n"/>
      <c r="H484" s="15" t="n"/>
      <c r="I484" s="18">
        <f>IF(AND(ISNUMBER(G484),ISNUMBER(H484),G484&gt;0),H484/G484,"")</f>
        <v/>
      </c>
      <c r="J484" s="15" t="n"/>
      <c r="K484" s="15" t="n"/>
      <c r="L484" s="17">
        <f>IF(A484="","",TEXT(A484,"yyyy-mm"))</f>
        <v/>
      </c>
      <c r="M484" s="17">
        <f>IF(AND(A484&lt;&gt;"",J484="Pending"),TODAY()-A484,"")</f>
        <v/>
      </c>
    </row>
    <row r="485">
      <c r="A485" s="16" t="n"/>
      <c r="B485" s="15" t="n"/>
      <c r="C485" s="15" t="n"/>
      <c r="D485" s="17">
        <f>IF($C485="","",IFERROR(INDEX(สินค้า!$A$5:$A$204,MATCH($C485,สินค้า!$B$5:$B$204,0)),"ไม่พบสินค้า"))</f>
        <v/>
      </c>
      <c r="E485" s="17">
        <f>IF($C485="","",IFERROR(INDEX(สินค้า!$C$5:$C$204,MATCH($C485,สินค้า!$B$5:$B$204,0)),"ไม่พบสินค้า"))</f>
        <v/>
      </c>
      <c r="F485" s="17">
        <f>IF($C485="","",IFERROR(INDEX(สินค้า!$D$5:$D$204,MATCH($C485,สินค้า!$B$5:$B$204,0)),"ไม่พบสินค้า"))</f>
        <v/>
      </c>
      <c r="G485" s="15" t="n"/>
      <c r="H485" s="15" t="n"/>
      <c r="I485" s="18">
        <f>IF(AND(ISNUMBER(G485),ISNUMBER(H485),G485&gt;0),H485/G485,"")</f>
        <v/>
      </c>
      <c r="J485" s="15" t="n"/>
      <c r="K485" s="15" t="n"/>
      <c r="L485" s="17">
        <f>IF(A485="","",TEXT(A485,"yyyy-mm"))</f>
        <v/>
      </c>
      <c r="M485" s="17">
        <f>IF(AND(A485&lt;&gt;"",J485="Pending"),TODAY()-A485,"")</f>
        <v/>
      </c>
    </row>
    <row r="486">
      <c r="A486" s="16" t="n"/>
      <c r="B486" s="15" t="n"/>
      <c r="C486" s="15" t="n"/>
      <c r="D486" s="17">
        <f>IF($C486="","",IFERROR(INDEX(สินค้า!$A$5:$A$204,MATCH($C486,สินค้า!$B$5:$B$204,0)),"ไม่พบสินค้า"))</f>
        <v/>
      </c>
      <c r="E486" s="17">
        <f>IF($C486="","",IFERROR(INDEX(สินค้า!$C$5:$C$204,MATCH($C486,สินค้า!$B$5:$B$204,0)),"ไม่พบสินค้า"))</f>
        <v/>
      </c>
      <c r="F486" s="17">
        <f>IF($C486="","",IFERROR(INDEX(สินค้า!$D$5:$D$204,MATCH($C486,สินค้า!$B$5:$B$204,0)),"ไม่พบสินค้า"))</f>
        <v/>
      </c>
      <c r="G486" s="15" t="n"/>
      <c r="H486" s="15" t="n"/>
      <c r="I486" s="18">
        <f>IF(AND(ISNUMBER(G486),ISNUMBER(H486),G486&gt;0),H486/G486,"")</f>
        <v/>
      </c>
      <c r="J486" s="15" t="n"/>
      <c r="K486" s="15" t="n"/>
      <c r="L486" s="17">
        <f>IF(A486="","",TEXT(A486,"yyyy-mm"))</f>
        <v/>
      </c>
      <c r="M486" s="17">
        <f>IF(AND(A486&lt;&gt;"",J486="Pending"),TODAY()-A486,"")</f>
        <v/>
      </c>
    </row>
    <row r="487">
      <c r="A487" s="16" t="n"/>
      <c r="B487" s="15" t="n"/>
      <c r="C487" s="15" t="n"/>
      <c r="D487" s="17">
        <f>IF($C487="","",IFERROR(INDEX(สินค้า!$A$5:$A$204,MATCH($C487,สินค้า!$B$5:$B$204,0)),"ไม่พบสินค้า"))</f>
        <v/>
      </c>
      <c r="E487" s="17">
        <f>IF($C487="","",IFERROR(INDEX(สินค้า!$C$5:$C$204,MATCH($C487,สินค้า!$B$5:$B$204,0)),"ไม่พบสินค้า"))</f>
        <v/>
      </c>
      <c r="F487" s="17">
        <f>IF($C487="","",IFERROR(INDEX(สินค้า!$D$5:$D$204,MATCH($C487,สินค้า!$B$5:$B$204,0)),"ไม่พบสินค้า"))</f>
        <v/>
      </c>
      <c r="G487" s="15" t="n"/>
      <c r="H487" s="15" t="n"/>
      <c r="I487" s="18">
        <f>IF(AND(ISNUMBER(G487),ISNUMBER(H487),G487&gt;0),H487/G487,"")</f>
        <v/>
      </c>
      <c r="J487" s="15" t="n"/>
      <c r="K487" s="15" t="n"/>
      <c r="L487" s="17">
        <f>IF(A487="","",TEXT(A487,"yyyy-mm"))</f>
        <v/>
      </c>
      <c r="M487" s="17">
        <f>IF(AND(A487&lt;&gt;"",J487="Pending"),TODAY()-A487,"")</f>
        <v/>
      </c>
    </row>
    <row r="488">
      <c r="A488" s="16" t="n"/>
      <c r="B488" s="15" t="n"/>
      <c r="C488" s="15" t="n"/>
      <c r="D488" s="17">
        <f>IF($C488="","",IFERROR(INDEX(สินค้า!$A$5:$A$204,MATCH($C488,สินค้า!$B$5:$B$204,0)),"ไม่พบสินค้า"))</f>
        <v/>
      </c>
      <c r="E488" s="17">
        <f>IF($C488="","",IFERROR(INDEX(สินค้า!$C$5:$C$204,MATCH($C488,สินค้า!$B$5:$B$204,0)),"ไม่พบสินค้า"))</f>
        <v/>
      </c>
      <c r="F488" s="17">
        <f>IF($C488="","",IFERROR(INDEX(สินค้า!$D$5:$D$204,MATCH($C488,สินค้า!$B$5:$B$204,0)),"ไม่พบสินค้า"))</f>
        <v/>
      </c>
      <c r="G488" s="15" t="n"/>
      <c r="H488" s="15" t="n"/>
      <c r="I488" s="18">
        <f>IF(AND(ISNUMBER(G488),ISNUMBER(H488),G488&gt;0),H488/G488,"")</f>
        <v/>
      </c>
      <c r="J488" s="15" t="n"/>
      <c r="K488" s="15" t="n"/>
      <c r="L488" s="17">
        <f>IF(A488="","",TEXT(A488,"yyyy-mm"))</f>
        <v/>
      </c>
      <c r="M488" s="17">
        <f>IF(AND(A488&lt;&gt;"",J488="Pending"),TODAY()-A488,"")</f>
        <v/>
      </c>
    </row>
    <row r="489">
      <c r="A489" s="16" t="n"/>
      <c r="B489" s="15" t="n"/>
      <c r="C489" s="15" t="n"/>
      <c r="D489" s="17">
        <f>IF($C489="","",IFERROR(INDEX(สินค้า!$A$5:$A$204,MATCH($C489,สินค้า!$B$5:$B$204,0)),"ไม่พบสินค้า"))</f>
        <v/>
      </c>
      <c r="E489" s="17">
        <f>IF($C489="","",IFERROR(INDEX(สินค้า!$C$5:$C$204,MATCH($C489,สินค้า!$B$5:$B$204,0)),"ไม่พบสินค้า"))</f>
        <v/>
      </c>
      <c r="F489" s="17">
        <f>IF($C489="","",IFERROR(INDEX(สินค้า!$D$5:$D$204,MATCH($C489,สินค้า!$B$5:$B$204,0)),"ไม่พบสินค้า"))</f>
        <v/>
      </c>
      <c r="G489" s="15" t="n"/>
      <c r="H489" s="15" t="n"/>
      <c r="I489" s="18">
        <f>IF(AND(ISNUMBER(G489),ISNUMBER(H489),G489&gt;0),H489/G489,"")</f>
        <v/>
      </c>
      <c r="J489" s="15" t="n"/>
      <c r="K489" s="15" t="n"/>
      <c r="L489" s="17">
        <f>IF(A489="","",TEXT(A489,"yyyy-mm"))</f>
        <v/>
      </c>
      <c r="M489" s="17">
        <f>IF(AND(A489&lt;&gt;"",J489="Pending"),TODAY()-A489,"")</f>
        <v/>
      </c>
    </row>
    <row r="490">
      <c r="A490" s="16" t="n"/>
      <c r="B490" s="15" t="n"/>
      <c r="C490" s="15" t="n"/>
      <c r="D490" s="17">
        <f>IF($C490="","",IFERROR(INDEX(สินค้า!$A$5:$A$204,MATCH($C490,สินค้า!$B$5:$B$204,0)),"ไม่พบสินค้า"))</f>
        <v/>
      </c>
      <c r="E490" s="17">
        <f>IF($C490="","",IFERROR(INDEX(สินค้า!$C$5:$C$204,MATCH($C490,สินค้า!$B$5:$B$204,0)),"ไม่พบสินค้า"))</f>
        <v/>
      </c>
      <c r="F490" s="17">
        <f>IF($C490="","",IFERROR(INDEX(สินค้า!$D$5:$D$204,MATCH($C490,สินค้า!$B$5:$B$204,0)),"ไม่พบสินค้า"))</f>
        <v/>
      </c>
      <c r="G490" s="15" t="n"/>
      <c r="H490" s="15" t="n"/>
      <c r="I490" s="18">
        <f>IF(AND(ISNUMBER(G490),ISNUMBER(H490),G490&gt;0),H490/G490,"")</f>
        <v/>
      </c>
      <c r="J490" s="15" t="n"/>
      <c r="K490" s="15" t="n"/>
      <c r="L490" s="17">
        <f>IF(A490="","",TEXT(A490,"yyyy-mm"))</f>
        <v/>
      </c>
      <c r="M490" s="17">
        <f>IF(AND(A490&lt;&gt;"",J490="Pending"),TODAY()-A490,"")</f>
        <v/>
      </c>
    </row>
    <row r="491">
      <c r="A491" s="16" t="n"/>
      <c r="B491" s="15" t="n"/>
      <c r="C491" s="15" t="n"/>
      <c r="D491" s="17">
        <f>IF($C491="","",IFERROR(INDEX(สินค้า!$A$5:$A$204,MATCH($C491,สินค้า!$B$5:$B$204,0)),"ไม่พบสินค้า"))</f>
        <v/>
      </c>
      <c r="E491" s="17">
        <f>IF($C491="","",IFERROR(INDEX(สินค้า!$C$5:$C$204,MATCH($C491,สินค้า!$B$5:$B$204,0)),"ไม่พบสินค้า"))</f>
        <v/>
      </c>
      <c r="F491" s="17">
        <f>IF($C491="","",IFERROR(INDEX(สินค้า!$D$5:$D$204,MATCH($C491,สินค้า!$B$5:$B$204,0)),"ไม่พบสินค้า"))</f>
        <v/>
      </c>
      <c r="G491" s="15" t="n"/>
      <c r="H491" s="15" t="n"/>
      <c r="I491" s="18">
        <f>IF(AND(ISNUMBER(G491),ISNUMBER(H491),G491&gt;0),H491/G491,"")</f>
        <v/>
      </c>
      <c r="J491" s="15" t="n"/>
      <c r="K491" s="15" t="n"/>
      <c r="L491" s="17">
        <f>IF(A491="","",TEXT(A491,"yyyy-mm"))</f>
        <v/>
      </c>
      <c r="M491" s="17">
        <f>IF(AND(A491&lt;&gt;"",J491="Pending"),TODAY()-A491,"")</f>
        <v/>
      </c>
    </row>
    <row r="492">
      <c r="A492" s="16" t="n"/>
      <c r="B492" s="15" t="n"/>
      <c r="C492" s="15" t="n"/>
      <c r="D492" s="17">
        <f>IF($C492="","",IFERROR(INDEX(สินค้า!$A$5:$A$204,MATCH($C492,สินค้า!$B$5:$B$204,0)),"ไม่พบสินค้า"))</f>
        <v/>
      </c>
      <c r="E492" s="17">
        <f>IF($C492="","",IFERROR(INDEX(สินค้า!$C$5:$C$204,MATCH($C492,สินค้า!$B$5:$B$204,0)),"ไม่พบสินค้า"))</f>
        <v/>
      </c>
      <c r="F492" s="17">
        <f>IF($C492="","",IFERROR(INDEX(สินค้า!$D$5:$D$204,MATCH($C492,สินค้า!$B$5:$B$204,0)),"ไม่พบสินค้า"))</f>
        <v/>
      </c>
      <c r="G492" s="15" t="n"/>
      <c r="H492" s="15" t="n"/>
      <c r="I492" s="18">
        <f>IF(AND(ISNUMBER(G492),ISNUMBER(H492),G492&gt;0),H492/G492,"")</f>
        <v/>
      </c>
      <c r="J492" s="15" t="n"/>
      <c r="K492" s="15" t="n"/>
      <c r="L492" s="17">
        <f>IF(A492="","",TEXT(A492,"yyyy-mm"))</f>
        <v/>
      </c>
      <c r="M492" s="17">
        <f>IF(AND(A492&lt;&gt;"",J492="Pending"),TODAY()-A492,"")</f>
        <v/>
      </c>
    </row>
    <row r="493">
      <c r="A493" s="16" t="n"/>
      <c r="B493" s="15" t="n"/>
      <c r="C493" s="15" t="n"/>
      <c r="D493" s="17">
        <f>IF($C493="","",IFERROR(INDEX(สินค้า!$A$5:$A$204,MATCH($C493,สินค้า!$B$5:$B$204,0)),"ไม่พบสินค้า"))</f>
        <v/>
      </c>
      <c r="E493" s="17">
        <f>IF($C493="","",IFERROR(INDEX(สินค้า!$C$5:$C$204,MATCH($C493,สินค้า!$B$5:$B$204,0)),"ไม่พบสินค้า"))</f>
        <v/>
      </c>
      <c r="F493" s="17">
        <f>IF($C493="","",IFERROR(INDEX(สินค้า!$D$5:$D$204,MATCH($C493,สินค้า!$B$5:$B$204,0)),"ไม่พบสินค้า"))</f>
        <v/>
      </c>
      <c r="G493" s="15" t="n"/>
      <c r="H493" s="15" t="n"/>
      <c r="I493" s="18">
        <f>IF(AND(ISNUMBER(G493),ISNUMBER(H493),G493&gt;0),H493/G493,"")</f>
        <v/>
      </c>
      <c r="J493" s="15" t="n"/>
      <c r="K493" s="15" t="n"/>
      <c r="L493" s="17">
        <f>IF(A493="","",TEXT(A493,"yyyy-mm"))</f>
        <v/>
      </c>
      <c r="M493" s="17">
        <f>IF(AND(A493&lt;&gt;"",J493="Pending"),TODAY()-A493,"")</f>
        <v/>
      </c>
    </row>
    <row r="494">
      <c r="A494" s="16" t="n"/>
      <c r="B494" s="15" t="n"/>
      <c r="C494" s="15" t="n"/>
      <c r="D494" s="17">
        <f>IF($C494="","",IFERROR(INDEX(สินค้า!$A$5:$A$204,MATCH($C494,สินค้า!$B$5:$B$204,0)),"ไม่พบสินค้า"))</f>
        <v/>
      </c>
      <c r="E494" s="17">
        <f>IF($C494="","",IFERROR(INDEX(สินค้า!$C$5:$C$204,MATCH($C494,สินค้า!$B$5:$B$204,0)),"ไม่พบสินค้า"))</f>
        <v/>
      </c>
      <c r="F494" s="17">
        <f>IF($C494="","",IFERROR(INDEX(สินค้า!$D$5:$D$204,MATCH($C494,สินค้า!$B$5:$B$204,0)),"ไม่พบสินค้า"))</f>
        <v/>
      </c>
      <c r="G494" s="15" t="n"/>
      <c r="H494" s="15" t="n"/>
      <c r="I494" s="18">
        <f>IF(AND(ISNUMBER(G494),ISNUMBER(H494),G494&gt;0),H494/G494,"")</f>
        <v/>
      </c>
      <c r="J494" s="15" t="n"/>
      <c r="K494" s="15" t="n"/>
      <c r="L494" s="17">
        <f>IF(A494="","",TEXT(A494,"yyyy-mm"))</f>
        <v/>
      </c>
      <c r="M494" s="17">
        <f>IF(AND(A494&lt;&gt;"",J494="Pending"),TODAY()-A494,"")</f>
        <v/>
      </c>
    </row>
    <row r="495">
      <c r="A495" s="16" t="n"/>
      <c r="B495" s="15" t="n"/>
      <c r="C495" s="15" t="n"/>
      <c r="D495" s="17">
        <f>IF($C495="","",IFERROR(INDEX(สินค้า!$A$5:$A$204,MATCH($C495,สินค้า!$B$5:$B$204,0)),"ไม่พบสินค้า"))</f>
        <v/>
      </c>
      <c r="E495" s="17">
        <f>IF($C495="","",IFERROR(INDEX(สินค้า!$C$5:$C$204,MATCH($C495,สินค้า!$B$5:$B$204,0)),"ไม่พบสินค้า"))</f>
        <v/>
      </c>
      <c r="F495" s="17">
        <f>IF($C495="","",IFERROR(INDEX(สินค้า!$D$5:$D$204,MATCH($C495,สินค้า!$B$5:$B$204,0)),"ไม่พบสินค้า"))</f>
        <v/>
      </c>
      <c r="G495" s="15" t="n"/>
      <c r="H495" s="15" t="n"/>
      <c r="I495" s="18">
        <f>IF(AND(ISNUMBER(G495),ISNUMBER(H495),G495&gt;0),H495/G495,"")</f>
        <v/>
      </c>
      <c r="J495" s="15" t="n"/>
      <c r="K495" s="15" t="n"/>
      <c r="L495" s="17">
        <f>IF(A495="","",TEXT(A495,"yyyy-mm"))</f>
        <v/>
      </c>
      <c r="M495" s="17">
        <f>IF(AND(A495&lt;&gt;"",J495="Pending"),TODAY()-A495,"")</f>
        <v/>
      </c>
    </row>
    <row r="496">
      <c r="A496" s="16" t="n"/>
      <c r="B496" s="15" t="n"/>
      <c r="C496" s="15" t="n"/>
      <c r="D496" s="17">
        <f>IF($C496="","",IFERROR(INDEX(สินค้า!$A$5:$A$204,MATCH($C496,สินค้า!$B$5:$B$204,0)),"ไม่พบสินค้า"))</f>
        <v/>
      </c>
      <c r="E496" s="17">
        <f>IF($C496="","",IFERROR(INDEX(สินค้า!$C$5:$C$204,MATCH($C496,สินค้า!$B$5:$B$204,0)),"ไม่พบสินค้า"))</f>
        <v/>
      </c>
      <c r="F496" s="17">
        <f>IF($C496="","",IFERROR(INDEX(สินค้า!$D$5:$D$204,MATCH($C496,สินค้า!$B$5:$B$204,0)),"ไม่พบสินค้า"))</f>
        <v/>
      </c>
      <c r="G496" s="15" t="n"/>
      <c r="H496" s="15" t="n"/>
      <c r="I496" s="18">
        <f>IF(AND(ISNUMBER(G496),ISNUMBER(H496),G496&gt;0),H496/G496,"")</f>
        <v/>
      </c>
      <c r="J496" s="15" t="n"/>
      <c r="K496" s="15" t="n"/>
      <c r="L496" s="17">
        <f>IF(A496="","",TEXT(A496,"yyyy-mm"))</f>
        <v/>
      </c>
      <c r="M496" s="17">
        <f>IF(AND(A496&lt;&gt;"",J496="Pending"),TODAY()-A496,"")</f>
        <v/>
      </c>
    </row>
    <row r="497">
      <c r="A497" s="16" t="n"/>
      <c r="B497" s="15" t="n"/>
      <c r="C497" s="15" t="n"/>
      <c r="D497" s="17">
        <f>IF($C497="","",IFERROR(INDEX(สินค้า!$A$5:$A$204,MATCH($C497,สินค้า!$B$5:$B$204,0)),"ไม่พบสินค้า"))</f>
        <v/>
      </c>
      <c r="E497" s="17">
        <f>IF($C497="","",IFERROR(INDEX(สินค้า!$C$5:$C$204,MATCH($C497,สินค้า!$B$5:$B$204,0)),"ไม่พบสินค้า"))</f>
        <v/>
      </c>
      <c r="F497" s="17">
        <f>IF($C497="","",IFERROR(INDEX(สินค้า!$D$5:$D$204,MATCH($C497,สินค้า!$B$5:$B$204,0)),"ไม่พบสินค้า"))</f>
        <v/>
      </c>
      <c r="G497" s="15" t="n"/>
      <c r="H497" s="15" t="n"/>
      <c r="I497" s="18">
        <f>IF(AND(ISNUMBER(G497),ISNUMBER(H497),G497&gt;0),H497/G497,"")</f>
        <v/>
      </c>
      <c r="J497" s="15" t="n"/>
      <c r="K497" s="15" t="n"/>
      <c r="L497" s="17">
        <f>IF(A497="","",TEXT(A497,"yyyy-mm"))</f>
        <v/>
      </c>
      <c r="M497" s="17">
        <f>IF(AND(A497&lt;&gt;"",J497="Pending"),TODAY()-A497,"")</f>
        <v/>
      </c>
    </row>
    <row r="498">
      <c r="A498" s="16" t="n"/>
      <c r="B498" s="15" t="n"/>
      <c r="C498" s="15" t="n"/>
      <c r="D498" s="17">
        <f>IF($C498="","",IFERROR(INDEX(สินค้า!$A$5:$A$204,MATCH($C498,สินค้า!$B$5:$B$204,0)),"ไม่พบสินค้า"))</f>
        <v/>
      </c>
      <c r="E498" s="17">
        <f>IF($C498="","",IFERROR(INDEX(สินค้า!$C$5:$C$204,MATCH($C498,สินค้า!$B$5:$B$204,0)),"ไม่พบสินค้า"))</f>
        <v/>
      </c>
      <c r="F498" s="17">
        <f>IF($C498="","",IFERROR(INDEX(สินค้า!$D$5:$D$204,MATCH($C498,สินค้า!$B$5:$B$204,0)),"ไม่พบสินค้า"))</f>
        <v/>
      </c>
      <c r="G498" s="15" t="n"/>
      <c r="H498" s="15" t="n"/>
      <c r="I498" s="18">
        <f>IF(AND(ISNUMBER(G498),ISNUMBER(H498),G498&gt;0),H498/G498,"")</f>
        <v/>
      </c>
      <c r="J498" s="15" t="n"/>
      <c r="K498" s="15" t="n"/>
      <c r="L498" s="17">
        <f>IF(A498="","",TEXT(A498,"yyyy-mm"))</f>
        <v/>
      </c>
      <c r="M498" s="17">
        <f>IF(AND(A498&lt;&gt;"",J498="Pending"),TODAY()-A498,"")</f>
        <v/>
      </c>
    </row>
    <row r="499">
      <c r="A499" s="16" t="n"/>
      <c r="B499" s="15" t="n"/>
      <c r="C499" s="15" t="n"/>
      <c r="D499" s="17">
        <f>IF($C499="","",IFERROR(INDEX(สินค้า!$A$5:$A$204,MATCH($C499,สินค้า!$B$5:$B$204,0)),"ไม่พบสินค้า"))</f>
        <v/>
      </c>
      <c r="E499" s="17">
        <f>IF($C499="","",IFERROR(INDEX(สินค้า!$C$5:$C$204,MATCH($C499,สินค้า!$B$5:$B$204,0)),"ไม่พบสินค้า"))</f>
        <v/>
      </c>
      <c r="F499" s="17">
        <f>IF($C499="","",IFERROR(INDEX(สินค้า!$D$5:$D$204,MATCH($C499,สินค้า!$B$5:$B$204,0)),"ไม่พบสินค้า"))</f>
        <v/>
      </c>
      <c r="G499" s="15" t="n"/>
      <c r="H499" s="15" t="n"/>
      <c r="I499" s="18">
        <f>IF(AND(ISNUMBER(G499),ISNUMBER(H499),G499&gt;0),H499/G499,"")</f>
        <v/>
      </c>
      <c r="J499" s="15" t="n"/>
      <c r="K499" s="15" t="n"/>
      <c r="L499" s="17">
        <f>IF(A499="","",TEXT(A499,"yyyy-mm"))</f>
        <v/>
      </c>
      <c r="M499" s="17">
        <f>IF(AND(A499&lt;&gt;"",J499="Pending"),TODAY()-A499,"")</f>
        <v/>
      </c>
    </row>
    <row r="500">
      <c r="A500" s="16" t="n"/>
      <c r="B500" s="15" t="n"/>
      <c r="C500" s="15" t="n"/>
      <c r="D500" s="17">
        <f>IF($C500="","",IFERROR(INDEX(สินค้า!$A$5:$A$204,MATCH($C500,สินค้า!$B$5:$B$204,0)),"ไม่พบสินค้า"))</f>
        <v/>
      </c>
      <c r="E500" s="17">
        <f>IF($C500="","",IFERROR(INDEX(สินค้า!$C$5:$C$204,MATCH($C500,สินค้า!$B$5:$B$204,0)),"ไม่พบสินค้า"))</f>
        <v/>
      </c>
      <c r="F500" s="17">
        <f>IF($C500="","",IFERROR(INDEX(สินค้า!$D$5:$D$204,MATCH($C500,สินค้า!$B$5:$B$204,0)),"ไม่พบสินค้า"))</f>
        <v/>
      </c>
      <c r="G500" s="15" t="n"/>
      <c r="H500" s="15" t="n"/>
      <c r="I500" s="18">
        <f>IF(AND(ISNUMBER(G500),ISNUMBER(H500),G500&gt;0),H500/G500,"")</f>
        <v/>
      </c>
      <c r="J500" s="15" t="n"/>
      <c r="K500" s="15" t="n"/>
      <c r="L500" s="17">
        <f>IF(A500="","",TEXT(A500,"yyyy-mm"))</f>
        <v/>
      </c>
      <c r="M500" s="17">
        <f>IF(AND(A500&lt;&gt;"",J500="Pending"),TODAY()-A500,"")</f>
        <v/>
      </c>
    </row>
    <row r="501">
      <c r="A501" s="16" t="n"/>
      <c r="B501" s="15" t="n"/>
      <c r="C501" s="15" t="n"/>
      <c r="D501" s="17">
        <f>IF($C501="","",IFERROR(INDEX(สินค้า!$A$5:$A$204,MATCH($C501,สินค้า!$B$5:$B$204,0)),"ไม่พบสินค้า"))</f>
        <v/>
      </c>
      <c r="E501" s="17">
        <f>IF($C501="","",IFERROR(INDEX(สินค้า!$C$5:$C$204,MATCH($C501,สินค้า!$B$5:$B$204,0)),"ไม่พบสินค้า"))</f>
        <v/>
      </c>
      <c r="F501" s="17">
        <f>IF($C501="","",IFERROR(INDEX(สินค้า!$D$5:$D$204,MATCH($C501,สินค้า!$B$5:$B$204,0)),"ไม่พบสินค้า"))</f>
        <v/>
      </c>
      <c r="G501" s="15" t="n"/>
      <c r="H501" s="15" t="n"/>
      <c r="I501" s="18">
        <f>IF(AND(ISNUMBER(G501),ISNUMBER(H501),G501&gt;0),H501/G501,"")</f>
        <v/>
      </c>
      <c r="J501" s="15" t="n"/>
      <c r="K501" s="15" t="n"/>
      <c r="L501" s="17">
        <f>IF(A501="","",TEXT(A501,"yyyy-mm"))</f>
        <v/>
      </c>
      <c r="M501" s="17">
        <f>IF(AND(A501&lt;&gt;"",J501="Pending"),TODAY()-A501,"")</f>
        <v/>
      </c>
    </row>
    <row r="502">
      <c r="A502" s="16" t="n"/>
      <c r="B502" s="15" t="n"/>
      <c r="C502" s="15" t="n"/>
      <c r="D502" s="17">
        <f>IF($C502="","",IFERROR(INDEX(สินค้า!$A$5:$A$204,MATCH($C502,สินค้า!$B$5:$B$204,0)),"ไม่พบสินค้า"))</f>
        <v/>
      </c>
      <c r="E502" s="17">
        <f>IF($C502="","",IFERROR(INDEX(สินค้า!$C$5:$C$204,MATCH($C502,สินค้า!$B$5:$B$204,0)),"ไม่พบสินค้า"))</f>
        <v/>
      </c>
      <c r="F502" s="17">
        <f>IF($C502="","",IFERROR(INDEX(สินค้า!$D$5:$D$204,MATCH($C502,สินค้า!$B$5:$B$204,0)),"ไม่พบสินค้า"))</f>
        <v/>
      </c>
      <c r="G502" s="15" t="n"/>
      <c r="H502" s="15" t="n"/>
      <c r="I502" s="18">
        <f>IF(AND(ISNUMBER(G502),ISNUMBER(H502),G502&gt;0),H502/G502,"")</f>
        <v/>
      </c>
      <c r="J502" s="15" t="n"/>
      <c r="K502" s="15" t="n"/>
      <c r="L502" s="17">
        <f>IF(A502="","",TEXT(A502,"yyyy-mm"))</f>
        <v/>
      </c>
      <c r="M502" s="17">
        <f>IF(AND(A502&lt;&gt;"",J502="Pending"),TODAY()-A502,"")</f>
        <v/>
      </c>
    </row>
    <row r="503">
      <c r="A503" s="16" t="n"/>
      <c r="B503" s="15" t="n"/>
      <c r="C503" s="15" t="n"/>
      <c r="D503" s="17">
        <f>IF($C503="","",IFERROR(INDEX(สินค้า!$A$5:$A$204,MATCH($C503,สินค้า!$B$5:$B$204,0)),"ไม่พบสินค้า"))</f>
        <v/>
      </c>
      <c r="E503" s="17">
        <f>IF($C503="","",IFERROR(INDEX(สินค้า!$C$5:$C$204,MATCH($C503,สินค้า!$B$5:$B$204,0)),"ไม่พบสินค้า"))</f>
        <v/>
      </c>
      <c r="F503" s="17">
        <f>IF($C503="","",IFERROR(INDEX(สินค้า!$D$5:$D$204,MATCH($C503,สินค้า!$B$5:$B$204,0)),"ไม่พบสินค้า"))</f>
        <v/>
      </c>
      <c r="G503" s="15" t="n"/>
      <c r="H503" s="15" t="n"/>
      <c r="I503" s="18">
        <f>IF(AND(ISNUMBER(G503),ISNUMBER(H503),G503&gt;0),H503/G503,"")</f>
        <v/>
      </c>
      <c r="J503" s="15" t="n"/>
      <c r="K503" s="15" t="n"/>
      <c r="L503" s="17">
        <f>IF(A503="","",TEXT(A503,"yyyy-mm"))</f>
        <v/>
      </c>
      <c r="M503" s="17">
        <f>IF(AND(A503&lt;&gt;"",J503="Pending"),TODAY()-A503,"")</f>
        <v/>
      </c>
    </row>
    <row r="504">
      <c r="A504" s="16" t="n"/>
      <c r="B504" s="15" t="n"/>
      <c r="C504" s="15" t="n"/>
      <c r="D504" s="17">
        <f>IF($C504="","",IFERROR(INDEX(สินค้า!$A$5:$A$204,MATCH($C504,สินค้า!$B$5:$B$204,0)),"ไม่พบสินค้า"))</f>
        <v/>
      </c>
      <c r="E504" s="17">
        <f>IF($C504="","",IFERROR(INDEX(สินค้า!$C$5:$C$204,MATCH($C504,สินค้า!$B$5:$B$204,0)),"ไม่พบสินค้า"))</f>
        <v/>
      </c>
      <c r="F504" s="17">
        <f>IF($C504="","",IFERROR(INDEX(สินค้า!$D$5:$D$204,MATCH($C504,สินค้า!$B$5:$B$204,0)),"ไม่พบสินค้า"))</f>
        <v/>
      </c>
      <c r="G504" s="15" t="n"/>
      <c r="H504" s="15" t="n"/>
      <c r="I504" s="18">
        <f>IF(AND(ISNUMBER(G504),ISNUMBER(H504),G504&gt;0),H504/G504,"")</f>
        <v/>
      </c>
      <c r="J504" s="15" t="n"/>
      <c r="K504" s="15" t="n"/>
      <c r="L504" s="17">
        <f>IF(A504="","",TEXT(A504,"yyyy-mm"))</f>
        <v/>
      </c>
      <c r="M504" s="17">
        <f>IF(AND(A504&lt;&gt;"",J504="Pending"),TODAY()-A504,"")</f>
        <v/>
      </c>
    </row>
    <row r="505">
      <c r="A505" s="16" t="n"/>
      <c r="B505" s="15" t="n"/>
      <c r="C505" s="15" t="n"/>
      <c r="D505" s="17">
        <f>IF($C505="","",IFERROR(INDEX(สินค้า!$A$5:$A$204,MATCH($C505,สินค้า!$B$5:$B$204,0)),"ไม่พบสินค้า"))</f>
        <v/>
      </c>
      <c r="E505" s="17">
        <f>IF($C505="","",IFERROR(INDEX(สินค้า!$C$5:$C$204,MATCH($C505,สินค้า!$B$5:$B$204,0)),"ไม่พบสินค้า"))</f>
        <v/>
      </c>
      <c r="F505" s="17">
        <f>IF($C505="","",IFERROR(INDEX(สินค้า!$D$5:$D$204,MATCH($C505,สินค้า!$B$5:$B$204,0)),"ไม่พบสินค้า"))</f>
        <v/>
      </c>
      <c r="G505" s="15" t="n"/>
      <c r="H505" s="15" t="n"/>
      <c r="I505" s="18">
        <f>IF(AND(ISNUMBER(G505),ISNUMBER(H505),G505&gt;0),H505/G505,"")</f>
        <v/>
      </c>
      <c r="J505" s="15" t="n"/>
      <c r="K505" s="15" t="n"/>
      <c r="L505" s="17">
        <f>IF(A505="","",TEXT(A505,"yyyy-mm"))</f>
        <v/>
      </c>
      <c r="M505" s="17">
        <f>IF(AND(A505&lt;&gt;"",J505="Pending"),TODAY()-A505,"")</f>
        <v/>
      </c>
    </row>
    <row r="506">
      <c r="A506" s="16" t="n"/>
      <c r="B506" s="15" t="n"/>
      <c r="C506" s="15" t="n"/>
      <c r="D506" s="17">
        <f>IF($C506="","",IFERROR(INDEX(สินค้า!$A$5:$A$204,MATCH($C506,สินค้า!$B$5:$B$204,0)),"ไม่พบสินค้า"))</f>
        <v/>
      </c>
      <c r="E506" s="17">
        <f>IF($C506="","",IFERROR(INDEX(สินค้า!$C$5:$C$204,MATCH($C506,สินค้า!$B$5:$B$204,0)),"ไม่พบสินค้า"))</f>
        <v/>
      </c>
      <c r="F506" s="17">
        <f>IF($C506="","",IFERROR(INDEX(สินค้า!$D$5:$D$204,MATCH($C506,สินค้า!$B$5:$B$204,0)),"ไม่พบสินค้า"))</f>
        <v/>
      </c>
      <c r="G506" s="15" t="n"/>
      <c r="H506" s="15" t="n"/>
      <c r="I506" s="18">
        <f>IF(AND(ISNUMBER(G506),ISNUMBER(H506),G506&gt;0),H506/G506,"")</f>
        <v/>
      </c>
      <c r="J506" s="15" t="n"/>
      <c r="K506" s="15" t="n"/>
      <c r="L506" s="17">
        <f>IF(A506="","",TEXT(A506,"yyyy-mm"))</f>
        <v/>
      </c>
      <c r="M506" s="17">
        <f>IF(AND(A506&lt;&gt;"",J506="Pending"),TODAY()-A506,"")</f>
        <v/>
      </c>
    </row>
    <row r="507">
      <c r="A507" s="16" t="n"/>
      <c r="B507" s="15" t="n"/>
      <c r="C507" s="15" t="n"/>
      <c r="D507" s="17">
        <f>IF($C507="","",IFERROR(INDEX(สินค้า!$A$5:$A$204,MATCH($C507,สินค้า!$B$5:$B$204,0)),"ไม่พบสินค้า"))</f>
        <v/>
      </c>
      <c r="E507" s="17">
        <f>IF($C507="","",IFERROR(INDEX(สินค้า!$C$5:$C$204,MATCH($C507,สินค้า!$B$5:$B$204,0)),"ไม่พบสินค้า"))</f>
        <v/>
      </c>
      <c r="F507" s="17">
        <f>IF($C507="","",IFERROR(INDEX(สินค้า!$D$5:$D$204,MATCH($C507,สินค้า!$B$5:$B$204,0)),"ไม่พบสินค้า"))</f>
        <v/>
      </c>
      <c r="G507" s="15" t="n"/>
      <c r="H507" s="15" t="n"/>
      <c r="I507" s="18">
        <f>IF(AND(ISNUMBER(G507),ISNUMBER(H507),G507&gt;0),H507/G507,"")</f>
        <v/>
      </c>
      <c r="J507" s="15" t="n"/>
      <c r="K507" s="15" t="n"/>
      <c r="L507" s="17">
        <f>IF(A507="","",TEXT(A507,"yyyy-mm"))</f>
        <v/>
      </c>
      <c r="M507" s="17">
        <f>IF(AND(A507&lt;&gt;"",J507="Pending"),TODAY()-A507,"")</f>
        <v/>
      </c>
    </row>
    <row r="508">
      <c r="A508" s="16" t="n"/>
      <c r="B508" s="15" t="n"/>
      <c r="C508" s="15" t="n"/>
      <c r="D508" s="17">
        <f>IF($C508="","",IFERROR(INDEX(สินค้า!$A$5:$A$204,MATCH($C508,สินค้า!$B$5:$B$204,0)),"ไม่พบสินค้า"))</f>
        <v/>
      </c>
      <c r="E508" s="17">
        <f>IF($C508="","",IFERROR(INDEX(สินค้า!$C$5:$C$204,MATCH($C508,สินค้า!$B$5:$B$204,0)),"ไม่พบสินค้า"))</f>
        <v/>
      </c>
      <c r="F508" s="17">
        <f>IF($C508="","",IFERROR(INDEX(สินค้า!$D$5:$D$204,MATCH($C508,สินค้า!$B$5:$B$204,0)),"ไม่พบสินค้า"))</f>
        <v/>
      </c>
      <c r="G508" s="15" t="n"/>
      <c r="H508" s="15" t="n"/>
      <c r="I508" s="18">
        <f>IF(AND(ISNUMBER(G508),ISNUMBER(H508),G508&gt;0),H508/G508,"")</f>
        <v/>
      </c>
      <c r="J508" s="15" t="n"/>
      <c r="K508" s="15" t="n"/>
      <c r="L508" s="17">
        <f>IF(A508="","",TEXT(A508,"yyyy-mm"))</f>
        <v/>
      </c>
      <c r="M508" s="17">
        <f>IF(AND(A508&lt;&gt;"",J508="Pending"),TODAY()-A508,"")</f>
        <v/>
      </c>
    </row>
    <row r="509">
      <c r="A509" s="16" t="n"/>
      <c r="B509" s="15" t="n"/>
      <c r="C509" s="15" t="n"/>
      <c r="D509" s="17">
        <f>IF($C509="","",IFERROR(INDEX(สินค้า!$A$5:$A$204,MATCH($C509,สินค้า!$B$5:$B$204,0)),"ไม่พบสินค้า"))</f>
        <v/>
      </c>
      <c r="E509" s="17">
        <f>IF($C509="","",IFERROR(INDEX(สินค้า!$C$5:$C$204,MATCH($C509,สินค้า!$B$5:$B$204,0)),"ไม่พบสินค้า"))</f>
        <v/>
      </c>
      <c r="F509" s="17">
        <f>IF($C509="","",IFERROR(INDEX(สินค้า!$D$5:$D$204,MATCH($C509,สินค้า!$B$5:$B$204,0)),"ไม่พบสินค้า"))</f>
        <v/>
      </c>
      <c r="G509" s="15" t="n"/>
      <c r="H509" s="15" t="n"/>
      <c r="I509" s="18">
        <f>IF(AND(ISNUMBER(G509),ISNUMBER(H509),G509&gt;0),H509/G509,"")</f>
        <v/>
      </c>
      <c r="J509" s="15" t="n"/>
      <c r="K509" s="15" t="n"/>
      <c r="L509" s="17">
        <f>IF(A509="","",TEXT(A509,"yyyy-mm"))</f>
        <v/>
      </c>
      <c r="M509" s="17">
        <f>IF(AND(A509&lt;&gt;"",J509="Pending"),TODAY()-A509,"")</f>
        <v/>
      </c>
    </row>
    <row r="510">
      <c r="A510" s="16" t="n"/>
      <c r="B510" s="15" t="n"/>
      <c r="C510" s="15" t="n"/>
      <c r="D510" s="17">
        <f>IF($C510="","",IFERROR(INDEX(สินค้า!$A$5:$A$204,MATCH($C510,สินค้า!$B$5:$B$204,0)),"ไม่พบสินค้า"))</f>
        <v/>
      </c>
      <c r="E510" s="17">
        <f>IF($C510="","",IFERROR(INDEX(สินค้า!$C$5:$C$204,MATCH($C510,สินค้า!$B$5:$B$204,0)),"ไม่พบสินค้า"))</f>
        <v/>
      </c>
      <c r="F510" s="17">
        <f>IF($C510="","",IFERROR(INDEX(สินค้า!$D$5:$D$204,MATCH($C510,สินค้า!$B$5:$B$204,0)),"ไม่พบสินค้า"))</f>
        <v/>
      </c>
      <c r="G510" s="15" t="n"/>
      <c r="H510" s="15" t="n"/>
      <c r="I510" s="18">
        <f>IF(AND(ISNUMBER(G510),ISNUMBER(H510),G510&gt;0),H510/G510,"")</f>
        <v/>
      </c>
      <c r="J510" s="15" t="n"/>
      <c r="K510" s="15" t="n"/>
      <c r="L510" s="17">
        <f>IF(A510="","",TEXT(A510,"yyyy-mm"))</f>
        <v/>
      </c>
      <c r="M510" s="17">
        <f>IF(AND(A510&lt;&gt;"",J510="Pending"),TODAY()-A510,"")</f>
        <v/>
      </c>
    </row>
    <row r="511">
      <c r="A511" s="16" t="n"/>
      <c r="B511" s="15" t="n"/>
      <c r="C511" s="15" t="n"/>
      <c r="D511" s="17">
        <f>IF($C511="","",IFERROR(INDEX(สินค้า!$A$5:$A$204,MATCH($C511,สินค้า!$B$5:$B$204,0)),"ไม่พบสินค้า"))</f>
        <v/>
      </c>
      <c r="E511" s="17">
        <f>IF($C511="","",IFERROR(INDEX(สินค้า!$C$5:$C$204,MATCH($C511,สินค้า!$B$5:$B$204,0)),"ไม่พบสินค้า"))</f>
        <v/>
      </c>
      <c r="F511" s="17">
        <f>IF($C511="","",IFERROR(INDEX(สินค้า!$D$5:$D$204,MATCH($C511,สินค้า!$B$5:$B$204,0)),"ไม่พบสินค้า"))</f>
        <v/>
      </c>
      <c r="G511" s="15" t="n"/>
      <c r="H511" s="15" t="n"/>
      <c r="I511" s="18">
        <f>IF(AND(ISNUMBER(G511),ISNUMBER(H511),G511&gt;0),H511/G511,"")</f>
        <v/>
      </c>
      <c r="J511" s="15" t="n"/>
      <c r="K511" s="15" t="n"/>
      <c r="L511" s="17">
        <f>IF(A511="","",TEXT(A511,"yyyy-mm"))</f>
        <v/>
      </c>
      <c r="M511" s="17">
        <f>IF(AND(A511&lt;&gt;"",J511="Pending"),TODAY()-A511,"")</f>
        <v/>
      </c>
    </row>
    <row r="512">
      <c r="A512" s="16" t="n"/>
      <c r="B512" s="15" t="n"/>
      <c r="C512" s="15" t="n"/>
      <c r="D512" s="17">
        <f>IF($C512="","",IFERROR(INDEX(สินค้า!$A$5:$A$204,MATCH($C512,สินค้า!$B$5:$B$204,0)),"ไม่พบสินค้า"))</f>
        <v/>
      </c>
      <c r="E512" s="17">
        <f>IF($C512="","",IFERROR(INDEX(สินค้า!$C$5:$C$204,MATCH($C512,สินค้า!$B$5:$B$204,0)),"ไม่พบสินค้า"))</f>
        <v/>
      </c>
      <c r="F512" s="17">
        <f>IF($C512="","",IFERROR(INDEX(สินค้า!$D$5:$D$204,MATCH($C512,สินค้า!$B$5:$B$204,0)),"ไม่พบสินค้า"))</f>
        <v/>
      </c>
      <c r="G512" s="15" t="n"/>
      <c r="H512" s="15" t="n"/>
      <c r="I512" s="18">
        <f>IF(AND(ISNUMBER(G512),ISNUMBER(H512),G512&gt;0),H512/G512,"")</f>
        <v/>
      </c>
      <c r="J512" s="15" t="n"/>
      <c r="K512" s="15" t="n"/>
      <c r="L512" s="17">
        <f>IF(A512="","",TEXT(A512,"yyyy-mm"))</f>
        <v/>
      </c>
      <c r="M512" s="17">
        <f>IF(AND(A512&lt;&gt;"",J512="Pending"),TODAY()-A512,"")</f>
        <v/>
      </c>
    </row>
    <row r="513">
      <c r="A513" s="16" t="n"/>
      <c r="B513" s="15" t="n"/>
      <c r="C513" s="15" t="n"/>
      <c r="D513" s="17">
        <f>IF($C513="","",IFERROR(INDEX(สินค้า!$A$5:$A$204,MATCH($C513,สินค้า!$B$5:$B$204,0)),"ไม่พบสินค้า"))</f>
        <v/>
      </c>
      <c r="E513" s="17">
        <f>IF($C513="","",IFERROR(INDEX(สินค้า!$C$5:$C$204,MATCH($C513,สินค้า!$B$5:$B$204,0)),"ไม่พบสินค้า"))</f>
        <v/>
      </c>
      <c r="F513" s="17">
        <f>IF($C513="","",IFERROR(INDEX(สินค้า!$D$5:$D$204,MATCH($C513,สินค้า!$B$5:$B$204,0)),"ไม่พบสินค้า"))</f>
        <v/>
      </c>
      <c r="G513" s="15" t="n"/>
      <c r="H513" s="15" t="n"/>
      <c r="I513" s="18">
        <f>IF(AND(ISNUMBER(G513),ISNUMBER(H513),G513&gt;0),H513/G513,"")</f>
        <v/>
      </c>
      <c r="J513" s="15" t="n"/>
      <c r="K513" s="15" t="n"/>
      <c r="L513" s="17">
        <f>IF(A513="","",TEXT(A513,"yyyy-mm"))</f>
        <v/>
      </c>
      <c r="M513" s="17">
        <f>IF(AND(A513&lt;&gt;"",J513="Pending"),TODAY()-A513,"")</f>
        <v/>
      </c>
    </row>
    <row r="514">
      <c r="A514" s="16" t="n"/>
      <c r="B514" s="15" t="n"/>
      <c r="C514" s="15" t="n"/>
      <c r="D514" s="17">
        <f>IF($C514="","",IFERROR(INDEX(สินค้า!$A$5:$A$204,MATCH($C514,สินค้า!$B$5:$B$204,0)),"ไม่พบสินค้า"))</f>
        <v/>
      </c>
      <c r="E514" s="17">
        <f>IF($C514="","",IFERROR(INDEX(สินค้า!$C$5:$C$204,MATCH($C514,สินค้า!$B$5:$B$204,0)),"ไม่พบสินค้า"))</f>
        <v/>
      </c>
      <c r="F514" s="17">
        <f>IF($C514="","",IFERROR(INDEX(สินค้า!$D$5:$D$204,MATCH($C514,สินค้า!$B$5:$B$204,0)),"ไม่พบสินค้า"))</f>
        <v/>
      </c>
      <c r="G514" s="15" t="n"/>
      <c r="H514" s="15" t="n"/>
      <c r="I514" s="18">
        <f>IF(AND(ISNUMBER(G514),ISNUMBER(H514),G514&gt;0),H514/G514,"")</f>
        <v/>
      </c>
      <c r="J514" s="15" t="n"/>
      <c r="K514" s="15" t="n"/>
      <c r="L514" s="17">
        <f>IF(A514="","",TEXT(A514,"yyyy-mm"))</f>
        <v/>
      </c>
      <c r="M514" s="17">
        <f>IF(AND(A514&lt;&gt;"",J514="Pending"),TODAY()-A514,"")</f>
        <v/>
      </c>
    </row>
    <row r="515">
      <c r="A515" s="16" t="n"/>
      <c r="B515" s="15" t="n"/>
      <c r="C515" s="15" t="n"/>
      <c r="D515" s="17">
        <f>IF($C515="","",IFERROR(INDEX(สินค้า!$A$5:$A$204,MATCH($C515,สินค้า!$B$5:$B$204,0)),"ไม่พบสินค้า"))</f>
        <v/>
      </c>
      <c r="E515" s="17">
        <f>IF($C515="","",IFERROR(INDEX(สินค้า!$C$5:$C$204,MATCH($C515,สินค้า!$B$5:$B$204,0)),"ไม่พบสินค้า"))</f>
        <v/>
      </c>
      <c r="F515" s="17">
        <f>IF($C515="","",IFERROR(INDEX(สินค้า!$D$5:$D$204,MATCH($C515,สินค้า!$B$5:$B$204,0)),"ไม่พบสินค้า"))</f>
        <v/>
      </c>
      <c r="G515" s="15" t="n"/>
      <c r="H515" s="15" t="n"/>
      <c r="I515" s="18">
        <f>IF(AND(ISNUMBER(G515),ISNUMBER(H515),G515&gt;0),H515/G515,"")</f>
        <v/>
      </c>
      <c r="J515" s="15" t="n"/>
      <c r="K515" s="15" t="n"/>
      <c r="L515" s="17">
        <f>IF(A515="","",TEXT(A515,"yyyy-mm"))</f>
        <v/>
      </c>
      <c r="M515" s="17">
        <f>IF(AND(A515&lt;&gt;"",J515="Pending"),TODAY()-A515,"")</f>
        <v/>
      </c>
    </row>
    <row r="516">
      <c r="A516" s="16" t="n"/>
      <c r="B516" s="15" t="n"/>
      <c r="C516" s="15" t="n"/>
      <c r="D516" s="17">
        <f>IF($C516="","",IFERROR(INDEX(สินค้า!$A$5:$A$204,MATCH($C516,สินค้า!$B$5:$B$204,0)),"ไม่พบสินค้า"))</f>
        <v/>
      </c>
      <c r="E516" s="17">
        <f>IF($C516="","",IFERROR(INDEX(สินค้า!$C$5:$C$204,MATCH($C516,สินค้า!$B$5:$B$204,0)),"ไม่พบสินค้า"))</f>
        <v/>
      </c>
      <c r="F516" s="17">
        <f>IF($C516="","",IFERROR(INDEX(สินค้า!$D$5:$D$204,MATCH($C516,สินค้า!$B$5:$B$204,0)),"ไม่พบสินค้า"))</f>
        <v/>
      </c>
      <c r="G516" s="15" t="n"/>
      <c r="H516" s="15" t="n"/>
      <c r="I516" s="18">
        <f>IF(AND(ISNUMBER(G516),ISNUMBER(H516),G516&gt;0),H516/G516,"")</f>
        <v/>
      </c>
      <c r="J516" s="15" t="n"/>
      <c r="K516" s="15" t="n"/>
      <c r="L516" s="17">
        <f>IF(A516="","",TEXT(A516,"yyyy-mm"))</f>
        <v/>
      </c>
      <c r="M516" s="17">
        <f>IF(AND(A516&lt;&gt;"",J516="Pending"),TODAY()-A516,"")</f>
        <v/>
      </c>
    </row>
    <row r="517">
      <c r="A517" s="16" t="n"/>
      <c r="B517" s="15" t="n"/>
      <c r="C517" s="15" t="n"/>
      <c r="D517" s="17">
        <f>IF($C517="","",IFERROR(INDEX(สินค้า!$A$5:$A$204,MATCH($C517,สินค้า!$B$5:$B$204,0)),"ไม่พบสินค้า"))</f>
        <v/>
      </c>
      <c r="E517" s="17">
        <f>IF($C517="","",IFERROR(INDEX(สินค้า!$C$5:$C$204,MATCH($C517,สินค้า!$B$5:$B$204,0)),"ไม่พบสินค้า"))</f>
        <v/>
      </c>
      <c r="F517" s="17">
        <f>IF($C517="","",IFERROR(INDEX(สินค้า!$D$5:$D$204,MATCH($C517,สินค้า!$B$5:$B$204,0)),"ไม่พบสินค้า"))</f>
        <v/>
      </c>
      <c r="G517" s="15" t="n"/>
      <c r="H517" s="15" t="n"/>
      <c r="I517" s="18">
        <f>IF(AND(ISNUMBER(G517),ISNUMBER(H517),G517&gt;0),H517/G517,"")</f>
        <v/>
      </c>
      <c r="J517" s="15" t="n"/>
      <c r="K517" s="15" t="n"/>
      <c r="L517" s="17">
        <f>IF(A517="","",TEXT(A517,"yyyy-mm"))</f>
        <v/>
      </c>
      <c r="M517" s="17">
        <f>IF(AND(A517&lt;&gt;"",J517="Pending"),TODAY()-A517,"")</f>
        <v/>
      </c>
    </row>
    <row r="518">
      <c r="A518" s="16" t="n"/>
      <c r="B518" s="15" t="n"/>
      <c r="C518" s="15" t="n"/>
      <c r="D518" s="17">
        <f>IF($C518="","",IFERROR(INDEX(สินค้า!$A$5:$A$204,MATCH($C518,สินค้า!$B$5:$B$204,0)),"ไม่พบสินค้า"))</f>
        <v/>
      </c>
      <c r="E518" s="17">
        <f>IF($C518="","",IFERROR(INDEX(สินค้า!$C$5:$C$204,MATCH($C518,สินค้า!$B$5:$B$204,0)),"ไม่พบสินค้า"))</f>
        <v/>
      </c>
      <c r="F518" s="17">
        <f>IF($C518="","",IFERROR(INDEX(สินค้า!$D$5:$D$204,MATCH($C518,สินค้า!$B$5:$B$204,0)),"ไม่พบสินค้า"))</f>
        <v/>
      </c>
      <c r="G518" s="15" t="n"/>
      <c r="H518" s="15" t="n"/>
      <c r="I518" s="18">
        <f>IF(AND(ISNUMBER(G518),ISNUMBER(H518),G518&gt;0),H518/G518,"")</f>
        <v/>
      </c>
      <c r="J518" s="15" t="n"/>
      <c r="K518" s="15" t="n"/>
      <c r="L518" s="17">
        <f>IF(A518="","",TEXT(A518,"yyyy-mm"))</f>
        <v/>
      </c>
      <c r="M518" s="17">
        <f>IF(AND(A518&lt;&gt;"",J518="Pending"),TODAY()-A518,"")</f>
        <v/>
      </c>
    </row>
    <row r="519">
      <c r="A519" s="16" t="n"/>
      <c r="B519" s="15" t="n"/>
      <c r="C519" s="15" t="n"/>
      <c r="D519" s="17">
        <f>IF($C519="","",IFERROR(INDEX(สินค้า!$A$5:$A$204,MATCH($C519,สินค้า!$B$5:$B$204,0)),"ไม่พบสินค้า"))</f>
        <v/>
      </c>
      <c r="E519" s="17">
        <f>IF($C519="","",IFERROR(INDEX(สินค้า!$C$5:$C$204,MATCH($C519,สินค้า!$B$5:$B$204,0)),"ไม่พบสินค้า"))</f>
        <v/>
      </c>
      <c r="F519" s="17">
        <f>IF($C519="","",IFERROR(INDEX(สินค้า!$D$5:$D$204,MATCH($C519,สินค้า!$B$5:$B$204,0)),"ไม่พบสินค้า"))</f>
        <v/>
      </c>
      <c r="G519" s="15" t="n"/>
      <c r="H519" s="15" t="n"/>
      <c r="I519" s="18">
        <f>IF(AND(ISNUMBER(G519),ISNUMBER(H519),G519&gt;0),H519/G519,"")</f>
        <v/>
      </c>
      <c r="J519" s="15" t="n"/>
      <c r="K519" s="15" t="n"/>
      <c r="L519" s="17">
        <f>IF(A519="","",TEXT(A519,"yyyy-mm"))</f>
        <v/>
      </c>
      <c r="M519" s="17">
        <f>IF(AND(A519&lt;&gt;"",J519="Pending"),TODAY()-A519,"")</f>
        <v/>
      </c>
    </row>
    <row r="520">
      <c r="A520" s="16" t="n"/>
      <c r="B520" s="15" t="n"/>
      <c r="C520" s="15" t="n"/>
      <c r="D520" s="17">
        <f>IF($C520="","",IFERROR(INDEX(สินค้า!$A$5:$A$204,MATCH($C520,สินค้า!$B$5:$B$204,0)),"ไม่พบสินค้า"))</f>
        <v/>
      </c>
      <c r="E520" s="17">
        <f>IF($C520="","",IFERROR(INDEX(สินค้า!$C$5:$C$204,MATCH($C520,สินค้า!$B$5:$B$204,0)),"ไม่พบสินค้า"))</f>
        <v/>
      </c>
      <c r="F520" s="17">
        <f>IF($C520="","",IFERROR(INDEX(สินค้า!$D$5:$D$204,MATCH($C520,สินค้า!$B$5:$B$204,0)),"ไม่พบสินค้า"))</f>
        <v/>
      </c>
      <c r="G520" s="15" t="n"/>
      <c r="H520" s="15" t="n"/>
      <c r="I520" s="18">
        <f>IF(AND(ISNUMBER(G520),ISNUMBER(H520),G520&gt;0),H520/G520,"")</f>
        <v/>
      </c>
      <c r="J520" s="15" t="n"/>
      <c r="K520" s="15" t="n"/>
      <c r="L520" s="17">
        <f>IF(A520="","",TEXT(A520,"yyyy-mm"))</f>
        <v/>
      </c>
      <c r="M520" s="17">
        <f>IF(AND(A520&lt;&gt;"",J520="Pending"),TODAY()-A520,"")</f>
        <v/>
      </c>
    </row>
    <row r="521">
      <c r="A521" s="16" t="n"/>
      <c r="B521" s="15" t="n"/>
      <c r="C521" s="15" t="n"/>
      <c r="D521" s="17">
        <f>IF($C521="","",IFERROR(INDEX(สินค้า!$A$5:$A$204,MATCH($C521,สินค้า!$B$5:$B$204,0)),"ไม่พบสินค้า"))</f>
        <v/>
      </c>
      <c r="E521" s="17">
        <f>IF($C521="","",IFERROR(INDEX(สินค้า!$C$5:$C$204,MATCH($C521,สินค้า!$B$5:$B$204,0)),"ไม่พบสินค้า"))</f>
        <v/>
      </c>
      <c r="F521" s="17">
        <f>IF($C521="","",IFERROR(INDEX(สินค้า!$D$5:$D$204,MATCH($C521,สินค้า!$B$5:$B$204,0)),"ไม่พบสินค้า"))</f>
        <v/>
      </c>
      <c r="G521" s="15" t="n"/>
      <c r="H521" s="15" t="n"/>
      <c r="I521" s="18">
        <f>IF(AND(ISNUMBER(G521),ISNUMBER(H521),G521&gt;0),H521/G521,"")</f>
        <v/>
      </c>
      <c r="J521" s="15" t="n"/>
      <c r="K521" s="15" t="n"/>
      <c r="L521" s="17">
        <f>IF(A521="","",TEXT(A521,"yyyy-mm"))</f>
        <v/>
      </c>
      <c r="M521" s="17">
        <f>IF(AND(A521&lt;&gt;"",J521="Pending"),TODAY()-A521,"")</f>
        <v/>
      </c>
    </row>
    <row r="522">
      <c r="A522" s="16" t="n"/>
      <c r="B522" s="15" t="n"/>
      <c r="C522" s="15" t="n"/>
      <c r="D522" s="17">
        <f>IF($C522="","",IFERROR(INDEX(สินค้า!$A$5:$A$204,MATCH($C522,สินค้า!$B$5:$B$204,0)),"ไม่พบสินค้า"))</f>
        <v/>
      </c>
      <c r="E522" s="17">
        <f>IF($C522="","",IFERROR(INDEX(สินค้า!$C$5:$C$204,MATCH($C522,สินค้า!$B$5:$B$204,0)),"ไม่พบสินค้า"))</f>
        <v/>
      </c>
      <c r="F522" s="17">
        <f>IF($C522="","",IFERROR(INDEX(สินค้า!$D$5:$D$204,MATCH($C522,สินค้า!$B$5:$B$204,0)),"ไม่พบสินค้า"))</f>
        <v/>
      </c>
      <c r="G522" s="15" t="n"/>
      <c r="H522" s="15" t="n"/>
      <c r="I522" s="18">
        <f>IF(AND(ISNUMBER(G522),ISNUMBER(H522),G522&gt;0),H522/G522,"")</f>
        <v/>
      </c>
      <c r="J522" s="15" t="n"/>
      <c r="K522" s="15" t="n"/>
      <c r="L522" s="17">
        <f>IF(A522="","",TEXT(A522,"yyyy-mm"))</f>
        <v/>
      </c>
      <c r="M522" s="17">
        <f>IF(AND(A522&lt;&gt;"",J522="Pending"),TODAY()-A522,"")</f>
        <v/>
      </c>
    </row>
    <row r="523">
      <c r="A523" s="16" t="n"/>
      <c r="B523" s="15" t="n"/>
      <c r="C523" s="15" t="n"/>
      <c r="D523" s="17">
        <f>IF($C523="","",IFERROR(INDEX(สินค้า!$A$5:$A$204,MATCH($C523,สินค้า!$B$5:$B$204,0)),"ไม่พบสินค้า"))</f>
        <v/>
      </c>
      <c r="E523" s="17">
        <f>IF($C523="","",IFERROR(INDEX(สินค้า!$C$5:$C$204,MATCH($C523,สินค้า!$B$5:$B$204,0)),"ไม่พบสินค้า"))</f>
        <v/>
      </c>
      <c r="F523" s="17">
        <f>IF($C523="","",IFERROR(INDEX(สินค้า!$D$5:$D$204,MATCH($C523,สินค้า!$B$5:$B$204,0)),"ไม่พบสินค้า"))</f>
        <v/>
      </c>
      <c r="G523" s="15" t="n"/>
      <c r="H523" s="15" t="n"/>
      <c r="I523" s="18">
        <f>IF(AND(ISNUMBER(G523),ISNUMBER(H523),G523&gt;0),H523/G523,"")</f>
        <v/>
      </c>
      <c r="J523" s="15" t="n"/>
      <c r="K523" s="15" t="n"/>
      <c r="L523" s="17">
        <f>IF(A523="","",TEXT(A523,"yyyy-mm"))</f>
        <v/>
      </c>
      <c r="M523" s="17">
        <f>IF(AND(A523&lt;&gt;"",J523="Pending"),TODAY()-A523,"")</f>
        <v/>
      </c>
    </row>
    <row r="524">
      <c r="A524" s="16" t="n"/>
      <c r="B524" s="15" t="n"/>
      <c r="C524" s="15" t="n"/>
      <c r="D524" s="17">
        <f>IF($C524="","",IFERROR(INDEX(สินค้า!$A$5:$A$204,MATCH($C524,สินค้า!$B$5:$B$204,0)),"ไม่พบสินค้า"))</f>
        <v/>
      </c>
      <c r="E524" s="17">
        <f>IF($C524="","",IFERROR(INDEX(สินค้า!$C$5:$C$204,MATCH($C524,สินค้า!$B$5:$B$204,0)),"ไม่พบสินค้า"))</f>
        <v/>
      </c>
      <c r="F524" s="17">
        <f>IF($C524="","",IFERROR(INDEX(สินค้า!$D$5:$D$204,MATCH($C524,สินค้า!$B$5:$B$204,0)),"ไม่พบสินค้า"))</f>
        <v/>
      </c>
      <c r="G524" s="15" t="n"/>
      <c r="H524" s="15" t="n"/>
      <c r="I524" s="18">
        <f>IF(AND(ISNUMBER(G524),ISNUMBER(H524),G524&gt;0),H524/G524,"")</f>
        <v/>
      </c>
      <c r="J524" s="15" t="n"/>
      <c r="K524" s="15" t="n"/>
      <c r="L524" s="17">
        <f>IF(A524="","",TEXT(A524,"yyyy-mm"))</f>
        <v/>
      </c>
      <c r="M524" s="17">
        <f>IF(AND(A524&lt;&gt;"",J524="Pending"),TODAY()-A524,"")</f>
        <v/>
      </c>
    </row>
    <row r="525">
      <c r="A525" s="16" t="n"/>
      <c r="B525" s="15" t="n"/>
      <c r="C525" s="15" t="n"/>
      <c r="D525" s="17">
        <f>IF($C525="","",IFERROR(INDEX(สินค้า!$A$5:$A$204,MATCH($C525,สินค้า!$B$5:$B$204,0)),"ไม่พบสินค้า"))</f>
        <v/>
      </c>
      <c r="E525" s="17">
        <f>IF($C525="","",IFERROR(INDEX(สินค้า!$C$5:$C$204,MATCH($C525,สินค้า!$B$5:$B$204,0)),"ไม่พบสินค้า"))</f>
        <v/>
      </c>
      <c r="F525" s="17">
        <f>IF($C525="","",IFERROR(INDEX(สินค้า!$D$5:$D$204,MATCH($C525,สินค้า!$B$5:$B$204,0)),"ไม่พบสินค้า"))</f>
        <v/>
      </c>
      <c r="G525" s="15" t="n"/>
      <c r="H525" s="15" t="n"/>
      <c r="I525" s="18">
        <f>IF(AND(ISNUMBER(G525),ISNUMBER(H525),G525&gt;0),H525/G525,"")</f>
        <v/>
      </c>
      <c r="J525" s="15" t="n"/>
      <c r="K525" s="15" t="n"/>
      <c r="L525" s="17">
        <f>IF(A525="","",TEXT(A525,"yyyy-mm"))</f>
        <v/>
      </c>
      <c r="M525" s="17">
        <f>IF(AND(A525&lt;&gt;"",J525="Pending"),TODAY()-A525,"")</f>
        <v/>
      </c>
    </row>
    <row r="526">
      <c r="A526" s="16" t="n"/>
      <c r="B526" s="15" t="n"/>
      <c r="C526" s="15" t="n"/>
      <c r="D526" s="17">
        <f>IF($C526="","",IFERROR(INDEX(สินค้า!$A$5:$A$204,MATCH($C526,สินค้า!$B$5:$B$204,0)),"ไม่พบสินค้า"))</f>
        <v/>
      </c>
      <c r="E526" s="17">
        <f>IF($C526="","",IFERROR(INDEX(สินค้า!$C$5:$C$204,MATCH($C526,สินค้า!$B$5:$B$204,0)),"ไม่พบสินค้า"))</f>
        <v/>
      </c>
      <c r="F526" s="17">
        <f>IF($C526="","",IFERROR(INDEX(สินค้า!$D$5:$D$204,MATCH($C526,สินค้า!$B$5:$B$204,0)),"ไม่พบสินค้า"))</f>
        <v/>
      </c>
      <c r="G526" s="15" t="n"/>
      <c r="H526" s="15" t="n"/>
      <c r="I526" s="18">
        <f>IF(AND(ISNUMBER(G526),ISNUMBER(H526),G526&gt;0),H526/G526,"")</f>
        <v/>
      </c>
      <c r="J526" s="15" t="n"/>
      <c r="K526" s="15" t="n"/>
      <c r="L526" s="17">
        <f>IF(A526="","",TEXT(A526,"yyyy-mm"))</f>
        <v/>
      </c>
      <c r="M526" s="17">
        <f>IF(AND(A526&lt;&gt;"",J526="Pending"),TODAY()-A526,"")</f>
        <v/>
      </c>
    </row>
    <row r="527">
      <c r="A527" s="16" t="n"/>
      <c r="B527" s="15" t="n"/>
      <c r="C527" s="15" t="n"/>
      <c r="D527" s="17">
        <f>IF($C527="","",IFERROR(INDEX(สินค้า!$A$5:$A$204,MATCH($C527,สินค้า!$B$5:$B$204,0)),"ไม่พบสินค้า"))</f>
        <v/>
      </c>
      <c r="E527" s="17">
        <f>IF($C527="","",IFERROR(INDEX(สินค้า!$C$5:$C$204,MATCH($C527,สินค้า!$B$5:$B$204,0)),"ไม่พบสินค้า"))</f>
        <v/>
      </c>
      <c r="F527" s="17">
        <f>IF($C527="","",IFERROR(INDEX(สินค้า!$D$5:$D$204,MATCH($C527,สินค้า!$B$5:$B$204,0)),"ไม่พบสินค้า"))</f>
        <v/>
      </c>
      <c r="G527" s="15" t="n"/>
      <c r="H527" s="15" t="n"/>
      <c r="I527" s="18">
        <f>IF(AND(ISNUMBER(G527),ISNUMBER(H527),G527&gt;0),H527/G527,"")</f>
        <v/>
      </c>
      <c r="J527" s="15" t="n"/>
      <c r="K527" s="15" t="n"/>
      <c r="L527" s="17">
        <f>IF(A527="","",TEXT(A527,"yyyy-mm"))</f>
        <v/>
      </c>
      <c r="M527" s="17">
        <f>IF(AND(A527&lt;&gt;"",J527="Pending"),TODAY()-A527,"")</f>
        <v/>
      </c>
    </row>
    <row r="528">
      <c r="A528" s="16" t="n"/>
      <c r="B528" s="15" t="n"/>
      <c r="C528" s="15" t="n"/>
      <c r="D528" s="17">
        <f>IF($C528="","",IFERROR(INDEX(สินค้า!$A$5:$A$204,MATCH($C528,สินค้า!$B$5:$B$204,0)),"ไม่พบสินค้า"))</f>
        <v/>
      </c>
      <c r="E528" s="17">
        <f>IF($C528="","",IFERROR(INDEX(สินค้า!$C$5:$C$204,MATCH($C528,สินค้า!$B$5:$B$204,0)),"ไม่พบสินค้า"))</f>
        <v/>
      </c>
      <c r="F528" s="17">
        <f>IF($C528="","",IFERROR(INDEX(สินค้า!$D$5:$D$204,MATCH($C528,สินค้า!$B$5:$B$204,0)),"ไม่พบสินค้า"))</f>
        <v/>
      </c>
      <c r="G528" s="15" t="n"/>
      <c r="H528" s="15" t="n"/>
      <c r="I528" s="18">
        <f>IF(AND(ISNUMBER(G528),ISNUMBER(H528),G528&gt;0),H528/G528,"")</f>
        <v/>
      </c>
      <c r="J528" s="15" t="n"/>
      <c r="K528" s="15" t="n"/>
      <c r="L528" s="17">
        <f>IF(A528="","",TEXT(A528,"yyyy-mm"))</f>
        <v/>
      </c>
      <c r="M528" s="17">
        <f>IF(AND(A528&lt;&gt;"",J528="Pending"),TODAY()-A528,"")</f>
        <v/>
      </c>
    </row>
    <row r="529">
      <c r="A529" s="16" t="n"/>
      <c r="B529" s="15" t="n"/>
      <c r="C529" s="15" t="n"/>
      <c r="D529" s="17">
        <f>IF($C529="","",IFERROR(INDEX(สินค้า!$A$5:$A$204,MATCH($C529,สินค้า!$B$5:$B$204,0)),"ไม่พบสินค้า"))</f>
        <v/>
      </c>
      <c r="E529" s="17">
        <f>IF($C529="","",IFERROR(INDEX(สินค้า!$C$5:$C$204,MATCH($C529,สินค้า!$B$5:$B$204,0)),"ไม่พบสินค้า"))</f>
        <v/>
      </c>
      <c r="F529" s="17">
        <f>IF($C529="","",IFERROR(INDEX(สินค้า!$D$5:$D$204,MATCH($C529,สินค้า!$B$5:$B$204,0)),"ไม่พบสินค้า"))</f>
        <v/>
      </c>
      <c r="G529" s="15" t="n"/>
      <c r="H529" s="15" t="n"/>
      <c r="I529" s="18">
        <f>IF(AND(ISNUMBER(G529),ISNUMBER(H529),G529&gt;0),H529/G529,"")</f>
        <v/>
      </c>
      <c r="J529" s="15" t="n"/>
      <c r="K529" s="15" t="n"/>
      <c r="L529" s="17">
        <f>IF(A529="","",TEXT(A529,"yyyy-mm"))</f>
        <v/>
      </c>
      <c r="M529" s="17">
        <f>IF(AND(A529&lt;&gt;"",J529="Pending"),TODAY()-A529,"")</f>
        <v/>
      </c>
    </row>
    <row r="530">
      <c r="A530" s="16" t="n"/>
      <c r="B530" s="15" t="n"/>
      <c r="C530" s="15" t="n"/>
      <c r="D530" s="17">
        <f>IF($C530="","",IFERROR(INDEX(สินค้า!$A$5:$A$204,MATCH($C530,สินค้า!$B$5:$B$204,0)),"ไม่พบสินค้า"))</f>
        <v/>
      </c>
      <c r="E530" s="17">
        <f>IF($C530="","",IFERROR(INDEX(สินค้า!$C$5:$C$204,MATCH($C530,สินค้า!$B$5:$B$204,0)),"ไม่พบสินค้า"))</f>
        <v/>
      </c>
      <c r="F530" s="17">
        <f>IF($C530="","",IFERROR(INDEX(สินค้า!$D$5:$D$204,MATCH($C530,สินค้า!$B$5:$B$204,0)),"ไม่พบสินค้า"))</f>
        <v/>
      </c>
      <c r="G530" s="15" t="n"/>
      <c r="H530" s="15" t="n"/>
      <c r="I530" s="18">
        <f>IF(AND(ISNUMBER(G530),ISNUMBER(H530),G530&gt;0),H530/G530,"")</f>
        <v/>
      </c>
      <c r="J530" s="15" t="n"/>
      <c r="K530" s="15" t="n"/>
      <c r="L530" s="17">
        <f>IF(A530="","",TEXT(A530,"yyyy-mm"))</f>
        <v/>
      </c>
      <c r="M530" s="17">
        <f>IF(AND(A530&lt;&gt;"",J530="Pending"),TODAY()-A530,"")</f>
        <v/>
      </c>
    </row>
    <row r="531">
      <c r="A531" s="16" t="n"/>
      <c r="B531" s="15" t="n"/>
      <c r="C531" s="15" t="n"/>
      <c r="D531" s="17">
        <f>IF($C531="","",IFERROR(INDEX(สินค้า!$A$5:$A$204,MATCH($C531,สินค้า!$B$5:$B$204,0)),"ไม่พบสินค้า"))</f>
        <v/>
      </c>
      <c r="E531" s="17">
        <f>IF($C531="","",IFERROR(INDEX(สินค้า!$C$5:$C$204,MATCH($C531,สินค้า!$B$5:$B$204,0)),"ไม่พบสินค้า"))</f>
        <v/>
      </c>
      <c r="F531" s="17">
        <f>IF($C531="","",IFERROR(INDEX(สินค้า!$D$5:$D$204,MATCH($C531,สินค้า!$B$5:$B$204,0)),"ไม่พบสินค้า"))</f>
        <v/>
      </c>
      <c r="G531" s="15" t="n"/>
      <c r="H531" s="15" t="n"/>
      <c r="I531" s="18">
        <f>IF(AND(ISNUMBER(G531),ISNUMBER(H531),G531&gt;0),H531/G531,"")</f>
        <v/>
      </c>
      <c r="J531" s="15" t="n"/>
      <c r="K531" s="15" t="n"/>
      <c r="L531" s="17">
        <f>IF(A531="","",TEXT(A531,"yyyy-mm"))</f>
        <v/>
      </c>
      <c r="M531" s="17">
        <f>IF(AND(A531&lt;&gt;"",J531="Pending"),TODAY()-A531,"")</f>
        <v/>
      </c>
    </row>
    <row r="532">
      <c r="A532" s="16" t="n"/>
      <c r="B532" s="15" t="n"/>
      <c r="C532" s="15" t="n"/>
      <c r="D532" s="17">
        <f>IF($C532="","",IFERROR(INDEX(สินค้า!$A$5:$A$204,MATCH($C532,สินค้า!$B$5:$B$204,0)),"ไม่พบสินค้า"))</f>
        <v/>
      </c>
      <c r="E532" s="17">
        <f>IF($C532="","",IFERROR(INDEX(สินค้า!$C$5:$C$204,MATCH($C532,สินค้า!$B$5:$B$204,0)),"ไม่พบสินค้า"))</f>
        <v/>
      </c>
      <c r="F532" s="17">
        <f>IF($C532="","",IFERROR(INDEX(สินค้า!$D$5:$D$204,MATCH($C532,สินค้า!$B$5:$B$204,0)),"ไม่พบสินค้า"))</f>
        <v/>
      </c>
      <c r="G532" s="15" t="n"/>
      <c r="H532" s="15" t="n"/>
      <c r="I532" s="18">
        <f>IF(AND(ISNUMBER(G532),ISNUMBER(H532),G532&gt;0),H532/G532,"")</f>
        <v/>
      </c>
      <c r="J532" s="15" t="n"/>
      <c r="K532" s="15" t="n"/>
      <c r="L532" s="17">
        <f>IF(A532="","",TEXT(A532,"yyyy-mm"))</f>
        <v/>
      </c>
      <c r="M532" s="17">
        <f>IF(AND(A532&lt;&gt;"",J532="Pending"),TODAY()-A532,"")</f>
        <v/>
      </c>
    </row>
    <row r="533">
      <c r="A533" s="16" t="n"/>
      <c r="B533" s="15" t="n"/>
      <c r="C533" s="15" t="n"/>
      <c r="D533" s="17">
        <f>IF($C533="","",IFERROR(INDEX(สินค้า!$A$5:$A$204,MATCH($C533,สินค้า!$B$5:$B$204,0)),"ไม่พบสินค้า"))</f>
        <v/>
      </c>
      <c r="E533" s="17">
        <f>IF($C533="","",IFERROR(INDEX(สินค้า!$C$5:$C$204,MATCH($C533,สินค้า!$B$5:$B$204,0)),"ไม่พบสินค้า"))</f>
        <v/>
      </c>
      <c r="F533" s="17">
        <f>IF($C533="","",IFERROR(INDEX(สินค้า!$D$5:$D$204,MATCH($C533,สินค้า!$B$5:$B$204,0)),"ไม่พบสินค้า"))</f>
        <v/>
      </c>
      <c r="G533" s="15" t="n"/>
      <c r="H533" s="15" t="n"/>
      <c r="I533" s="18">
        <f>IF(AND(ISNUMBER(G533),ISNUMBER(H533),G533&gt;0),H533/G533,"")</f>
        <v/>
      </c>
      <c r="J533" s="15" t="n"/>
      <c r="K533" s="15" t="n"/>
      <c r="L533" s="17">
        <f>IF(A533="","",TEXT(A533,"yyyy-mm"))</f>
        <v/>
      </c>
      <c r="M533" s="17">
        <f>IF(AND(A533&lt;&gt;"",J533="Pending"),TODAY()-A533,"")</f>
        <v/>
      </c>
    </row>
    <row r="534">
      <c r="A534" s="16" t="n"/>
      <c r="B534" s="15" t="n"/>
      <c r="C534" s="15" t="n"/>
      <c r="D534" s="17">
        <f>IF($C534="","",IFERROR(INDEX(สินค้า!$A$5:$A$204,MATCH($C534,สินค้า!$B$5:$B$204,0)),"ไม่พบสินค้า"))</f>
        <v/>
      </c>
      <c r="E534" s="17">
        <f>IF($C534="","",IFERROR(INDEX(สินค้า!$C$5:$C$204,MATCH($C534,สินค้า!$B$5:$B$204,0)),"ไม่พบสินค้า"))</f>
        <v/>
      </c>
      <c r="F534" s="17">
        <f>IF($C534="","",IFERROR(INDEX(สินค้า!$D$5:$D$204,MATCH($C534,สินค้า!$B$5:$B$204,0)),"ไม่พบสินค้า"))</f>
        <v/>
      </c>
      <c r="G534" s="15" t="n"/>
      <c r="H534" s="15" t="n"/>
      <c r="I534" s="18">
        <f>IF(AND(ISNUMBER(G534),ISNUMBER(H534),G534&gt;0),H534/G534,"")</f>
        <v/>
      </c>
      <c r="J534" s="15" t="n"/>
      <c r="K534" s="15" t="n"/>
      <c r="L534" s="17">
        <f>IF(A534="","",TEXT(A534,"yyyy-mm"))</f>
        <v/>
      </c>
      <c r="M534" s="17">
        <f>IF(AND(A534&lt;&gt;"",J534="Pending"),TODAY()-A534,"")</f>
        <v/>
      </c>
    </row>
    <row r="535">
      <c r="A535" s="16" t="n"/>
      <c r="B535" s="15" t="n"/>
      <c r="C535" s="15" t="n"/>
      <c r="D535" s="17">
        <f>IF($C535="","",IFERROR(INDEX(สินค้า!$A$5:$A$204,MATCH($C535,สินค้า!$B$5:$B$204,0)),"ไม่พบสินค้า"))</f>
        <v/>
      </c>
      <c r="E535" s="17">
        <f>IF($C535="","",IFERROR(INDEX(สินค้า!$C$5:$C$204,MATCH($C535,สินค้า!$B$5:$B$204,0)),"ไม่พบสินค้า"))</f>
        <v/>
      </c>
      <c r="F535" s="17">
        <f>IF($C535="","",IFERROR(INDEX(สินค้า!$D$5:$D$204,MATCH($C535,สินค้า!$B$5:$B$204,0)),"ไม่พบสินค้า"))</f>
        <v/>
      </c>
      <c r="G535" s="15" t="n"/>
      <c r="H535" s="15" t="n"/>
      <c r="I535" s="18">
        <f>IF(AND(ISNUMBER(G535),ISNUMBER(H535),G535&gt;0),H535/G535,"")</f>
        <v/>
      </c>
      <c r="J535" s="15" t="n"/>
      <c r="K535" s="15" t="n"/>
      <c r="L535" s="17">
        <f>IF(A535="","",TEXT(A535,"yyyy-mm"))</f>
        <v/>
      </c>
      <c r="M535" s="17">
        <f>IF(AND(A535&lt;&gt;"",J535="Pending"),TODAY()-A535,"")</f>
        <v/>
      </c>
    </row>
    <row r="536">
      <c r="A536" s="16" t="n"/>
      <c r="B536" s="15" t="n"/>
      <c r="C536" s="15" t="n"/>
      <c r="D536" s="17">
        <f>IF($C536="","",IFERROR(INDEX(สินค้า!$A$5:$A$204,MATCH($C536,สินค้า!$B$5:$B$204,0)),"ไม่พบสินค้า"))</f>
        <v/>
      </c>
      <c r="E536" s="17">
        <f>IF($C536="","",IFERROR(INDEX(สินค้า!$C$5:$C$204,MATCH($C536,สินค้า!$B$5:$B$204,0)),"ไม่พบสินค้า"))</f>
        <v/>
      </c>
      <c r="F536" s="17">
        <f>IF($C536="","",IFERROR(INDEX(สินค้า!$D$5:$D$204,MATCH($C536,สินค้า!$B$5:$B$204,0)),"ไม่พบสินค้า"))</f>
        <v/>
      </c>
      <c r="G536" s="15" t="n"/>
      <c r="H536" s="15" t="n"/>
      <c r="I536" s="18">
        <f>IF(AND(ISNUMBER(G536),ISNUMBER(H536),G536&gt;0),H536/G536,"")</f>
        <v/>
      </c>
      <c r="J536" s="15" t="n"/>
      <c r="K536" s="15" t="n"/>
      <c r="L536" s="17">
        <f>IF(A536="","",TEXT(A536,"yyyy-mm"))</f>
        <v/>
      </c>
      <c r="M536" s="17">
        <f>IF(AND(A536&lt;&gt;"",J536="Pending"),TODAY()-A536,"")</f>
        <v/>
      </c>
    </row>
    <row r="537">
      <c r="A537" s="16" t="n"/>
      <c r="B537" s="15" t="n"/>
      <c r="C537" s="15" t="n"/>
      <c r="D537" s="17">
        <f>IF($C537="","",IFERROR(INDEX(สินค้า!$A$5:$A$204,MATCH($C537,สินค้า!$B$5:$B$204,0)),"ไม่พบสินค้า"))</f>
        <v/>
      </c>
      <c r="E537" s="17">
        <f>IF($C537="","",IFERROR(INDEX(สินค้า!$C$5:$C$204,MATCH($C537,สินค้า!$B$5:$B$204,0)),"ไม่พบสินค้า"))</f>
        <v/>
      </c>
      <c r="F537" s="17">
        <f>IF($C537="","",IFERROR(INDEX(สินค้า!$D$5:$D$204,MATCH($C537,สินค้า!$B$5:$B$204,0)),"ไม่พบสินค้า"))</f>
        <v/>
      </c>
      <c r="G537" s="15" t="n"/>
      <c r="H537" s="15" t="n"/>
      <c r="I537" s="18">
        <f>IF(AND(ISNUMBER(G537),ISNUMBER(H537),G537&gt;0),H537/G537,"")</f>
        <v/>
      </c>
      <c r="J537" s="15" t="n"/>
      <c r="K537" s="15" t="n"/>
      <c r="L537" s="17">
        <f>IF(A537="","",TEXT(A537,"yyyy-mm"))</f>
        <v/>
      </c>
      <c r="M537" s="17">
        <f>IF(AND(A537&lt;&gt;"",J537="Pending"),TODAY()-A537,"")</f>
        <v/>
      </c>
    </row>
    <row r="538">
      <c r="A538" s="16" t="n"/>
      <c r="B538" s="15" t="n"/>
      <c r="C538" s="15" t="n"/>
      <c r="D538" s="17">
        <f>IF($C538="","",IFERROR(INDEX(สินค้า!$A$5:$A$204,MATCH($C538,สินค้า!$B$5:$B$204,0)),"ไม่พบสินค้า"))</f>
        <v/>
      </c>
      <c r="E538" s="17">
        <f>IF($C538="","",IFERROR(INDEX(สินค้า!$C$5:$C$204,MATCH($C538,สินค้า!$B$5:$B$204,0)),"ไม่พบสินค้า"))</f>
        <v/>
      </c>
      <c r="F538" s="17">
        <f>IF($C538="","",IFERROR(INDEX(สินค้า!$D$5:$D$204,MATCH($C538,สินค้า!$B$5:$B$204,0)),"ไม่พบสินค้า"))</f>
        <v/>
      </c>
      <c r="G538" s="15" t="n"/>
      <c r="H538" s="15" t="n"/>
      <c r="I538" s="18">
        <f>IF(AND(ISNUMBER(G538),ISNUMBER(H538),G538&gt;0),H538/G538,"")</f>
        <v/>
      </c>
      <c r="J538" s="15" t="n"/>
      <c r="K538" s="15" t="n"/>
      <c r="L538" s="17">
        <f>IF(A538="","",TEXT(A538,"yyyy-mm"))</f>
        <v/>
      </c>
      <c r="M538" s="17">
        <f>IF(AND(A538&lt;&gt;"",J538="Pending"),TODAY()-A538,"")</f>
        <v/>
      </c>
    </row>
    <row r="539">
      <c r="A539" s="16" t="n"/>
      <c r="B539" s="15" t="n"/>
      <c r="C539" s="15" t="n"/>
      <c r="D539" s="17">
        <f>IF($C539="","",IFERROR(INDEX(สินค้า!$A$5:$A$204,MATCH($C539,สินค้า!$B$5:$B$204,0)),"ไม่พบสินค้า"))</f>
        <v/>
      </c>
      <c r="E539" s="17">
        <f>IF($C539="","",IFERROR(INDEX(สินค้า!$C$5:$C$204,MATCH($C539,สินค้า!$B$5:$B$204,0)),"ไม่พบสินค้า"))</f>
        <v/>
      </c>
      <c r="F539" s="17">
        <f>IF($C539="","",IFERROR(INDEX(สินค้า!$D$5:$D$204,MATCH($C539,สินค้า!$B$5:$B$204,0)),"ไม่พบสินค้า"))</f>
        <v/>
      </c>
      <c r="G539" s="15" t="n"/>
      <c r="H539" s="15" t="n"/>
      <c r="I539" s="18">
        <f>IF(AND(ISNUMBER(G539),ISNUMBER(H539),G539&gt;0),H539/G539,"")</f>
        <v/>
      </c>
      <c r="J539" s="15" t="n"/>
      <c r="K539" s="15" t="n"/>
      <c r="L539" s="17">
        <f>IF(A539="","",TEXT(A539,"yyyy-mm"))</f>
        <v/>
      </c>
      <c r="M539" s="17">
        <f>IF(AND(A539&lt;&gt;"",J539="Pending"),TODAY()-A539,"")</f>
        <v/>
      </c>
    </row>
    <row r="540">
      <c r="A540" s="16" t="n"/>
      <c r="B540" s="15" t="n"/>
      <c r="C540" s="15" t="n"/>
      <c r="D540" s="17">
        <f>IF($C540="","",IFERROR(INDEX(สินค้า!$A$5:$A$204,MATCH($C540,สินค้า!$B$5:$B$204,0)),"ไม่พบสินค้า"))</f>
        <v/>
      </c>
      <c r="E540" s="17">
        <f>IF($C540="","",IFERROR(INDEX(สินค้า!$C$5:$C$204,MATCH($C540,สินค้า!$B$5:$B$204,0)),"ไม่พบสินค้า"))</f>
        <v/>
      </c>
      <c r="F540" s="17">
        <f>IF($C540="","",IFERROR(INDEX(สินค้า!$D$5:$D$204,MATCH($C540,สินค้า!$B$5:$B$204,0)),"ไม่พบสินค้า"))</f>
        <v/>
      </c>
      <c r="G540" s="15" t="n"/>
      <c r="H540" s="15" t="n"/>
      <c r="I540" s="18">
        <f>IF(AND(ISNUMBER(G540),ISNUMBER(H540),G540&gt;0),H540/G540,"")</f>
        <v/>
      </c>
      <c r="J540" s="15" t="n"/>
      <c r="K540" s="15" t="n"/>
      <c r="L540" s="17">
        <f>IF(A540="","",TEXT(A540,"yyyy-mm"))</f>
        <v/>
      </c>
      <c r="M540" s="17">
        <f>IF(AND(A540&lt;&gt;"",J540="Pending"),TODAY()-A540,"")</f>
        <v/>
      </c>
    </row>
    <row r="541">
      <c r="A541" s="16" t="n"/>
      <c r="B541" s="15" t="n"/>
      <c r="C541" s="15" t="n"/>
      <c r="D541" s="17">
        <f>IF($C541="","",IFERROR(INDEX(สินค้า!$A$5:$A$204,MATCH($C541,สินค้า!$B$5:$B$204,0)),"ไม่พบสินค้า"))</f>
        <v/>
      </c>
      <c r="E541" s="17">
        <f>IF($C541="","",IFERROR(INDEX(สินค้า!$C$5:$C$204,MATCH($C541,สินค้า!$B$5:$B$204,0)),"ไม่พบสินค้า"))</f>
        <v/>
      </c>
      <c r="F541" s="17">
        <f>IF($C541="","",IFERROR(INDEX(สินค้า!$D$5:$D$204,MATCH($C541,สินค้า!$B$5:$B$204,0)),"ไม่พบสินค้า"))</f>
        <v/>
      </c>
      <c r="G541" s="15" t="n"/>
      <c r="H541" s="15" t="n"/>
      <c r="I541" s="18">
        <f>IF(AND(ISNUMBER(G541),ISNUMBER(H541),G541&gt;0),H541/G541,"")</f>
        <v/>
      </c>
      <c r="J541" s="15" t="n"/>
      <c r="K541" s="15" t="n"/>
      <c r="L541" s="17">
        <f>IF(A541="","",TEXT(A541,"yyyy-mm"))</f>
        <v/>
      </c>
      <c r="M541" s="17">
        <f>IF(AND(A541&lt;&gt;"",J541="Pending"),TODAY()-A541,"")</f>
        <v/>
      </c>
    </row>
    <row r="542">
      <c r="A542" s="16" t="n"/>
      <c r="B542" s="15" t="n"/>
      <c r="C542" s="15" t="n"/>
      <c r="D542" s="17">
        <f>IF($C542="","",IFERROR(INDEX(สินค้า!$A$5:$A$204,MATCH($C542,สินค้า!$B$5:$B$204,0)),"ไม่พบสินค้า"))</f>
        <v/>
      </c>
      <c r="E542" s="17">
        <f>IF($C542="","",IFERROR(INDEX(สินค้า!$C$5:$C$204,MATCH($C542,สินค้า!$B$5:$B$204,0)),"ไม่พบสินค้า"))</f>
        <v/>
      </c>
      <c r="F542" s="17">
        <f>IF($C542="","",IFERROR(INDEX(สินค้า!$D$5:$D$204,MATCH($C542,สินค้า!$B$5:$B$204,0)),"ไม่พบสินค้า"))</f>
        <v/>
      </c>
      <c r="G542" s="15" t="n"/>
      <c r="H542" s="15" t="n"/>
      <c r="I542" s="18">
        <f>IF(AND(ISNUMBER(G542),ISNUMBER(H542),G542&gt;0),H542/G542,"")</f>
        <v/>
      </c>
      <c r="J542" s="15" t="n"/>
      <c r="K542" s="15" t="n"/>
      <c r="L542" s="17">
        <f>IF(A542="","",TEXT(A542,"yyyy-mm"))</f>
        <v/>
      </c>
      <c r="M542" s="17">
        <f>IF(AND(A542&lt;&gt;"",J542="Pending"),TODAY()-A542,"")</f>
        <v/>
      </c>
    </row>
    <row r="543">
      <c r="A543" s="16" t="n"/>
      <c r="B543" s="15" t="n"/>
      <c r="C543" s="15" t="n"/>
      <c r="D543" s="17">
        <f>IF($C543="","",IFERROR(INDEX(สินค้า!$A$5:$A$204,MATCH($C543,สินค้า!$B$5:$B$204,0)),"ไม่พบสินค้า"))</f>
        <v/>
      </c>
      <c r="E543" s="17">
        <f>IF($C543="","",IFERROR(INDEX(สินค้า!$C$5:$C$204,MATCH($C543,สินค้า!$B$5:$B$204,0)),"ไม่พบสินค้า"))</f>
        <v/>
      </c>
      <c r="F543" s="17">
        <f>IF($C543="","",IFERROR(INDEX(สินค้า!$D$5:$D$204,MATCH($C543,สินค้า!$B$5:$B$204,0)),"ไม่พบสินค้า"))</f>
        <v/>
      </c>
      <c r="G543" s="15" t="n"/>
      <c r="H543" s="15" t="n"/>
      <c r="I543" s="18">
        <f>IF(AND(ISNUMBER(G543),ISNUMBER(H543),G543&gt;0),H543/G543,"")</f>
        <v/>
      </c>
      <c r="J543" s="15" t="n"/>
      <c r="K543" s="15" t="n"/>
      <c r="L543" s="17">
        <f>IF(A543="","",TEXT(A543,"yyyy-mm"))</f>
        <v/>
      </c>
      <c r="M543" s="17">
        <f>IF(AND(A543&lt;&gt;"",J543="Pending"),TODAY()-A543,"")</f>
        <v/>
      </c>
    </row>
    <row r="544">
      <c r="A544" s="16" t="n"/>
      <c r="B544" s="15" t="n"/>
      <c r="C544" s="15" t="n"/>
      <c r="D544" s="17">
        <f>IF($C544="","",IFERROR(INDEX(สินค้า!$A$5:$A$204,MATCH($C544,สินค้า!$B$5:$B$204,0)),"ไม่พบสินค้า"))</f>
        <v/>
      </c>
      <c r="E544" s="17">
        <f>IF($C544="","",IFERROR(INDEX(สินค้า!$C$5:$C$204,MATCH($C544,สินค้า!$B$5:$B$204,0)),"ไม่พบสินค้า"))</f>
        <v/>
      </c>
      <c r="F544" s="17">
        <f>IF($C544="","",IFERROR(INDEX(สินค้า!$D$5:$D$204,MATCH($C544,สินค้า!$B$5:$B$204,0)),"ไม่พบสินค้า"))</f>
        <v/>
      </c>
      <c r="G544" s="15" t="n"/>
      <c r="H544" s="15" t="n"/>
      <c r="I544" s="18">
        <f>IF(AND(ISNUMBER(G544),ISNUMBER(H544),G544&gt;0),H544/G544,"")</f>
        <v/>
      </c>
      <c r="J544" s="15" t="n"/>
      <c r="K544" s="15" t="n"/>
      <c r="L544" s="17">
        <f>IF(A544="","",TEXT(A544,"yyyy-mm"))</f>
        <v/>
      </c>
      <c r="M544" s="17">
        <f>IF(AND(A544&lt;&gt;"",J544="Pending"),TODAY()-A544,"")</f>
        <v/>
      </c>
    </row>
    <row r="545">
      <c r="A545" s="16" t="n"/>
      <c r="B545" s="15" t="n"/>
      <c r="C545" s="15" t="n"/>
      <c r="D545" s="17">
        <f>IF($C545="","",IFERROR(INDEX(สินค้า!$A$5:$A$204,MATCH($C545,สินค้า!$B$5:$B$204,0)),"ไม่พบสินค้า"))</f>
        <v/>
      </c>
      <c r="E545" s="17">
        <f>IF($C545="","",IFERROR(INDEX(สินค้า!$C$5:$C$204,MATCH($C545,สินค้า!$B$5:$B$204,0)),"ไม่พบสินค้า"))</f>
        <v/>
      </c>
      <c r="F545" s="17">
        <f>IF($C545="","",IFERROR(INDEX(สินค้า!$D$5:$D$204,MATCH($C545,สินค้า!$B$5:$B$204,0)),"ไม่พบสินค้า"))</f>
        <v/>
      </c>
      <c r="G545" s="15" t="n"/>
      <c r="H545" s="15" t="n"/>
      <c r="I545" s="18">
        <f>IF(AND(ISNUMBER(G545),ISNUMBER(H545),G545&gt;0),H545/G545,"")</f>
        <v/>
      </c>
      <c r="J545" s="15" t="n"/>
      <c r="K545" s="15" t="n"/>
      <c r="L545" s="17">
        <f>IF(A545="","",TEXT(A545,"yyyy-mm"))</f>
        <v/>
      </c>
      <c r="M545" s="17">
        <f>IF(AND(A545&lt;&gt;"",J545="Pending"),TODAY()-A545,"")</f>
        <v/>
      </c>
    </row>
    <row r="546">
      <c r="A546" s="16" t="n"/>
      <c r="B546" s="15" t="n"/>
      <c r="C546" s="15" t="n"/>
      <c r="D546" s="17">
        <f>IF($C546="","",IFERROR(INDEX(สินค้า!$A$5:$A$204,MATCH($C546,สินค้า!$B$5:$B$204,0)),"ไม่พบสินค้า"))</f>
        <v/>
      </c>
      <c r="E546" s="17">
        <f>IF($C546="","",IFERROR(INDEX(สินค้า!$C$5:$C$204,MATCH($C546,สินค้า!$B$5:$B$204,0)),"ไม่พบสินค้า"))</f>
        <v/>
      </c>
      <c r="F546" s="17">
        <f>IF($C546="","",IFERROR(INDEX(สินค้า!$D$5:$D$204,MATCH($C546,สินค้า!$B$5:$B$204,0)),"ไม่พบสินค้า"))</f>
        <v/>
      </c>
      <c r="G546" s="15" t="n"/>
      <c r="H546" s="15" t="n"/>
      <c r="I546" s="18">
        <f>IF(AND(ISNUMBER(G546),ISNUMBER(H546),G546&gt;0),H546/G546,"")</f>
        <v/>
      </c>
      <c r="J546" s="15" t="n"/>
      <c r="K546" s="15" t="n"/>
      <c r="L546" s="17">
        <f>IF(A546="","",TEXT(A546,"yyyy-mm"))</f>
        <v/>
      </c>
      <c r="M546" s="17">
        <f>IF(AND(A546&lt;&gt;"",J546="Pending"),TODAY()-A546,"")</f>
        <v/>
      </c>
    </row>
    <row r="547">
      <c r="A547" s="16" t="n"/>
      <c r="B547" s="15" t="n"/>
      <c r="C547" s="15" t="n"/>
      <c r="D547" s="17">
        <f>IF($C547="","",IFERROR(INDEX(สินค้า!$A$5:$A$204,MATCH($C547,สินค้า!$B$5:$B$204,0)),"ไม่พบสินค้า"))</f>
        <v/>
      </c>
      <c r="E547" s="17">
        <f>IF($C547="","",IFERROR(INDEX(สินค้า!$C$5:$C$204,MATCH($C547,สินค้า!$B$5:$B$204,0)),"ไม่พบสินค้า"))</f>
        <v/>
      </c>
      <c r="F547" s="17">
        <f>IF($C547="","",IFERROR(INDEX(สินค้า!$D$5:$D$204,MATCH($C547,สินค้า!$B$5:$B$204,0)),"ไม่พบสินค้า"))</f>
        <v/>
      </c>
      <c r="G547" s="15" t="n"/>
      <c r="H547" s="15" t="n"/>
      <c r="I547" s="18">
        <f>IF(AND(ISNUMBER(G547),ISNUMBER(H547),G547&gt;0),H547/G547,"")</f>
        <v/>
      </c>
      <c r="J547" s="15" t="n"/>
      <c r="K547" s="15" t="n"/>
      <c r="L547" s="17">
        <f>IF(A547="","",TEXT(A547,"yyyy-mm"))</f>
        <v/>
      </c>
      <c r="M547" s="17">
        <f>IF(AND(A547&lt;&gt;"",J547="Pending"),TODAY()-A547,"")</f>
        <v/>
      </c>
    </row>
    <row r="548">
      <c r="A548" s="16" t="n"/>
      <c r="B548" s="15" t="n"/>
      <c r="C548" s="15" t="n"/>
      <c r="D548" s="17">
        <f>IF($C548="","",IFERROR(INDEX(สินค้า!$A$5:$A$204,MATCH($C548,สินค้า!$B$5:$B$204,0)),"ไม่พบสินค้า"))</f>
        <v/>
      </c>
      <c r="E548" s="17">
        <f>IF($C548="","",IFERROR(INDEX(สินค้า!$C$5:$C$204,MATCH($C548,สินค้า!$B$5:$B$204,0)),"ไม่พบสินค้า"))</f>
        <v/>
      </c>
      <c r="F548" s="17">
        <f>IF($C548="","",IFERROR(INDEX(สินค้า!$D$5:$D$204,MATCH($C548,สินค้า!$B$5:$B$204,0)),"ไม่พบสินค้า"))</f>
        <v/>
      </c>
      <c r="G548" s="15" t="n"/>
      <c r="H548" s="15" t="n"/>
      <c r="I548" s="18">
        <f>IF(AND(ISNUMBER(G548),ISNUMBER(H548),G548&gt;0),H548/G548,"")</f>
        <v/>
      </c>
      <c r="J548" s="15" t="n"/>
      <c r="K548" s="15" t="n"/>
      <c r="L548" s="17">
        <f>IF(A548="","",TEXT(A548,"yyyy-mm"))</f>
        <v/>
      </c>
      <c r="M548" s="17">
        <f>IF(AND(A548&lt;&gt;"",J548="Pending"),TODAY()-A548,"")</f>
        <v/>
      </c>
    </row>
    <row r="549">
      <c r="A549" s="16" t="n"/>
      <c r="B549" s="15" t="n"/>
      <c r="C549" s="15" t="n"/>
      <c r="D549" s="17">
        <f>IF($C549="","",IFERROR(INDEX(สินค้า!$A$5:$A$204,MATCH($C549,สินค้า!$B$5:$B$204,0)),"ไม่พบสินค้า"))</f>
        <v/>
      </c>
      <c r="E549" s="17">
        <f>IF($C549="","",IFERROR(INDEX(สินค้า!$C$5:$C$204,MATCH($C549,สินค้า!$B$5:$B$204,0)),"ไม่พบสินค้า"))</f>
        <v/>
      </c>
      <c r="F549" s="17">
        <f>IF($C549="","",IFERROR(INDEX(สินค้า!$D$5:$D$204,MATCH($C549,สินค้า!$B$5:$B$204,0)),"ไม่พบสินค้า"))</f>
        <v/>
      </c>
      <c r="G549" s="15" t="n"/>
      <c r="H549" s="15" t="n"/>
      <c r="I549" s="18">
        <f>IF(AND(ISNUMBER(G549),ISNUMBER(H549),G549&gt;0),H549/G549,"")</f>
        <v/>
      </c>
      <c r="J549" s="15" t="n"/>
      <c r="K549" s="15" t="n"/>
      <c r="L549" s="17">
        <f>IF(A549="","",TEXT(A549,"yyyy-mm"))</f>
        <v/>
      </c>
      <c r="M549" s="17">
        <f>IF(AND(A549&lt;&gt;"",J549="Pending"),TODAY()-A549,"")</f>
        <v/>
      </c>
    </row>
    <row r="550">
      <c r="A550" s="16" t="n"/>
      <c r="B550" s="15" t="n"/>
      <c r="C550" s="15" t="n"/>
      <c r="D550" s="17">
        <f>IF($C550="","",IFERROR(INDEX(สินค้า!$A$5:$A$204,MATCH($C550,สินค้า!$B$5:$B$204,0)),"ไม่พบสินค้า"))</f>
        <v/>
      </c>
      <c r="E550" s="17">
        <f>IF($C550="","",IFERROR(INDEX(สินค้า!$C$5:$C$204,MATCH($C550,สินค้า!$B$5:$B$204,0)),"ไม่พบสินค้า"))</f>
        <v/>
      </c>
      <c r="F550" s="17">
        <f>IF($C550="","",IFERROR(INDEX(สินค้า!$D$5:$D$204,MATCH($C550,สินค้า!$B$5:$B$204,0)),"ไม่พบสินค้า"))</f>
        <v/>
      </c>
      <c r="G550" s="15" t="n"/>
      <c r="H550" s="15" t="n"/>
      <c r="I550" s="18">
        <f>IF(AND(ISNUMBER(G550),ISNUMBER(H550),G550&gt;0),H550/G550,"")</f>
        <v/>
      </c>
      <c r="J550" s="15" t="n"/>
      <c r="K550" s="15" t="n"/>
      <c r="L550" s="17">
        <f>IF(A550="","",TEXT(A550,"yyyy-mm"))</f>
        <v/>
      </c>
      <c r="M550" s="17">
        <f>IF(AND(A550&lt;&gt;"",J550="Pending"),TODAY()-A550,"")</f>
        <v/>
      </c>
    </row>
    <row r="551">
      <c r="A551" s="16" t="n"/>
      <c r="B551" s="15" t="n"/>
      <c r="C551" s="15" t="n"/>
      <c r="D551" s="17">
        <f>IF($C551="","",IFERROR(INDEX(สินค้า!$A$5:$A$204,MATCH($C551,สินค้า!$B$5:$B$204,0)),"ไม่พบสินค้า"))</f>
        <v/>
      </c>
      <c r="E551" s="17">
        <f>IF($C551="","",IFERROR(INDEX(สินค้า!$C$5:$C$204,MATCH($C551,สินค้า!$B$5:$B$204,0)),"ไม่พบสินค้า"))</f>
        <v/>
      </c>
      <c r="F551" s="17">
        <f>IF($C551="","",IFERROR(INDEX(สินค้า!$D$5:$D$204,MATCH($C551,สินค้า!$B$5:$B$204,0)),"ไม่พบสินค้า"))</f>
        <v/>
      </c>
      <c r="G551" s="15" t="n"/>
      <c r="H551" s="15" t="n"/>
      <c r="I551" s="18">
        <f>IF(AND(ISNUMBER(G551),ISNUMBER(H551),G551&gt;0),H551/G551,"")</f>
        <v/>
      </c>
      <c r="J551" s="15" t="n"/>
      <c r="K551" s="15" t="n"/>
      <c r="L551" s="17">
        <f>IF(A551="","",TEXT(A551,"yyyy-mm"))</f>
        <v/>
      </c>
      <c r="M551" s="17">
        <f>IF(AND(A551&lt;&gt;"",J551="Pending"),TODAY()-A551,"")</f>
        <v/>
      </c>
    </row>
    <row r="552">
      <c r="A552" s="16" t="n"/>
      <c r="B552" s="15" t="n"/>
      <c r="C552" s="15" t="n"/>
      <c r="D552" s="17">
        <f>IF($C552="","",IFERROR(INDEX(สินค้า!$A$5:$A$204,MATCH($C552,สินค้า!$B$5:$B$204,0)),"ไม่พบสินค้า"))</f>
        <v/>
      </c>
      <c r="E552" s="17">
        <f>IF($C552="","",IFERROR(INDEX(สินค้า!$C$5:$C$204,MATCH($C552,สินค้า!$B$5:$B$204,0)),"ไม่พบสินค้า"))</f>
        <v/>
      </c>
      <c r="F552" s="17">
        <f>IF($C552="","",IFERROR(INDEX(สินค้า!$D$5:$D$204,MATCH($C552,สินค้า!$B$5:$B$204,0)),"ไม่พบสินค้า"))</f>
        <v/>
      </c>
      <c r="G552" s="15" t="n"/>
      <c r="H552" s="15" t="n"/>
      <c r="I552" s="18">
        <f>IF(AND(ISNUMBER(G552),ISNUMBER(H552),G552&gt;0),H552/G552,"")</f>
        <v/>
      </c>
      <c r="J552" s="15" t="n"/>
      <c r="K552" s="15" t="n"/>
      <c r="L552" s="17">
        <f>IF(A552="","",TEXT(A552,"yyyy-mm"))</f>
        <v/>
      </c>
      <c r="M552" s="17">
        <f>IF(AND(A552&lt;&gt;"",J552="Pending"),TODAY()-A552,"")</f>
        <v/>
      </c>
    </row>
    <row r="553">
      <c r="A553" s="16" t="n"/>
      <c r="B553" s="15" t="n"/>
      <c r="C553" s="15" t="n"/>
      <c r="D553" s="17">
        <f>IF($C553="","",IFERROR(INDEX(สินค้า!$A$5:$A$204,MATCH($C553,สินค้า!$B$5:$B$204,0)),"ไม่พบสินค้า"))</f>
        <v/>
      </c>
      <c r="E553" s="17">
        <f>IF($C553="","",IFERROR(INDEX(สินค้า!$C$5:$C$204,MATCH($C553,สินค้า!$B$5:$B$204,0)),"ไม่พบสินค้า"))</f>
        <v/>
      </c>
      <c r="F553" s="17">
        <f>IF($C553="","",IFERROR(INDEX(สินค้า!$D$5:$D$204,MATCH($C553,สินค้า!$B$5:$B$204,0)),"ไม่พบสินค้า"))</f>
        <v/>
      </c>
      <c r="G553" s="15" t="n"/>
      <c r="H553" s="15" t="n"/>
      <c r="I553" s="18">
        <f>IF(AND(ISNUMBER(G553),ISNUMBER(H553),G553&gt;0),H553/G553,"")</f>
        <v/>
      </c>
      <c r="J553" s="15" t="n"/>
      <c r="K553" s="15" t="n"/>
      <c r="L553" s="17">
        <f>IF(A553="","",TEXT(A553,"yyyy-mm"))</f>
        <v/>
      </c>
      <c r="M553" s="17">
        <f>IF(AND(A553&lt;&gt;"",J553="Pending"),TODAY()-A553,"")</f>
        <v/>
      </c>
    </row>
    <row r="554">
      <c r="A554" s="16" t="n"/>
      <c r="B554" s="15" t="n"/>
      <c r="C554" s="15" t="n"/>
      <c r="D554" s="17">
        <f>IF($C554="","",IFERROR(INDEX(สินค้า!$A$5:$A$204,MATCH($C554,สินค้า!$B$5:$B$204,0)),"ไม่พบสินค้า"))</f>
        <v/>
      </c>
      <c r="E554" s="17">
        <f>IF($C554="","",IFERROR(INDEX(สินค้า!$C$5:$C$204,MATCH($C554,สินค้า!$B$5:$B$204,0)),"ไม่พบสินค้า"))</f>
        <v/>
      </c>
      <c r="F554" s="17">
        <f>IF($C554="","",IFERROR(INDEX(สินค้า!$D$5:$D$204,MATCH($C554,สินค้า!$B$5:$B$204,0)),"ไม่พบสินค้า"))</f>
        <v/>
      </c>
      <c r="G554" s="15" t="n"/>
      <c r="H554" s="15" t="n"/>
      <c r="I554" s="18">
        <f>IF(AND(ISNUMBER(G554),ISNUMBER(H554),G554&gt;0),H554/G554,"")</f>
        <v/>
      </c>
      <c r="J554" s="15" t="n"/>
      <c r="K554" s="15" t="n"/>
      <c r="L554" s="17">
        <f>IF(A554="","",TEXT(A554,"yyyy-mm"))</f>
        <v/>
      </c>
      <c r="M554" s="17">
        <f>IF(AND(A554&lt;&gt;"",J554="Pending"),TODAY()-A554,"")</f>
        <v/>
      </c>
    </row>
    <row r="555">
      <c r="A555" s="16" t="n"/>
      <c r="B555" s="15" t="n"/>
      <c r="C555" s="15" t="n"/>
      <c r="D555" s="17">
        <f>IF($C555="","",IFERROR(INDEX(สินค้า!$A$5:$A$204,MATCH($C555,สินค้า!$B$5:$B$204,0)),"ไม่พบสินค้า"))</f>
        <v/>
      </c>
      <c r="E555" s="17">
        <f>IF($C555="","",IFERROR(INDEX(สินค้า!$C$5:$C$204,MATCH($C555,สินค้า!$B$5:$B$204,0)),"ไม่พบสินค้า"))</f>
        <v/>
      </c>
      <c r="F555" s="17">
        <f>IF($C555="","",IFERROR(INDEX(สินค้า!$D$5:$D$204,MATCH($C555,สินค้า!$B$5:$B$204,0)),"ไม่พบสินค้า"))</f>
        <v/>
      </c>
      <c r="G555" s="15" t="n"/>
      <c r="H555" s="15" t="n"/>
      <c r="I555" s="18">
        <f>IF(AND(ISNUMBER(G555),ISNUMBER(H555),G555&gt;0),H555/G555,"")</f>
        <v/>
      </c>
      <c r="J555" s="15" t="n"/>
      <c r="K555" s="15" t="n"/>
      <c r="L555" s="17">
        <f>IF(A555="","",TEXT(A555,"yyyy-mm"))</f>
        <v/>
      </c>
      <c r="M555" s="17">
        <f>IF(AND(A555&lt;&gt;"",J555="Pending"),TODAY()-A555,"")</f>
        <v/>
      </c>
    </row>
    <row r="556">
      <c r="A556" s="16" t="n"/>
      <c r="B556" s="15" t="n"/>
      <c r="C556" s="15" t="n"/>
      <c r="D556" s="17">
        <f>IF($C556="","",IFERROR(INDEX(สินค้า!$A$5:$A$204,MATCH($C556,สินค้า!$B$5:$B$204,0)),"ไม่พบสินค้า"))</f>
        <v/>
      </c>
      <c r="E556" s="17">
        <f>IF($C556="","",IFERROR(INDEX(สินค้า!$C$5:$C$204,MATCH($C556,สินค้า!$B$5:$B$204,0)),"ไม่พบสินค้า"))</f>
        <v/>
      </c>
      <c r="F556" s="17">
        <f>IF($C556="","",IFERROR(INDEX(สินค้า!$D$5:$D$204,MATCH($C556,สินค้า!$B$5:$B$204,0)),"ไม่พบสินค้า"))</f>
        <v/>
      </c>
      <c r="G556" s="15" t="n"/>
      <c r="H556" s="15" t="n"/>
      <c r="I556" s="18">
        <f>IF(AND(ISNUMBER(G556),ISNUMBER(H556),G556&gt;0),H556/G556,"")</f>
        <v/>
      </c>
      <c r="J556" s="15" t="n"/>
      <c r="K556" s="15" t="n"/>
      <c r="L556" s="17">
        <f>IF(A556="","",TEXT(A556,"yyyy-mm"))</f>
        <v/>
      </c>
      <c r="M556" s="17">
        <f>IF(AND(A556&lt;&gt;"",J556="Pending"),TODAY()-A556,"")</f>
        <v/>
      </c>
    </row>
    <row r="557">
      <c r="A557" s="16" t="n"/>
      <c r="B557" s="15" t="n"/>
      <c r="C557" s="15" t="n"/>
      <c r="D557" s="17">
        <f>IF($C557="","",IFERROR(INDEX(สินค้า!$A$5:$A$204,MATCH($C557,สินค้า!$B$5:$B$204,0)),"ไม่พบสินค้า"))</f>
        <v/>
      </c>
      <c r="E557" s="17">
        <f>IF($C557="","",IFERROR(INDEX(สินค้า!$C$5:$C$204,MATCH($C557,สินค้า!$B$5:$B$204,0)),"ไม่พบสินค้า"))</f>
        <v/>
      </c>
      <c r="F557" s="17">
        <f>IF($C557="","",IFERROR(INDEX(สินค้า!$D$5:$D$204,MATCH($C557,สินค้า!$B$5:$B$204,0)),"ไม่พบสินค้า"))</f>
        <v/>
      </c>
      <c r="G557" s="15" t="n"/>
      <c r="H557" s="15" t="n"/>
      <c r="I557" s="18">
        <f>IF(AND(ISNUMBER(G557),ISNUMBER(H557),G557&gt;0),H557/G557,"")</f>
        <v/>
      </c>
      <c r="J557" s="15" t="n"/>
      <c r="K557" s="15" t="n"/>
      <c r="L557" s="17">
        <f>IF(A557="","",TEXT(A557,"yyyy-mm"))</f>
        <v/>
      </c>
      <c r="M557" s="17">
        <f>IF(AND(A557&lt;&gt;"",J557="Pending"),TODAY()-A557,"")</f>
        <v/>
      </c>
    </row>
    <row r="558">
      <c r="A558" s="16" t="n"/>
      <c r="B558" s="15" t="n"/>
      <c r="C558" s="15" t="n"/>
      <c r="D558" s="17">
        <f>IF($C558="","",IFERROR(INDEX(สินค้า!$A$5:$A$204,MATCH($C558,สินค้า!$B$5:$B$204,0)),"ไม่พบสินค้า"))</f>
        <v/>
      </c>
      <c r="E558" s="17">
        <f>IF($C558="","",IFERROR(INDEX(สินค้า!$C$5:$C$204,MATCH($C558,สินค้า!$B$5:$B$204,0)),"ไม่พบสินค้า"))</f>
        <v/>
      </c>
      <c r="F558" s="17">
        <f>IF($C558="","",IFERROR(INDEX(สินค้า!$D$5:$D$204,MATCH($C558,สินค้า!$B$5:$B$204,0)),"ไม่พบสินค้า"))</f>
        <v/>
      </c>
      <c r="G558" s="15" t="n"/>
      <c r="H558" s="15" t="n"/>
      <c r="I558" s="18">
        <f>IF(AND(ISNUMBER(G558),ISNUMBER(H558),G558&gt;0),H558/G558,"")</f>
        <v/>
      </c>
      <c r="J558" s="15" t="n"/>
      <c r="K558" s="15" t="n"/>
      <c r="L558" s="17">
        <f>IF(A558="","",TEXT(A558,"yyyy-mm"))</f>
        <v/>
      </c>
      <c r="M558" s="17">
        <f>IF(AND(A558&lt;&gt;"",J558="Pending"),TODAY()-A558,"")</f>
        <v/>
      </c>
    </row>
    <row r="559">
      <c r="A559" s="16" t="n"/>
      <c r="B559" s="15" t="n"/>
      <c r="C559" s="15" t="n"/>
      <c r="D559" s="17">
        <f>IF($C559="","",IFERROR(INDEX(สินค้า!$A$5:$A$204,MATCH($C559,สินค้า!$B$5:$B$204,0)),"ไม่พบสินค้า"))</f>
        <v/>
      </c>
      <c r="E559" s="17">
        <f>IF($C559="","",IFERROR(INDEX(สินค้า!$C$5:$C$204,MATCH($C559,สินค้า!$B$5:$B$204,0)),"ไม่พบสินค้า"))</f>
        <v/>
      </c>
      <c r="F559" s="17">
        <f>IF($C559="","",IFERROR(INDEX(สินค้า!$D$5:$D$204,MATCH($C559,สินค้า!$B$5:$B$204,0)),"ไม่พบสินค้า"))</f>
        <v/>
      </c>
      <c r="G559" s="15" t="n"/>
      <c r="H559" s="15" t="n"/>
      <c r="I559" s="18">
        <f>IF(AND(ISNUMBER(G559),ISNUMBER(H559),G559&gt;0),H559/G559,"")</f>
        <v/>
      </c>
      <c r="J559" s="15" t="n"/>
      <c r="K559" s="15" t="n"/>
      <c r="L559" s="17">
        <f>IF(A559="","",TEXT(A559,"yyyy-mm"))</f>
        <v/>
      </c>
      <c r="M559" s="17">
        <f>IF(AND(A559&lt;&gt;"",J559="Pending"),TODAY()-A559,"")</f>
        <v/>
      </c>
    </row>
    <row r="560">
      <c r="A560" s="16" t="n"/>
      <c r="B560" s="15" t="n"/>
      <c r="C560" s="15" t="n"/>
      <c r="D560" s="17">
        <f>IF($C560="","",IFERROR(INDEX(สินค้า!$A$5:$A$204,MATCH($C560,สินค้า!$B$5:$B$204,0)),"ไม่พบสินค้า"))</f>
        <v/>
      </c>
      <c r="E560" s="17">
        <f>IF($C560="","",IFERROR(INDEX(สินค้า!$C$5:$C$204,MATCH($C560,สินค้า!$B$5:$B$204,0)),"ไม่พบสินค้า"))</f>
        <v/>
      </c>
      <c r="F560" s="17">
        <f>IF($C560="","",IFERROR(INDEX(สินค้า!$D$5:$D$204,MATCH($C560,สินค้า!$B$5:$B$204,0)),"ไม่พบสินค้า"))</f>
        <v/>
      </c>
      <c r="G560" s="15" t="n"/>
      <c r="H560" s="15" t="n"/>
      <c r="I560" s="18">
        <f>IF(AND(ISNUMBER(G560),ISNUMBER(H560),G560&gt;0),H560/G560,"")</f>
        <v/>
      </c>
      <c r="J560" s="15" t="n"/>
      <c r="K560" s="15" t="n"/>
      <c r="L560" s="17">
        <f>IF(A560="","",TEXT(A560,"yyyy-mm"))</f>
        <v/>
      </c>
      <c r="M560" s="17">
        <f>IF(AND(A560&lt;&gt;"",J560="Pending"),TODAY()-A560,"")</f>
        <v/>
      </c>
    </row>
    <row r="561">
      <c r="A561" s="16" t="n"/>
      <c r="B561" s="15" t="n"/>
      <c r="C561" s="15" t="n"/>
      <c r="D561" s="17">
        <f>IF($C561="","",IFERROR(INDEX(สินค้า!$A$5:$A$204,MATCH($C561,สินค้า!$B$5:$B$204,0)),"ไม่พบสินค้า"))</f>
        <v/>
      </c>
      <c r="E561" s="17">
        <f>IF($C561="","",IFERROR(INDEX(สินค้า!$C$5:$C$204,MATCH($C561,สินค้า!$B$5:$B$204,0)),"ไม่พบสินค้า"))</f>
        <v/>
      </c>
      <c r="F561" s="17">
        <f>IF($C561="","",IFERROR(INDEX(สินค้า!$D$5:$D$204,MATCH($C561,สินค้า!$B$5:$B$204,0)),"ไม่พบสินค้า"))</f>
        <v/>
      </c>
      <c r="G561" s="15" t="n"/>
      <c r="H561" s="15" t="n"/>
      <c r="I561" s="18">
        <f>IF(AND(ISNUMBER(G561),ISNUMBER(H561),G561&gt;0),H561/G561,"")</f>
        <v/>
      </c>
      <c r="J561" s="15" t="n"/>
      <c r="K561" s="15" t="n"/>
      <c r="L561" s="17">
        <f>IF(A561="","",TEXT(A561,"yyyy-mm"))</f>
        <v/>
      </c>
      <c r="M561" s="17">
        <f>IF(AND(A561&lt;&gt;"",J561="Pending"),TODAY()-A561,"")</f>
        <v/>
      </c>
    </row>
    <row r="562">
      <c r="A562" s="16" t="n"/>
      <c r="B562" s="15" t="n"/>
      <c r="C562" s="15" t="n"/>
      <c r="D562" s="17">
        <f>IF($C562="","",IFERROR(INDEX(สินค้า!$A$5:$A$204,MATCH($C562,สินค้า!$B$5:$B$204,0)),"ไม่พบสินค้า"))</f>
        <v/>
      </c>
      <c r="E562" s="17">
        <f>IF($C562="","",IFERROR(INDEX(สินค้า!$C$5:$C$204,MATCH($C562,สินค้า!$B$5:$B$204,0)),"ไม่พบสินค้า"))</f>
        <v/>
      </c>
      <c r="F562" s="17">
        <f>IF($C562="","",IFERROR(INDEX(สินค้า!$D$5:$D$204,MATCH($C562,สินค้า!$B$5:$B$204,0)),"ไม่พบสินค้า"))</f>
        <v/>
      </c>
      <c r="G562" s="15" t="n"/>
      <c r="H562" s="15" t="n"/>
      <c r="I562" s="18">
        <f>IF(AND(ISNUMBER(G562),ISNUMBER(H562),G562&gt;0),H562/G562,"")</f>
        <v/>
      </c>
      <c r="J562" s="15" t="n"/>
      <c r="K562" s="15" t="n"/>
      <c r="L562" s="17">
        <f>IF(A562="","",TEXT(A562,"yyyy-mm"))</f>
        <v/>
      </c>
      <c r="M562" s="17">
        <f>IF(AND(A562&lt;&gt;"",J562="Pending"),TODAY()-A562,"")</f>
        <v/>
      </c>
    </row>
    <row r="563">
      <c r="A563" s="16" t="n"/>
      <c r="B563" s="15" t="n"/>
      <c r="C563" s="15" t="n"/>
      <c r="D563" s="17">
        <f>IF($C563="","",IFERROR(INDEX(สินค้า!$A$5:$A$204,MATCH($C563,สินค้า!$B$5:$B$204,0)),"ไม่พบสินค้า"))</f>
        <v/>
      </c>
      <c r="E563" s="17">
        <f>IF($C563="","",IFERROR(INDEX(สินค้า!$C$5:$C$204,MATCH($C563,สินค้า!$B$5:$B$204,0)),"ไม่พบสินค้า"))</f>
        <v/>
      </c>
      <c r="F563" s="17">
        <f>IF($C563="","",IFERROR(INDEX(สินค้า!$D$5:$D$204,MATCH($C563,สินค้า!$B$5:$B$204,0)),"ไม่พบสินค้า"))</f>
        <v/>
      </c>
      <c r="G563" s="15" t="n"/>
      <c r="H563" s="15" t="n"/>
      <c r="I563" s="18">
        <f>IF(AND(ISNUMBER(G563),ISNUMBER(H563),G563&gt;0),H563/G563,"")</f>
        <v/>
      </c>
      <c r="J563" s="15" t="n"/>
      <c r="K563" s="15" t="n"/>
      <c r="L563" s="17">
        <f>IF(A563="","",TEXT(A563,"yyyy-mm"))</f>
        <v/>
      </c>
      <c r="M563" s="17">
        <f>IF(AND(A563&lt;&gt;"",J563="Pending"),TODAY()-A563,"")</f>
        <v/>
      </c>
    </row>
    <row r="564">
      <c r="A564" s="16" t="n"/>
      <c r="B564" s="15" t="n"/>
      <c r="C564" s="15" t="n"/>
      <c r="D564" s="17">
        <f>IF($C564="","",IFERROR(INDEX(สินค้า!$A$5:$A$204,MATCH($C564,สินค้า!$B$5:$B$204,0)),"ไม่พบสินค้า"))</f>
        <v/>
      </c>
      <c r="E564" s="17">
        <f>IF($C564="","",IFERROR(INDEX(สินค้า!$C$5:$C$204,MATCH($C564,สินค้า!$B$5:$B$204,0)),"ไม่พบสินค้า"))</f>
        <v/>
      </c>
      <c r="F564" s="17">
        <f>IF($C564="","",IFERROR(INDEX(สินค้า!$D$5:$D$204,MATCH($C564,สินค้า!$B$5:$B$204,0)),"ไม่พบสินค้า"))</f>
        <v/>
      </c>
      <c r="G564" s="15" t="n"/>
      <c r="H564" s="15" t="n"/>
      <c r="I564" s="18">
        <f>IF(AND(ISNUMBER(G564),ISNUMBER(H564),G564&gt;0),H564/G564,"")</f>
        <v/>
      </c>
      <c r="J564" s="15" t="n"/>
      <c r="K564" s="15" t="n"/>
      <c r="L564" s="17">
        <f>IF(A564="","",TEXT(A564,"yyyy-mm"))</f>
        <v/>
      </c>
      <c r="M564" s="17">
        <f>IF(AND(A564&lt;&gt;"",J564="Pending"),TODAY()-A564,"")</f>
        <v/>
      </c>
    </row>
    <row r="565">
      <c r="A565" s="16" t="n"/>
      <c r="B565" s="15" t="n"/>
      <c r="C565" s="15" t="n"/>
      <c r="D565" s="17">
        <f>IF($C565="","",IFERROR(INDEX(สินค้า!$A$5:$A$204,MATCH($C565,สินค้า!$B$5:$B$204,0)),"ไม่พบสินค้า"))</f>
        <v/>
      </c>
      <c r="E565" s="17">
        <f>IF($C565="","",IFERROR(INDEX(สินค้า!$C$5:$C$204,MATCH($C565,สินค้า!$B$5:$B$204,0)),"ไม่พบสินค้า"))</f>
        <v/>
      </c>
      <c r="F565" s="17">
        <f>IF($C565="","",IFERROR(INDEX(สินค้า!$D$5:$D$204,MATCH($C565,สินค้า!$B$5:$B$204,0)),"ไม่พบสินค้า"))</f>
        <v/>
      </c>
      <c r="G565" s="15" t="n"/>
      <c r="H565" s="15" t="n"/>
      <c r="I565" s="18">
        <f>IF(AND(ISNUMBER(G565),ISNUMBER(H565),G565&gt;0),H565/G565,"")</f>
        <v/>
      </c>
      <c r="J565" s="15" t="n"/>
      <c r="K565" s="15" t="n"/>
      <c r="L565" s="17">
        <f>IF(A565="","",TEXT(A565,"yyyy-mm"))</f>
        <v/>
      </c>
      <c r="M565" s="17">
        <f>IF(AND(A565&lt;&gt;"",J565="Pending"),TODAY()-A565,"")</f>
        <v/>
      </c>
    </row>
    <row r="566">
      <c r="A566" s="16" t="n"/>
      <c r="B566" s="15" t="n"/>
      <c r="C566" s="15" t="n"/>
      <c r="D566" s="17">
        <f>IF($C566="","",IFERROR(INDEX(สินค้า!$A$5:$A$204,MATCH($C566,สินค้า!$B$5:$B$204,0)),"ไม่พบสินค้า"))</f>
        <v/>
      </c>
      <c r="E566" s="17">
        <f>IF($C566="","",IFERROR(INDEX(สินค้า!$C$5:$C$204,MATCH($C566,สินค้า!$B$5:$B$204,0)),"ไม่พบสินค้า"))</f>
        <v/>
      </c>
      <c r="F566" s="17">
        <f>IF($C566="","",IFERROR(INDEX(สินค้า!$D$5:$D$204,MATCH($C566,สินค้า!$B$5:$B$204,0)),"ไม่พบสินค้า"))</f>
        <v/>
      </c>
      <c r="G566" s="15" t="n"/>
      <c r="H566" s="15" t="n"/>
      <c r="I566" s="18">
        <f>IF(AND(ISNUMBER(G566),ISNUMBER(H566),G566&gt;0),H566/G566,"")</f>
        <v/>
      </c>
      <c r="J566" s="15" t="n"/>
      <c r="K566" s="15" t="n"/>
      <c r="L566" s="17">
        <f>IF(A566="","",TEXT(A566,"yyyy-mm"))</f>
        <v/>
      </c>
      <c r="M566" s="17">
        <f>IF(AND(A566&lt;&gt;"",J566="Pending"),TODAY()-A566,"")</f>
        <v/>
      </c>
    </row>
    <row r="567">
      <c r="A567" s="16" t="n"/>
      <c r="B567" s="15" t="n"/>
      <c r="C567" s="15" t="n"/>
      <c r="D567" s="17">
        <f>IF($C567="","",IFERROR(INDEX(สินค้า!$A$5:$A$204,MATCH($C567,สินค้า!$B$5:$B$204,0)),"ไม่พบสินค้า"))</f>
        <v/>
      </c>
      <c r="E567" s="17">
        <f>IF($C567="","",IFERROR(INDEX(สินค้า!$C$5:$C$204,MATCH($C567,สินค้า!$B$5:$B$204,0)),"ไม่พบสินค้า"))</f>
        <v/>
      </c>
      <c r="F567" s="17">
        <f>IF($C567="","",IFERROR(INDEX(สินค้า!$D$5:$D$204,MATCH($C567,สินค้า!$B$5:$B$204,0)),"ไม่พบสินค้า"))</f>
        <v/>
      </c>
      <c r="G567" s="15" t="n"/>
      <c r="H567" s="15" t="n"/>
      <c r="I567" s="18">
        <f>IF(AND(ISNUMBER(G567),ISNUMBER(H567),G567&gt;0),H567/G567,"")</f>
        <v/>
      </c>
      <c r="J567" s="15" t="n"/>
      <c r="K567" s="15" t="n"/>
      <c r="L567" s="17">
        <f>IF(A567="","",TEXT(A567,"yyyy-mm"))</f>
        <v/>
      </c>
      <c r="M567" s="17">
        <f>IF(AND(A567&lt;&gt;"",J567="Pending"),TODAY()-A567,"")</f>
        <v/>
      </c>
    </row>
    <row r="568">
      <c r="A568" s="16" t="n"/>
      <c r="B568" s="15" t="n"/>
      <c r="C568" s="15" t="n"/>
      <c r="D568" s="17">
        <f>IF($C568="","",IFERROR(INDEX(สินค้า!$A$5:$A$204,MATCH($C568,สินค้า!$B$5:$B$204,0)),"ไม่พบสินค้า"))</f>
        <v/>
      </c>
      <c r="E568" s="17">
        <f>IF($C568="","",IFERROR(INDEX(สินค้า!$C$5:$C$204,MATCH($C568,สินค้า!$B$5:$B$204,0)),"ไม่พบสินค้า"))</f>
        <v/>
      </c>
      <c r="F568" s="17">
        <f>IF($C568="","",IFERROR(INDEX(สินค้า!$D$5:$D$204,MATCH($C568,สินค้า!$B$5:$B$204,0)),"ไม่พบสินค้า"))</f>
        <v/>
      </c>
      <c r="G568" s="15" t="n"/>
      <c r="H568" s="15" t="n"/>
      <c r="I568" s="18">
        <f>IF(AND(ISNUMBER(G568),ISNUMBER(H568),G568&gt;0),H568/G568,"")</f>
        <v/>
      </c>
      <c r="J568" s="15" t="n"/>
      <c r="K568" s="15" t="n"/>
      <c r="L568" s="17">
        <f>IF(A568="","",TEXT(A568,"yyyy-mm"))</f>
        <v/>
      </c>
      <c r="M568" s="17">
        <f>IF(AND(A568&lt;&gt;"",J568="Pending"),TODAY()-A568,"")</f>
        <v/>
      </c>
    </row>
    <row r="569">
      <c r="A569" s="16" t="n"/>
      <c r="B569" s="15" t="n"/>
      <c r="C569" s="15" t="n"/>
      <c r="D569" s="17">
        <f>IF($C569="","",IFERROR(INDEX(สินค้า!$A$5:$A$204,MATCH($C569,สินค้า!$B$5:$B$204,0)),"ไม่พบสินค้า"))</f>
        <v/>
      </c>
      <c r="E569" s="17">
        <f>IF($C569="","",IFERROR(INDEX(สินค้า!$C$5:$C$204,MATCH($C569,สินค้า!$B$5:$B$204,0)),"ไม่พบสินค้า"))</f>
        <v/>
      </c>
      <c r="F569" s="17">
        <f>IF($C569="","",IFERROR(INDEX(สินค้า!$D$5:$D$204,MATCH($C569,สินค้า!$B$5:$B$204,0)),"ไม่พบสินค้า"))</f>
        <v/>
      </c>
      <c r="G569" s="15" t="n"/>
      <c r="H569" s="15" t="n"/>
      <c r="I569" s="18">
        <f>IF(AND(ISNUMBER(G569),ISNUMBER(H569),G569&gt;0),H569/G569,"")</f>
        <v/>
      </c>
      <c r="J569" s="15" t="n"/>
      <c r="K569" s="15" t="n"/>
      <c r="L569" s="17">
        <f>IF(A569="","",TEXT(A569,"yyyy-mm"))</f>
        <v/>
      </c>
      <c r="M569" s="17">
        <f>IF(AND(A569&lt;&gt;"",J569="Pending"),TODAY()-A569,"")</f>
        <v/>
      </c>
    </row>
    <row r="570">
      <c r="A570" s="16" t="n"/>
      <c r="B570" s="15" t="n"/>
      <c r="C570" s="15" t="n"/>
      <c r="D570" s="17">
        <f>IF($C570="","",IFERROR(INDEX(สินค้า!$A$5:$A$204,MATCH($C570,สินค้า!$B$5:$B$204,0)),"ไม่พบสินค้า"))</f>
        <v/>
      </c>
      <c r="E570" s="17">
        <f>IF($C570="","",IFERROR(INDEX(สินค้า!$C$5:$C$204,MATCH($C570,สินค้า!$B$5:$B$204,0)),"ไม่พบสินค้า"))</f>
        <v/>
      </c>
      <c r="F570" s="17">
        <f>IF($C570="","",IFERROR(INDEX(สินค้า!$D$5:$D$204,MATCH($C570,สินค้า!$B$5:$B$204,0)),"ไม่พบสินค้า"))</f>
        <v/>
      </c>
      <c r="G570" s="15" t="n"/>
      <c r="H570" s="15" t="n"/>
      <c r="I570" s="18">
        <f>IF(AND(ISNUMBER(G570),ISNUMBER(H570),G570&gt;0),H570/G570,"")</f>
        <v/>
      </c>
      <c r="J570" s="15" t="n"/>
      <c r="K570" s="15" t="n"/>
      <c r="L570" s="17">
        <f>IF(A570="","",TEXT(A570,"yyyy-mm"))</f>
        <v/>
      </c>
      <c r="M570" s="17">
        <f>IF(AND(A570&lt;&gt;"",J570="Pending"),TODAY()-A570,"")</f>
        <v/>
      </c>
    </row>
    <row r="571">
      <c r="A571" s="16" t="n"/>
      <c r="B571" s="15" t="n"/>
      <c r="C571" s="15" t="n"/>
      <c r="D571" s="17">
        <f>IF($C571="","",IFERROR(INDEX(สินค้า!$A$5:$A$204,MATCH($C571,สินค้า!$B$5:$B$204,0)),"ไม่พบสินค้า"))</f>
        <v/>
      </c>
      <c r="E571" s="17">
        <f>IF($C571="","",IFERROR(INDEX(สินค้า!$C$5:$C$204,MATCH($C571,สินค้า!$B$5:$B$204,0)),"ไม่พบสินค้า"))</f>
        <v/>
      </c>
      <c r="F571" s="17">
        <f>IF($C571="","",IFERROR(INDEX(สินค้า!$D$5:$D$204,MATCH($C571,สินค้า!$B$5:$B$204,0)),"ไม่พบสินค้า"))</f>
        <v/>
      </c>
      <c r="G571" s="15" t="n"/>
      <c r="H571" s="15" t="n"/>
      <c r="I571" s="18">
        <f>IF(AND(ISNUMBER(G571),ISNUMBER(H571),G571&gt;0),H571/G571,"")</f>
        <v/>
      </c>
      <c r="J571" s="15" t="n"/>
      <c r="K571" s="15" t="n"/>
      <c r="L571" s="17">
        <f>IF(A571="","",TEXT(A571,"yyyy-mm"))</f>
        <v/>
      </c>
      <c r="M571" s="17">
        <f>IF(AND(A571&lt;&gt;"",J571="Pending"),TODAY()-A571,"")</f>
        <v/>
      </c>
    </row>
    <row r="572">
      <c r="A572" s="16" t="n"/>
      <c r="B572" s="15" t="n"/>
      <c r="C572" s="15" t="n"/>
      <c r="D572" s="17">
        <f>IF($C572="","",IFERROR(INDEX(สินค้า!$A$5:$A$204,MATCH($C572,สินค้า!$B$5:$B$204,0)),"ไม่พบสินค้า"))</f>
        <v/>
      </c>
      <c r="E572" s="17">
        <f>IF($C572="","",IFERROR(INDEX(สินค้า!$C$5:$C$204,MATCH($C572,สินค้า!$B$5:$B$204,0)),"ไม่พบสินค้า"))</f>
        <v/>
      </c>
      <c r="F572" s="17">
        <f>IF($C572="","",IFERROR(INDEX(สินค้า!$D$5:$D$204,MATCH($C572,สินค้า!$B$5:$B$204,0)),"ไม่พบสินค้า"))</f>
        <v/>
      </c>
      <c r="G572" s="15" t="n"/>
      <c r="H572" s="15" t="n"/>
      <c r="I572" s="18">
        <f>IF(AND(ISNUMBER(G572),ISNUMBER(H572),G572&gt;0),H572/G572,"")</f>
        <v/>
      </c>
      <c r="J572" s="15" t="n"/>
      <c r="K572" s="15" t="n"/>
      <c r="L572" s="17">
        <f>IF(A572="","",TEXT(A572,"yyyy-mm"))</f>
        <v/>
      </c>
      <c r="M572" s="17">
        <f>IF(AND(A572&lt;&gt;"",J572="Pending"),TODAY()-A572,"")</f>
        <v/>
      </c>
    </row>
    <row r="573">
      <c r="A573" s="16" t="n"/>
      <c r="B573" s="15" t="n"/>
      <c r="C573" s="15" t="n"/>
      <c r="D573" s="17">
        <f>IF($C573="","",IFERROR(INDEX(สินค้า!$A$5:$A$204,MATCH($C573,สินค้า!$B$5:$B$204,0)),"ไม่พบสินค้า"))</f>
        <v/>
      </c>
      <c r="E573" s="17">
        <f>IF($C573="","",IFERROR(INDEX(สินค้า!$C$5:$C$204,MATCH($C573,สินค้า!$B$5:$B$204,0)),"ไม่พบสินค้า"))</f>
        <v/>
      </c>
      <c r="F573" s="17">
        <f>IF($C573="","",IFERROR(INDEX(สินค้า!$D$5:$D$204,MATCH($C573,สินค้า!$B$5:$B$204,0)),"ไม่พบสินค้า"))</f>
        <v/>
      </c>
      <c r="G573" s="15" t="n"/>
      <c r="H573" s="15" t="n"/>
      <c r="I573" s="18">
        <f>IF(AND(ISNUMBER(G573),ISNUMBER(H573),G573&gt;0),H573/G573,"")</f>
        <v/>
      </c>
      <c r="J573" s="15" t="n"/>
      <c r="K573" s="15" t="n"/>
      <c r="L573" s="17">
        <f>IF(A573="","",TEXT(A573,"yyyy-mm"))</f>
        <v/>
      </c>
      <c r="M573" s="17">
        <f>IF(AND(A573&lt;&gt;"",J573="Pending"),TODAY()-A573,"")</f>
        <v/>
      </c>
    </row>
    <row r="574">
      <c r="A574" s="16" t="n"/>
      <c r="B574" s="15" t="n"/>
      <c r="C574" s="15" t="n"/>
      <c r="D574" s="17">
        <f>IF($C574="","",IFERROR(INDEX(สินค้า!$A$5:$A$204,MATCH($C574,สินค้า!$B$5:$B$204,0)),"ไม่พบสินค้า"))</f>
        <v/>
      </c>
      <c r="E574" s="17">
        <f>IF($C574="","",IFERROR(INDEX(สินค้า!$C$5:$C$204,MATCH($C574,สินค้า!$B$5:$B$204,0)),"ไม่พบสินค้า"))</f>
        <v/>
      </c>
      <c r="F574" s="17">
        <f>IF($C574="","",IFERROR(INDEX(สินค้า!$D$5:$D$204,MATCH($C574,สินค้า!$B$5:$B$204,0)),"ไม่พบสินค้า"))</f>
        <v/>
      </c>
      <c r="G574" s="15" t="n"/>
      <c r="H574" s="15" t="n"/>
      <c r="I574" s="18">
        <f>IF(AND(ISNUMBER(G574),ISNUMBER(H574),G574&gt;0),H574/G574,"")</f>
        <v/>
      </c>
      <c r="J574" s="15" t="n"/>
      <c r="K574" s="15" t="n"/>
      <c r="L574" s="17">
        <f>IF(A574="","",TEXT(A574,"yyyy-mm"))</f>
        <v/>
      </c>
      <c r="M574" s="17">
        <f>IF(AND(A574&lt;&gt;"",J574="Pending"),TODAY()-A574,"")</f>
        <v/>
      </c>
    </row>
    <row r="575">
      <c r="A575" s="16" t="n"/>
      <c r="B575" s="15" t="n"/>
      <c r="C575" s="15" t="n"/>
      <c r="D575" s="17">
        <f>IF($C575="","",IFERROR(INDEX(สินค้า!$A$5:$A$204,MATCH($C575,สินค้า!$B$5:$B$204,0)),"ไม่พบสินค้า"))</f>
        <v/>
      </c>
      <c r="E575" s="17">
        <f>IF($C575="","",IFERROR(INDEX(สินค้า!$C$5:$C$204,MATCH($C575,สินค้า!$B$5:$B$204,0)),"ไม่พบสินค้า"))</f>
        <v/>
      </c>
      <c r="F575" s="17">
        <f>IF($C575="","",IFERROR(INDEX(สินค้า!$D$5:$D$204,MATCH($C575,สินค้า!$B$5:$B$204,0)),"ไม่พบสินค้า"))</f>
        <v/>
      </c>
      <c r="G575" s="15" t="n"/>
      <c r="H575" s="15" t="n"/>
      <c r="I575" s="18">
        <f>IF(AND(ISNUMBER(G575),ISNUMBER(H575),G575&gt;0),H575/G575,"")</f>
        <v/>
      </c>
      <c r="J575" s="15" t="n"/>
      <c r="K575" s="15" t="n"/>
      <c r="L575" s="17">
        <f>IF(A575="","",TEXT(A575,"yyyy-mm"))</f>
        <v/>
      </c>
      <c r="M575" s="17">
        <f>IF(AND(A575&lt;&gt;"",J575="Pending"),TODAY()-A575,"")</f>
        <v/>
      </c>
    </row>
    <row r="576">
      <c r="A576" s="16" t="n"/>
      <c r="B576" s="15" t="n"/>
      <c r="C576" s="15" t="n"/>
      <c r="D576" s="17">
        <f>IF($C576="","",IFERROR(INDEX(สินค้า!$A$5:$A$204,MATCH($C576,สินค้า!$B$5:$B$204,0)),"ไม่พบสินค้า"))</f>
        <v/>
      </c>
      <c r="E576" s="17">
        <f>IF($C576="","",IFERROR(INDEX(สินค้า!$C$5:$C$204,MATCH($C576,สินค้า!$B$5:$B$204,0)),"ไม่พบสินค้า"))</f>
        <v/>
      </c>
      <c r="F576" s="17">
        <f>IF($C576="","",IFERROR(INDEX(สินค้า!$D$5:$D$204,MATCH($C576,สินค้า!$B$5:$B$204,0)),"ไม่พบสินค้า"))</f>
        <v/>
      </c>
      <c r="G576" s="15" t="n"/>
      <c r="H576" s="15" t="n"/>
      <c r="I576" s="18">
        <f>IF(AND(ISNUMBER(G576),ISNUMBER(H576),G576&gt;0),H576/G576,"")</f>
        <v/>
      </c>
      <c r="J576" s="15" t="n"/>
      <c r="K576" s="15" t="n"/>
      <c r="L576" s="17">
        <f>IF(A576="","",TEXT(A576,"yyyy-mm"))</f>
        <v/>
      </c>
      <c r="M576" s="17">
        <f>IF(AND(A576&lt;&gt;"",J576="Pending"),TODAY()-A576,"")</f>
        <v/>
      </c>
    </row>
    <row r="577">
      <c r="A577" s="16" t="n"/>
      <c r="B577" s="15" t="n"/>
      <c r="C577" s="15" t="n"/>
      <c r="D577" s="17">
        <f>IF($C577="","",IFERROR(INDEX(สินค้า!$A$5:$A$204,MATCH($C577,สินค้า!$B$5:$B$204,0)),"ไม่พบสินค้า"))</f>
        <v/>
      </c>
      <c r="E577" s="17">
        <f>IF($C577="","",IFERROR(INDEX(สินค้า!$C$5:$C$204,MATCH($C577,สินค้า!$B$5:$B$204,0)),"ไม่พบสินค้า"))</f>
        <v/>
      </c>
      <c r="F577" s="17">
        <f>IF($C577="","",IFERROR(INDEX(สินค้า!$D$5:$D$204,MATCH($C577,สินค้า!$B$5:$B$204,0)),"ไม่พบสินค้า"))</f>
        <v/>
      </c>
      <c r="G577" s="15" t="n"/>
      <c r="H577" s="15" t="n"/>
      <c r="I577" s="18">
        <f>IF(AND(ISNUMBER(G577),ISNUMBER(H577),G577&gt;0),H577/G577,"")</f>
        <v/>
      </c>
      <c r="J577" s="15" t="n"/>
      <c r="K577" s="15" t="n"/>
      <c r="L577" s="17">
        <f>IF(A577="","",TEXT(A577,"yyyy-mm"))</f>
        <v/>
      </c>
      <c r="M577" s="17">
        <f>IF(AND(A577&lt;&gt;"",J577="Pending"),TODAY()-A577,"")</f>
        <v/>
      </c>
    </row>
    <row r="578">
      <c r="A578" s="16" t="n"/>
      <c r="B578" s="15" t="n"/>
      <c r="C578" s="15" t="n"/>
      <c r="D578" s="17">
        <f>IF($C578="","",IFERROR(INDEX(สินค้า!$A$5:$A$204,MATCH($C578,สินค้า!$B$5:$B$204,0)),"ไม่พบสินค้า"))</f>
        <v/>
      </c>
      <c r="E578" s="17">
        <f>IF($C578="","",IFERROR(INDEX(สินค้า!$C$5:$C$204,MATCH($C578,สินค้า!$B$5:$B$204,0)),"ไม่พบสินค้า"))</f>
        <v/>
      </c>
      <c r="F578" s="17">
        <f>IF($C578="","",IFERROR(INDEX(สินค้า!$D$5:$D$204,MATCH($C578,สินค้า!$B$5:$B$204,0)),"ไม่พบสินค้า"))</f>
        <v/>
      </c>
      <c r="G578" s="15" t="n"/>
      <c r="H578" s="15" t="n"/>
      <c r="I578" s="18">
        <f>IF(AND(ISNUMBER(G578),ISNUMBER(H578),G578&gt;0),H578/G578,"")</f>
        <v/>
      </c>
      <c r="J578" s="15" t="n"/>
      <c r="K578" s="15" t="n"/>
      <c r="L578" s="17">
        <f>IF(A578="","",TEXT(A578,"yyyy-mm"))</f>
        <v/>
      </c>
      <c r="M578" s="17">
        <f>IF(AND(A578&lt;&gt;"",J578="Pending"),TODAY()-A578,"")</f>
        <v/>
      </c>
    </row>
    <row r="579">
      <c r="A579" s="16" t="n"/>
      <c r="B579" s="15" t="n"/>
      <c r="C579" s="15" t="n"/>
      <c r="D579" s="17">
        <f>IF($C579="","",IFERROR(INDEX(สินค้า!$A$5:$A$204,MATCH($C579,สินค้า!$B$5:$B$204,0)),"ไม่พบสินค้า"))</f>
        <v/>
      </c>
      <c r="E579" s="17">
        <f>IF($C579="","",IFERROR(INDEX(สินค้า!$C$5:$C$204,MATCH($C579,สินค้า!$B$5:$B$204,0)),"ไม่พบสินค้า"))</f>
        <v/>
      </c>
      <c r="F579" s="17">
        <f>IF($C579="","",IFERROR(INDEX(สินค้า!$D$5:$D$204,MATCH($C579,สินค้า!$B$5:$B$204,0)),"ไม่พบสินค้า"))</f>
        <v/>
      </c>
      <c r="G579" s="15" t="n"/>
      <c r="H579" s="15" t="n"/>
      <c r="I579" s="18">
        <f>IF(AND(ISNUMBER(G579),ISNUMBER(H579),G579&gt;0),H579/G579,"")</f>
        <v/>
      </c>
      <c r="J579" s="15" t="n"/>
      <c r="K579" s="15" t="n"/>
      <c r="L579" s="17">
        <f>IF(A579="","",TEXT(A579,"yyyy-mm"))</f>
        <v/>
      </c>
      <c r="M579" s="17">
        <f>IF(AND(A579&lt;&gt;"",J579="Pending"),TODAY()-A579,"")</f>
        <v/>
      </c>
    </row>
    <row r="580">
      <c r="A580" s="16" t="n"/>
      <c r="B580" s="15" t="n"/>
      <c r="C580" s="15" t="n"/>
      <c r="D580" s="17">
        <f>IF($C580="","",IFERROR(INDEX(สินค้า!$A$5:$A$204,MATCH($C580,สินค้า!$B$5:$B$204,0)),"ไม่พบสินค้า"))</f>
        <v/>
      </c>
      <c r="E580" s="17">
        <f>IF($C580="","",IFERROR(INDEX(สินค้า!$C$5:$C$204,MATCH($C580,สินค้า!$B$5:$B$204,0)),"ไม่พบสินค้า"))</f>
        <v/>
      </c>
      <c r="F580" s="17">
        <f>IF($C580="","",IFERROR(INDEX(สินค้า!$D$5:$D$204,MATCH($C580,สินค้า!$B$5:$B$204,0)),"ไม่พบสินค้า"))</f>
        <v/>
      </c>
      <c r="G580" s="15" t="n"/>
      <c r="H580" s="15" t="n"/>
      <c r="I580" s="18">
        <f>IF(AND(ISNUMBER(G580),ISNUMBER(H580),G580&gt;0),H580/G580,"")</f>
        <v/>
      </c>
      <c r="J580" s="15" t="n"/>
      <c r="K580" s="15" t="n"/>
      <c r="L580" s="17">
        <f>IF(A580="","",TEXT(A580,"yyyy-mm"))</f>
        <v/>
      </c>
      <c r="M580" s="17">
        <f>IF(AND(A580&lt;&gt;"",J580="Pending"),TODAY()-A580,"")</f>
        <v/>
      </c>
    </row>
    <row r="581">
      <c r="A581" s="16" t="n"/>
      <c r="B581" s="15" t="n"/>
      <c r="C581" s="15" t="n"/>
      <c r="D581" s="17">
        <f>IF($C581="","",IFERROR(INDEX(สินค้า!$A$5:$A$204,MATCH($C581,สินค้า!$B$5:$B$204,0)),"ไม่พบสินค้า"))</f>
        <v/>
      </c>
      <c r="E581" s="17">
        <f>IF($C581="","",IFERROR(INDEX(สินค้า!$C$5:$C$204,MATCH($C581,สินค้า!$B$5:$B$204,0)),"ไม่พบสินค้า"))</f>
        <v/>
      </c>
      <c r="F581" s="17">
        <f>IF($C581="","",IFERROR(INDEX(สินค้า!$D$5:$D$204,MATCH($C581,สินค้า!$B$5:$B$204,0)),"ไม่พบสินค้า"))</f>
        <v/>
      </c>
      <c r="G581" s="15" t="n"/>
      <c r="H581" s="15" t="n"/>
      <c r="I581" s="18">
        <f>IF(AND(ISNUMBER(G581),ISNUMBER(H581),G581&gt;0),H581/G581,"")</f>
        <v/>
      </c>
      <c r="J581" s="15" t="n"/>
      <c r="K581" s="15" t="n"/>
      <c r="L581" s="17">
        <f>IF(A581="","",TEXT(A581,"yyyy-mm"))</f>
        <v/>
      </c>
      <c r="M581" s="17">
        <f>IF(AND(A581&lt;&gt;"",J581="Pending"),TODAY()-A581,"")</f>
        <v/>
      </c>
    </row>
    <row r="582">
      <c r="A582" s="16" t="n"/>
      <c r="B582" s="15" t="n"/>
      <c r="C582" s="15" t="n"/>
      <c r="D582" s="17">
        <f>IF($C582="","",IFERROR(INDEX(สินค้า!$A$5:$A$204,MATCH($C582,สินค้า!$B$5:$B$204,0)),"ไม่พบสินค้า"))</f>
        <v/>
      </c>
      <c r="E582" s="17">
        <f>IF($C582="","",IFERROR(INDEX(สินค้า!$C$5:$C$204,MATCH($C582,สินค้า!$B$5:$B$204,0)),"ไม่พบสินค้า"))</f>
        <v/>
      </c>
      <c r="F582" s="17">
        <f>IF($C582="","",IFERROR(INDEX(สินค้า!$D$5:$D$204,MATCH($C582,สินค้า!$B$5:$B$204,0)),"ไม่พบสินค้า"))</f>
        <v/>
      </c>
      <c r="G582" s="15" t="n"/>
      <c r="H582" s="15" t="n"/>
      <c r="I582" s="18">
        <f>IF(AND(ISNUMBER(G582),ISNUMBER(H582),G582&gt;0),H582/G582,"")</f>
        <v/>
      </c>
      <c r="J582" s="15" t="n"/>
      <c r="K582" s="15" t="n"/>
      <c r="L582" s="17">
        <f>IF(A582="","",TEXT(A582,"yyyy-mm"))</f>
        <v/>
      </c>
      <c r="M582" s="17">
        <f>IF(AND(A582&lt;&gt;"",J582="Pending"),TODAY()-A582,"")</f>
        <v/>
      </c>
    </row>
    <row r="583">
      <c r="A583" s="16" t="n"/>
      <c r="B583" s="15" t="n"/>
      <c r="C583" s="15" t="n"/>
      <c r="D583" s="17">
        <f>IF($C583="","",IFERROR(INDEX(สินค้า!$A$5:$A$204,MATCH($C583,สินค้า!$B$5:$B$204,0)),"ไม่พบสินค้า"))</f>
        <v/>
      </c>
      <c r="E583" s="17">
        <f>IF($C583="","",IFERROR(INDEX(สินค้า!$C$5:$C$204,MATCH($C583,สินค้า!$B$5:$B$204,0)),"ไม่พบสินค้า"))</f>
        <v/>
      </c>
      <c r="F583" s="17">
        <f>IF($C583="","",IFERROR(INDEX(สินค้า!$D$5:$D$204,MATCH($C583,สินค้า!$B$5:$B$204,0)),"ไม่พบสินค้า"))</f>
        <v/>
      </c>
      <c r="G583" s="15" t="n"/>
      <c r="H583" s="15" t="n"/>
      <c r="I583" s="18">
        <f>IF(AND(ISNUMBER(G583),ISNUMBER(H583),G583&gt;0),H583/G583,"")</f>
        <v/>
      </c>
      <c r="J583" s="15" t="n"/>
      <c r="K583" s="15" t="n"/>
      <c r="L583" s="17">
        <f>IF(A583="","",TEXT(A583,"yyyy-mm"))</f>
        <v/>
      </c>
      <c r="M583" s="17">
        <f>IF(AND(A583&lt;&gt;"",J583="Pending"),TODAY()-A583,"")</f>
        <v/>
      </c>
    </row>
    <row r="584">
      <c r="A584" s="16" t="n"/>
      <c r="B584" s="15" t="n"/>
      <c r="C584" s="15" t="n"/>
      <c r="D584" s="17">
        <f>IF($C584="","",IFERROR(INDEX(สินค้า!$A$5:$A$204,MATCH($C584,สินค้า!$B$5:$B$204,0)),"ไม่พบสินค้า"))</f>
        <v/>
      </c>
      <c r="E584" s="17">
        <f>IF($C584="","",IFERROR(INDEX(สินค้า!$C$5:$C$204,MATCH($C584,สินค้า!$B$5:$B$204,0)),"ไม่พบสินค้า"))</f>
        <v/>
      </c>
      <c r="F584" s="17">
        <f>IF($C584="","",IFERROR(INDEX(สินค้า!$D$5:$D$204,MATCH($C584,สินค้า!$B$5:$B$204,0)),"ไม่พบสินค้า"))</f>
        <v/>
      </c>
      <c r="G584" s="15" t="n"/>
      <c r="H584" s="15" t="n"/>
      <c r="I584" s="18">
        <f>IF(AND(ISNUMBER(G584),ISNUMBER(H584),G584&gt;0),H584/G584,"")</f>
        <v/>
      </c>
      <c r="J584" s="15" t="n"/>
      <c r="K584" s="15" t="n"/>
      <c r="L584" s="17">
        <f>IF(A584="","",TEXT(A584,"yyyy-mm"))</f>
        <v/>
      </c>
      <c r="M584" s="17">
        <f>IF(AND(A584&lt;&gt;"",J584="Pending"),TODAY()-A584,"")</f>
        <v/>
      </c>
    </row>
    <row r="585">
      <c r="A585" s="16" t="n"/>
      <c r="B585" s="15" t="n"/>
      <c r="C585" s="15" t="n"/>
      <c r="D585" s="17">
        <f>IF($C585="","",IFERROR(INDEX(สินค้า!$A$5:$A$204,MATCH($C585,สินค้า!$B$5:$B$204,0)),"ไม่พบสินค้า"))</f>
        <v/>
      </c>
      <c r="E585" s="17">
        <f>IF($C585="","",IFERROR(INDEX(สินค้า!$C$5:$C$204,MATCH($C585,สินค้า!$B$5:$B$204,0)),"ไม่พบสินค้า"))</f>
        <v/>
      </c>
      <c r="F585" s="17">
        <f>IF($C585="","",IFERROR(INDEX(สินค้า!$D$5:$D$204,MATCH($C585,สินค้า!$B$5:$B$204,0)),"ไม่พบสินค้า"))</f>
        <v/>
      </c>
      <c r="G585" s="15" t="n"/>
      <c r="H585" s="15" t="n"/>
      <c r="I585" s="18">
        <f>IF(AND(ISNUMBER(G585),ISNUMBER(H585),G585&gt;0),H585/G585,"")</f>
        <v/>
      </c>
      <c r="J585" s="15" t="n"/>
      <c r="K585" s="15" t="n"/>
      <c r="L585" s="17">
        <f>IF(A585="","",TEXT(A585,"yyyy-mm"))</f>
        <v/>
      </c>
      <c r="M585" s="17">
        <f>IF(AND(A585&lt;&gt;"",J585="Pending"),TODAY()-A585,"")</f>
        <v/>
      </c>
    </row>
    <row r="586">
      <c r="A586" s="16" t="n"/>
      <c r="B586" s="15" t="n"/>
      <c r="C586" s="15" t="n"/>
      <c r="D586" s="17">
        <f>IF($C586="","",IFERROR(INDEX(สินค้า!$A$5:$A$204,MATCH($C586,สินค้า!$B$5:$B$204,0)),"ไม่พบสินค้า"))</f>
        <v/>
      </c>
      <c r="E586" s="17">
        <f>IF($C586="","",IFERROR(INDEX(สินค้า!$C$5:$C$204,MATCH($C586,สินค้า!$B$5:$B$204,0)),"ไม่พบสินค้า"))</f>
        <v/>
      </c>
      <c r="F586" s="17">
        <f>IF($C586="","",IFERROR(INDEX(สินค้า!$D$5:$D$204,MATCH($C586,สินค้า!$B$5:$B$204,0)),"ไม่พบสินค้า"))</f>
        <v/>
      </c>
      <c r="G586" s="15" t="n"/>
      <c r="H586" s="15" t="n"/>
      <c r="I586" s="18">
        <f>IF(AND(ISNUMBER(G586),ISNUMBER(H586),G586&gt;0),H586/G586,"")</f>
        <v/>
      </c>
      <c r="J586" s="15" t="n"/>
      <c r="K586" s="15" t="n"/>
      <c r="L586" s="17">
        <f>IF(A586="","",TEXT(A586,"yyyy-mm"))</f>
        <v/>
      </c>
      <c r="M586" s="17">
        <f>IF(AND(A586&lt;&gt;"",J586="Pending"),TODAY()-A586,"")</f>
        <v/>
      </c>
    </row>
    <row r="587">
      <c r="A587" s="16" t="n"/>
      <c r="B587" s="15" t="n"/>
      <c r="C587" s="15" t="n"/>
      <c r="D587" s="17">
        <f>IF($C587="","",IFERROR(INDEX(สินค้า!$A$5:$A$204,MATCH($C587,สินค้า!$B$5:$B$204,0)),"ไม่พบสินค้า"))</f>
        <v/>
      </c>
      <c r="E587" s="17">
        <f>IF($C587="","",IFERROR(INDEX(สินค้า!$C$5:$C$204,MATCH($C587,สินค้า!$B$5:$B$204,0)),"ไม่พบสินค้า"))</f>
        <v/>
      </c>
      <c r="F587" s="17">
        <f>IF($C587="","",IFERROR(INDEX(สินค้า!$D$5:$D$204,MATCH($C587,สินค้า!$B$5:$B$204,0)),"ไม่พบสินค้า"))</f>
        <v/>
      </c>
      <c r="G587" s="15" t="n"/>
      <c r="H587" s="15" t="n"/>
      <c r="I587" s="18">
        <f>IF(AND(ISNUMBER(G587),ISNUMBER(H587),G587&gt;0),H587/G587,"")</f>
        <v/>
      </c>
      <c r="J587" s="15" t="n"/>
      <c r="K587" s="15" t="n"/>
      <c r="L587" s="17">
        <f>IF(A587="","",TEXT(A587,"yyyy-mm"))</f>
        <v/>
      </c>
      <c r="M587" s="17">
        <f>IF(AND(A587&lt;&gt;"",J587="Pending"),TODAY()-A587,"")</f>
        <v/>
      </c>
    </row>
    <row r="588">
      <c r="A588" s="16" t="n"/>
      <c r="B588" s="15" t="n"/>
      <c r="C588" s="15" t="n"/>
      <c r="D588" s="17">
        <f>IF($C588="","",IFERROR(INDEX(สินค้า!$A$5:$A$204,MATCH($C588,สินค้า!$B$5:$B$204,0)),"ไม่พบสินค้า"))</f>
        <v/>
      </c>
      <c r="E588" s="17">
        <f>IF($C588="","",IFERROR(INDEX(สินค้า!$C$5:$C$204,MATCH($C588,สินค้า!$B$5:$B$204,0)),"ไม่พบสินค้า"))</f>
        <v/>
      </c>
      <c r="F588" s="17">
        <f>IF($C588="","",IFERROR(INDEX(สินค้า!$D$5:$D$204,MATCH($C588,สินค้า!$B$5:$B$204,0)),"ไม่พบสินค้า"))</f>
        <v/>
      </c>
      <c r="G588" s="15" t="n"/>
      <c r="H588" s="15" t="n"/>
      <c r="I588" s="18">
        <f>IF(AND(ISNUMBER(G588),ISNUMBER(H588),G588&gt;0),H588/G588,"")</f>
        <v/>
      </c>
      <c r="J588" s="15" t="n"/>
      <c r="K588" s="15" t="n"/>
      <c r="L588" s="17">
        <f>IF(A588="","",TEXT(A588,"yyyy-mm"))</f>
        <v/>
      </c>
      <c r="M588" s="17">
        <f>IF(AND(A588&lt;&gt;"",J588="Pending"),TODAY()-A588,"")</f>
        <v/>
      </c>
    </row>
    <row r="589">
      <c r="A589" s="16" t="n"/>
      <c r="B589" s="15" t="n"/>
      <c r="C589" s="15" t="n"/>
      <c r="D589" s="17">
        <f>IF($C589="","",IFERROR(INDEX(สินค้า!$A$5:$A$204,MATCH($C589,สินค้า!$B$5:$B$204,0)),"ไม่พบสินค้า"))</f>
        <v/>
      </c>
      <c r="E589" s="17">
        <f>IF($C589="","",IFERROR(INDEX(สินค้า!$C$5:$C$204,MATCH($C589,สินค้า!$B$5:$B$204,0)),"ไม่พบสินค้า"))</f>
        <v/>
      </c>
      <c r="F589" s="17">
        <f>IF($C589="","",IFERROR(INDEX(สินค้า!$D$5:$D$204,MATCH($C589,สินค้า!$B$5:$B$204,0)),"ไม่พบสินค้า"))</f>
        <v/>
      </c>
      <c r="G589" s="15" t="n"/>
      <c r="H589" s="15" t="n"/>
      <c r="I589" s="18">
        <f>IF(AND(ISNUMBER(G589),ISNUMBER(H589),G589&gt;0),H589/G589,"")</f>
        <v/>
      </c>
      <c r="J589" s="15" t="n"/>
      <c r="K589" s="15" t="n"/>
      <c r="L589" s="17">
        <f>IF(A589="","",TEXT(A589,"yyyy-mm"))</f>
        <v/>
      </c>
      <c r="M589" s="17">
        <f>IF(AND(A589&lt;&gt;"",J589="Pending"),TODAY()-A589,"")</f>
        <v/>
      </c>
    </row>
    <row r="590">
      <c r="A590" s="16" t="n"/>
      <c r="B590" s="15" t="n"/>
      <c r="C590" s="15" t="n"/>
      <c r="D590" s="17">
        <f>IF($C590="","",IFERROR(INDEX(สินค้า!$A$5:$A$204,MATCH($C590,สินค้า!$B$5:$B$204,0)),"ไม่พบสินค้า"))</f>
        <v/>
      </c>
      <c r="E590" s="17">
        <f>IF($C590="","",IFERROR(INDEX(สินค้า!$C$5:$C$204,MATCH($C590,สินค้า!$B$5:$B$204,0)),"ไม่พบสินค้า"))</f>
        <v/>
      </c>
      <c r="F590" s="17">
        <f>IF($C590="","",IFERROR(INDEX(สินค้า!$D$5:$D$204,MATCH($C590,สินค้า!$B$5:$B$204,0)),"ไม่พบสินค้า"))</f>
        <v/>
      </c>
      <c r="G590" s="15" t="n"/>
      <c r="H590" s="15" t="n"/>
      <c r="I590" s="18">
        <f>IF(AND(ISNUMBER(G590),ISNUMBER(H590),G590&gt;0),H590/G590,"")</f>
        <v/>
      </c>
      <c r="J590" s="15" t="n"/>
      <c r="K590" s="15" t="n"/>
      <c r="L590" s="17">
        <f>IF(A590="","",TEXT(A590,"yyyy-mm"))</f>
        <v/>
      </c>
      <c r="M590" s="17">
        <f>IF(AND(A590&lt;&gt;"",J590="Pending"),TODAY()-A590,"")</f>
        <v/>
      </c>
    </row>
    <row r="591">
      <c r="A591" s="16" t="n"/>
      <c r="B591" s="15" t="n"/>
      <c r="C591" s="15" t="n"/>
      <c r="D591" s="17">
        <f>IF($C591="","",IFERROR(INDEX(สินค้า!$A$5:$A$204,MATCH($C591,สินค้า!$B$5:$B$204,0)),"ไม่พบสินค้า"))</f>
        <v/>
      </c>
      <c r="E591" s="17">
        <f>IF($C591="","",IFERROR(INDEX(สินค้า!$C$5:$C$204,MATCH($C591,สินค้า!$B$5:$B$204,0)),"ไม่พบสินค้า"))</f>
        <v/>
      </c>
      <c r="F591" s="17">
        <f>IF($C591="","",IFERROR(INDEX(สินค้า!$D$5:$D$204,MATCH($C591,สินค้า!$B$5:$B$204,0)),"ไม่พบสินค้า"))</f>
        <v/>
      </c>
      <c r="G591" s="15" t="n"/>
      <c r="H591" s="15" t="n"/>
      <c r="I591" s="18">
        <f>IF(AND(ISNUMBER(G591),ISNUMBER(H591),G591&gt;0),H591/G591,"")</f>
        <v/>
      </c>
      <c r="J591" s="15" t="n"/>
      <c r="K591" s="15" t="n"/>
      <c r="L591" s="17">
        <f>IF(A591="","",TEXT(A591,"yyyy-mm"))</f>
        <v/>
      </c>
      <c r="M591" s="17">
        <f>IF(AND(A591&lt;&gt;"",J591="Pending"),TODAY()-A591,"")</f>
        <v/>
      </c>
    </row>
    <row r="592">
      <c r="A592" s="16" t="n"/>
      <c r="B592" s="15" t="n"/>
      <c r="C592" s="15" t="n"/>
      <c r="D592" s="17">
        <f>IF($C592="","",IFERROR(INDEX(สินค้า!$A$5:$A$204,MATCH($C592,สินค้า!$B$5:$B$204,0)),"ไม่พบสินค้า"))</f>
        <v/>
      </c>
      <c r="E592" s="17">
        <f>IF($C592="","",IFERROR(INDEX(สินค้า!$C$5:$C$204,MATCH($C592,สินค้า!$B$5:$B$204,0)),"ไม่พบสินค้า"))</f>
        <v/>
      </c>
      <c r="F592" s="17">
        <f>IF($C592="","",IFERROR(INDEX(สินค้า!$D$5:$D$204,MATCH($C592,สินค้า!$B$5:$B$204,0)),"ไม่พบสินค้า"))</f>
        <v/>
      </c>
      <c r="G592" s="15" t="n"/>
      <c r="H592" s="15" t="n"/>
      <c r="I592" s="18">
        <f>IF(AND(ISNUMBER(G592),ISNUMBER(H592),G592&gt;0),H592/G592,"")</f>
        <v/>
      </c>
      <c r="J592" s="15" t="n"/>
      <c r="K592" s="15" t="n"/>
      <c r="L592" s="17">
        <f>IF(A592="","",TEXT(A592,"yyyy-mm"))</f>
        <v/>
      </c>
      <c r="M592" s="17">
        <f>IF(AND(A592&lt;&gt;"",J592="Pending"),TODAY()-A592,"")</f>
        <v/>
      </c>
    </row>
    <row r="593">
      <c r="A593" s="16" t="n"/>
      <c r="B593" s="15" t="n"/>
      <c r="C593" s="15" t="n"/>
      <c r="D593" s="17">
        <f>IF($C593="","",IFERROR(INDEX(สินค้า!$A$5:$A$204,MATCH($C593,สินค้า!$B$5:$B$204,0)),"ไม่พบสินค้า"))</f>
        <v/>
      </c>
      <c r="E593" s="17">
        <f>IF($C593="","",IFERROR(INDEX(สินค้า!$C$5:$C$204,MATCH($C593,สินค้า!$B$5:$B$204,0)),"ไม่พบสินค้า"))</f>
        <v/>
      </c>
      <c r="F593" s="17">
        <f>IF($C593="","",IFERROR(INDEX(สินค้า!$D$5:$D$204,MATCH($C593,สินค้า!$B$5:$B$204,0)),"ไม่พบสินค้า"))</f>
        <v/>
      </c>
      <c r="G593" s="15" t="n"/>
      <c r="H593" s="15" t="n"/>
      <c r="I593" s="18">
        <f>IF(AND(ISNUMBER(G593),ISNUMBER(H593),G593&gt;0),H593/G593,"")</f>
        <v/>
      </c>
      <c r="J593" s="15" t="n"/>
      <c r="K593" s="15" t="n"/>
      <c r="L593" s="17">
        <f>IF(A593="","",TEXT(A593,"yyyy-mm"))</f>
        <v/>
      </c>
      <c r="M593" s="17">
        <f>IF(AND(A593&lt;&gt;"",J593="Pending"),TODAY()-A593,"")</f>
        <v/>
      </c>
    </row>
    <row r="594">
      <c r="A594" s="16" t="n"/>
      <c r="B594" s="15" t="n"/>
      <c r="C594" s="15" t="n"/>
      <c r="D594" s="17">
        <f>IF($C594="","",IFERROR(INDEX(สินค้า!$A$5:$A$204,MATCH($C594,สินค้า!$B$5:$B$204,0)),"ไม่พบสินค้า"))</f>
        <v/>
      </c>
      <c r="E594" s="17">
        <f>IF($C594="","",IFERROR(INDEX(สินค้า!$C$5:$C$204,MATCH($C594,สินค้า!$B$5:$B$204,0)),"ไม่พบสินค้า"))</f>
        <v/>
      </c>
      <c r="F594" s="17">
        <f>IF($C594="","",IFERROR(INDEX(สินค้า!$D$5:$D$204,MATCH($C594,สินค้า!$B$5:$B$204,0)),"ไม่พบสินค้า"))</f>
        <v/>
      </c>
      <c r="G594" s="15" t="n"/>
      <c r="H594" s="15" t="n"/>
      <c r="I594" s="18">
        <f>IF(AND(ISNUMBER(G594),ISNUMBER(H594),G594&gt;0),H594/G594,"")</f>
        <v/>
      </c>
      <c r="J594" s="15" t="n"/>
      <c r="K594" s="15" t="n"/>
      <c r="L594" s="17">
        <f>IF(A594="","",TEXT(A594,"yyyy-mm"))</f>
        <v/>
      </c>
      <c r="M594" s="17">
        <f>IF(AND(A594&lt;&gt;"",J594="Pending"),TODAY()-A594,"")</f>
        <v/>
      </c>
    </row>
    <row r="595">
      <c r="A595" s="16" t="n"/>
      <c r="B595" s="15" t="n"/>
      <c r="C595" s="15" t="n"/>
      <c r="D595" s="17">
        <f>IF($C595="","",IFERROR(INDEX(สินค้า!$A$5:$A$204,MATCH($C595,สินค้า!$B$5:$B$204,0)),"ไม่พบสินค้า"))</f>
        <v/>
      </c>
      <c r="E595" s="17">
        <f>IF($C595="","",IFERROR(INDEX(สินค้า!$C$5:$C$204,MATCH($C595,สินค้า!$B$5:$B$204,0)),"ไม่พบสินค้า"))</f>
        <v/>
      </c>
      <c r="F595" s="17">
        <f>IF($C595="","",IFERROR(INDEX(สินค้า!$D$5:$D$204,MATCH($C595,สินค้า!$B$5:$B$204,0)),"ไม่พบสินค้า"))</f>
        <v/>
      </c>
      <c r="G595" s="15" t="n"/>
      <c r="H595" s="15" t="n"/>
      <c r="I595" s="18">
        <f>IF(AND(ISNUMBER(G595),ISNUMBER(H595),G595&gt;0),H595/G595,"")</f>
        <v/>
      </c>
      <c r="J595" s="15" t="n"/>
      <c r="K595" s="15" t="n"/>
      <c r="L595" s="17">
        <f>IF(A595="","",TEXT(A595,"yyyy-mm"))</f>
        <v/>
      </c>
      <c r="M595" s="17">
        <f>IF(AND(A595&lt;&gt;"",J595="Pending"),TODAY()-A595,"")</f>
        <v/>
      </c>
    </row>
    <row r="596">
      <c r="A596" s="16" t="n"/>
      <c r="B596" s="15" t="n"/>
      <c r="C596" s="15" t="n"/>
      <c r="D596" s="17">
        <f>IF($C596="","",IFERROR(INDEX(สินค้า!$A$5:$A$204,MATCH($C596,สินค้า!$B$5:$B$204,0)),"ไม่พบสินค้า"))</f>
        <v/>
      </c>
      <c r="E596" s="17">
        <f>IF($C596="","",IFERROR(INDEX(สินค้า!$C$5:$C$204,MATCH($C596,สินค้า!$B$5:$B$204,0)),"ไม่พบสินค้า"))</f>
        <v/>
      </c>
      <c r="F596" s="17">
        <f>IF($C596="","",IFERROR(INDEX(สินค้า!$D$5:$D$204,MATCH($C596,สินค้า!$B$5:$B$204,0)),"ไม่พบสินค้า"))</f>
        <v/>
      </c>
      <c r="G596" s="15" t="n"/>
      <c r="H596" s="15" t="n"/>
      <c r="I596" s="18">
        <f>IF(AND(ISNUMBER(G596),ISNUMBER(H596),G596&gt;0),H596/G596,"")</f>
        <v/>
      </c>
      <c r="J596" s="15" t="n"/>
      <c r="K596" s="15" t="n"/>
      <c r="L596" s="17">
        <f>IF(A596="","",TEXT(A596,"yyyy-mm"))</f>
        <v/>
      </c>
      <c r="M596" s="17">
        <f>IF(AND(A596&lt;&gt;"",J596="Pending"),TODAY()-A596,"")</f>
        <v/>
      </c>
    </row>
    <row r="597">
      <c r="A597" s="16" t="n"/>
      <c r="B597" s="15" t="n"/>
      <c r="C597" s="15" t="n"/>
      <c r="D597" s="17">
        <f>IF($C597="","",IFERROR(INDEX(สินค้า!$A$5:$A$204,MATCH($C597,สินค้า!$B$5:$B$204,0)),"ไม่พบสินค้า"))</f>
        <v/>
      </c>
      <c r="E597" s="17">
        <f>IF($C597="","",IFERROR(INDEX(สินค้า!$C$5:$C$204,MATCH($C597,สินค้า!$B$5:$B$204,0)),"ไม่พบสินค้า"))</f>
        <v/>
      </c>
      <c r="F597" s="17">
        <f>IF($C597="","",IFERROR(INDEX(สินค้า!$D$5:$D$204,MATCH($C597,สินค้า!$B$5:$B$204,0)),"ไม่พบสินค้า"))</f>
        <v/>
      </c>
      <c r="G597" s="15" t="n"/>
      <c r="H597" s="15" t="n"/>
      <c r="I597" s="18">
        <f>IF(AND(ISNUMBER(G597),ISNUMBER(H597),G597&gt;0),H597/G597,"")</f>
        <v/>
      </c>
      <c r="J597" s="15" t="n"/>
      <c r="K597" s="15" t="n"/>
      <c r="L597" s="17">
        <f>IF(A597="","",TEXT(A597,"yyyy-mm"))</f>
        <v/>
      </c>
      <c r="M597" s="17">
        <f>IF(AND(A597&lt;&gt;"",J597="Pending"),TODAY()-A597,"")</f>
        <v/>
      </c>
    </row>
    <row r="598">
      <c r="A598" s="16" t="n"/>
      <c r="B598" s="15" t="n"/>
      <c r="C598" s="15" t="n"/>
      <c r="D598" s="17">
        <f>IF($C598="","",IFERROR(INDEX(สินค้า!$A$5:$A$204,MATCH($C598,สินค้า!$B$5:$B$204,0)),"ไม่พบสินค้า"))</f>
        <v/>
      </c>
      <c r="E598" s="17">
        <f>IF($C598="","",IFERROR(INDEX(สินค้า!$C$5:$C$204,MATCH($C598,สินค้า!$B$5:$B$204,0)),"ไม่พบสินค้า"))</f>
        <v/>
      </c>
      <c r="F598" s="17">
        <f>IF($C598="","",IFERROR(INDEX(สินค้า!$D$5:$D$204,MATCH($C598,สินค้า!$B$5:$B$204,0)),"ไม่พบสินค้า"))</f>
        <v/>
      </c>
      <c r="G598" s="15" t="n"/>
      <c r="H598" s="15" t="n"/>
      <c r="I598" s="18">
        <f>IF(AND(ISNUMBER(G598),ISNUMBER(H598),G598&gt;0),H598/G598,"")</f>
        <v/>
      </c>
      <c r="J598" s="15" t="n"/>
      <c r="K598" s="15" t="n"/>
      <c r="L598" s="17">
        <f>IF(A598="","",TEXT(A598,"yyyy-mm"))</f>
        <v/>
      </c>
      <c r="M598" s="17">
        <f>IF(AND(A598&lt;&gt;"",J598="Pending"),TODAY()-A598,"")</f>
        <v/>
      </c>
    </row>
    <row r="599">
      <c r="A599" s="16" t="n"/>
      <c r="B599" s="15" t="n"/>
      <c r="C599" s="15" t="n"/>
      <c r="D599" s="17">
        <f>IF($C599="","",IFERROR(INDEX(สินค้า!$A$5:$A$204,MATCH($C599,สินค้า!$B$5:$B$204,0)),"ไม่พบสินค้า"))</f>
        <v/>
      </c>
      <c r="E599" s="17">
        <f>IF($C599="","",IFERROR(INDEX(สินค้า!$C$5:$C$204,MATCH($C599,สินค้า!$B$5:$B$204,0)),"ไม่พบสินค้า"))</f>
        <v/>
      </c>
      <c r="F599" s="17">
        <f>IF($C599="","",IFERROR(INDEX(สินค้า!$D$5:$D$204,MATCH($C599,สินค้า!$B$5:$B$204,0)),"ไม่พบสินค้า"))</f>
        <v/>
      </c>
      <c r="G599" s="15" t="n"/>
      <c r="H599" s="15" t="n"/>
      <c r="I599" s="18">
        <f>IF(AND(ISNUMBER(G599),ISNUMBER(H599),G599&gt;0),H599/G599,"")</f>
        <v/>
      </c>
      <c r="J599" s="15" t="n"/>
      <c r="K599" s="15" t="n"/>
      <c r="L599" s="17">
        <f>IF(A599="","",TEXT(A599,"yyyy-mm"))</f>
        <v/>
      </c>
      <c r="M599" s="17">
        <f>IF(AND(A599&lt;&gt;"",J599="Pending"),TODAY()-A599,"")</f>
        <v/>
      </c>
    </row>
    <row r="600">
      <c r="A600" s="16" t="n"/>
      <c r="B600" s="15" t="n"/>
      <c r="C600" s="15" t="n"/>
      <c r="D600" s="17">
        <f>IF($C600="","",IFERROR(INDEX(สินค้า!$A$5:$A$204,MATCH($C600,สินค้า!$B$5:$B$204,0)),"ไม่พบสินค้า"))</f>
        <v/>
      </c>
      <c r="E600" s="17">
        <f>IF($C600="","",IFERROR(INDEX(สินค้า!$C$5:$C$204,MATCH($C600,สินค้า!$B$5:$B$204,0)),"ไม่พบสินค้า"))</f>
        <v/>
      </c>
      <c r="F600" s="17">
        <f>IF($C600="","",IFERROR(INDEX(สินค้า!$D$5:$D$204,MATCH($C600,สินค้า!$B$5:$B$204,0)),"ไม่พบสินค้า"))</f>
        <v/>
      </c>
      <c r="G600" s="15" t="n"/>
      <c r="H600" s="15" t="n"/>
      <c r="I600" s="18">
        <f>IF(AND(ISNUMBER(G600),ISNUMBER(H600),G600&gt;0),H600/G600,"")</f>
        <v/>
      </c>
      <c r="J600" s="15" t="n"/>
      <c r="K600" s="15" t="n"/>
      <c r="L600" s="17">
        <f>IF(A600="","",TEXT(A600,"yyyy-mm"))</f>
        <v/>
      </c>
      <c r="M600" s="17">
        <f>IF(AND(A600&lt;&gt;"",J600="Pending"),TODAY()-A600,"")</f>
        <v/>
      </c>
    </row>
    <row r="601">
      <c r="A601" s="16" t="n"/>
      <c r="B601" s="15" t="n"/>
      <c r="C601" s="15" t="n"/>
      <c r="D601" s="17">
        <f>IF($C601="","",IFERROR(INDEX(สินค้า!$A$5:$A$204,MATCH($C601,สินค้า!$B$5:$B$204,0)),"ไม่พบสินค้า"))</f>
        <v/>
      </c>
      <c r="E601" s="17">
        <f>IF($C601="","",IFERROR(INDEX(สินค้า!$C$5:$C$204,MATCH($C601,สินค้า!$B$5:$B$204,0)),"ไม่พบสินค้า"))</f>
        <v/>
      </c>
      <c r="F601" s="17">
        <f>IF($C601="","",IFERROR(INDEX(สินค้า!$D$5:$D$204,MATCH($C601,สินค้า!$B$5:$B$204,0)),"ไม่พบสินค้า"))</f>
        <v/>
      </c>
      <c r="G601" s="15" t="n"/>
      <c r="H601" s="15" t="n"/>
      <c r="I601" s="18">
        <f>IF(AND(ISNUMBER(G601),ISNUMBER(H601),G601&gt;0),H601/G601,"")</f>
        <v/>
      </c>
      <c r="J601" s="15" t="n"/>
      <c r="K601" s="15" t="n"/>
      <c r="L601" s="17">
        <f>IF(A601="","",TEXT(A601,"yyyy-mm"))</f>
        <v/>
      </c>
      <c r="M601" s="17">
        <f>IF(AND(A601&lt;&gt;"",J601="Pending"),TODAY()-A601,"")</f>
        <v/>
      </c>
    </row>
    <row r="602">
      <c r="A602" s="16" t="n"/>
      <c r="B602" s="15" t="n"/>
      <c r="C602" s="15" t="n"/>
      <c r="D602" s="17">
        <f>IF($C602="","",IFERROR(INDEX(สินค้า!$A$5:$A$204,MATCH($C602,สินค้า!$B$5:$B$204,0)),"ไม่พบสินค้า"))</f>
        <v/>
      </c>
      <c r="E602" s="17">
        <f>IF($C602="","",IFERROR(INDEX(สินค้า!$C$5:$C$204,MATCH($C602,สินค้า!$B$5:$B$204,0)),"ไม่พบสินค้า"))</f>
        <v/>
      </c>
      <c r="F602" s="17">
        <f>IF($C602="","",IFERROR(INDEX(สินค้า!$D$5:$D$204,MATCH($C602,สินค้า!$B$5:$B$204,0)),"ไม่พบสินค้า"))</f>
        <v/>
      </c>
      <c r="G602" s="15" t="n"/>
      <c r="H602" s="15" t="n"/>
      <c r="I602" s="18">
        <f>IF(AND(ISNUMBER(G602),ISNUMBER(H602),G602&gt;0),H602/G602,"")</f>
        <v/>
      </c>
      <c r="J602" s="15" t="n"/>
      <c r="K602" s="15" t="n"/>
      <c r="L602" s="17">
        <f>IF(A602="","",TEXT(A602,"yyyy-mm"))</f>
        <v/>
      </c>
      <c r="M602" s="17">
        <f>IF(AND(A602&lt;&gt;"",J602="Pending"),TODAY()-A602,"")</f>
        <v/>
      </c>
    </row>
    <row r="603">
      <c r="A603" s="16" t="n"/>
      <c r="B603" s="15" t="n"/>
      <c r="C603" s="15" t="n"/>
      <c r="D603" s="17">
        <f>IF($C603="","",IFERROR(INDEX(สินค้า!$A$5:$A$204,MATCH($C603,สินค้า!$B$5:$B$204,0)),"ไม่พบสินค้า"))</f>
        <v/>
      </c>
      <c r="E603" s="17">
        <f>IF($C603="","",IFERROR(INDEX(สินค้า!$C$5:$C$204,MATCH($C603,สินค้า!$B$5:$B$204,0)),"ไม่พบสินค้า"))</f>
        <v/>
      </c>
      <c r="F603" s="17">
        <f>IF($C603="","",IFERROR(INDEX(สินค้า!$D$5:$D$204,MATCH($C603,สินค้า!$B$5:$B$204,0)),"ไม่พบสินค้า"))</f>
        <v/>
      </c>
      <c r="G603" s="15" t="n"/>
      <c r="H603" s="15" t="n"/>
      <c r="I603" s="18">
        <f>IF(AND(ISNUMBER(G603),ISNUMBER(H603),G603&gt;0),H603/G603,"")</f>
        <v/>
      </c>
      <c r="J603" s="15" t="n"/>
      <c r="K603" s="15" t="n"/>
      <c r="L603" s="17">
        <f>IF(A603="","",TEXT(A603,"yyyy-mm"))</f>
        <v/>
      </c>
      <c r="M603" s="17">
        <f>IF(AND(A603&lt;&gt;"",J603="Pending"),TODAY()-A603,"")</f>
        <v/>
      </c>
    </row>
    <row r="604">
      <c r="A604" s="16" t="n"/>
      <c r="B604" s="15" t="n"/>
      <c r="C604" s="15" t="n"/>
      <c r="D604" s="17">
        <f>IF($C604="","",IFERROR(INDEX(สินค้า!$A$5:$A$204,MATCH($C604,สินค้า!$B$5:$B$204,0)),"ไม่พบสินค้า"))</f>
        <v/>
      </c>
      <c r="E604" s="17">
        <f>IF($C604="","",IFERROR(INDEX(สินค้า!$C$5:$C$204,MATCH($C604,สินค้า!$B$5:$B$204,0)),"ไม่พบสินค้า"))</f>
        <v/>
      </c>
      <c r="F604" s="17">
        <f>IF($C604="","",IFERROR(INDEX(สินค้า!$D$5:$D$204,MATCH($C604,สินค้า!$B$5:$B$204,0)),"ไม่พบสินค้า"))</f>
        <v/>
      </c>
      <c r="G604" s="15" t="n"/>
      <c r="H604" s="15" t="n"/>
      <c r="I604" s="18">
        <f>IF(AND(ISNUMBER(G604),ISNUMBER(H604),G604&gt;0),H604/G604,"")</f>
        <v/>
      </c>
      <c r="J604" s="15" t="n"/>
      <c r="K604" s="15" t="n"/>
      <c r="L604" s="17">
        <f>IF(A604="","",TEXT(A604,"yyyy-mm"))</f>
        <v/>
      </c>
      <c r="M604" s="17">
        <f>IF(AND(A604&lt;&gt;"",J604="Pending"),TODAY()-A604,"")</f>
        <v/>
      </c>
    </row>
    <row r="605">
      <c r="A605" s="16" t="n"/>
      <c r="B605" s="15" t="n"/>
      <c r="C605" s="15" t="n"/>
      <c r="D605" s="17">
        <f>IF($C605="","",IFERROR(INDEX(สินค้า!$A$5:$A$204,MATCH($C605,สินค้า!$B$5:$B$204,0)),"ไม่พบสินค้า"))</f>
        <v/>
      </c>
      <c r="E605" s="17">
        <f>IF($C605="","",IFERROR(INDEX(สินค้า!$C$5:$C$204,MATCH($C605,สินค้า!$B$5:$B$204,0)),"ไม่พบสินค้า"))</f>
        <v/>
      </c>
      <c r="F605" s="17">
        <f>IF($C605="","",IFERROR(INDEX(สินค้า!$D$5:$D$204,MATCH($C605,สินค้า!$B$5:$B$204,0)),"ไม่พบสินค้า"))</f>
        <v/>
      </c>
      <c r="G605" s="15" t="n"/>
      <c r="H605" s="15" t="n"/>
      <c r="I605" s="18">
        <f>IF(AND(ISNUMBER(G605),ISNUMBER(H605),G605&gt;0),H605/G605,"")</f>
        <v/>
      </c>
      <c r="J605" s="15" t="n"/>
      <c r="K605" s="15" t="n"/>
      <c r="L605" s="17">
        <f>IF(A605="","",TEXT(A605,"yyyy-mm"))</f>
        <v/>
      </c>
      <c r="M605" s="17">
        <f>IF(AND(A605&lt;&gt;"",J605="Pending"),TODAY()-A605,"")</f>
        <v/>
      </c>
    </row>
    <row r="606">
      <c r="A606" s="16" t="n"/>
      <c r="B606" s="15" t="n"/>
      <c r="C606" s="15" t="n"/>
      <c r="D606" s="17">
        <f>IF($C606="","",IFERROR(INDEX(สินค้า!$A$5:$A$204,MATCH($C606,สินค้า!$B$5:$B$204,0)),"ไม่พบสินค้า"))</f>
        <v/>
      </c>
      <c r="E606" s="17">
        <f>IF($C606="","",IFERROR(INDEX(สินค้า!$C$5:$C$204,MATCH($C606,สินค้า!$B$5:$B$204,0)),"ไม่พบสินค้า"))</f>
        <v/>
      </c>
      <c r="F606" s="17">
        <f>IF($C606="","",IFERROR(INDEX(สินค้า!$D$5:$D$204,MATCH($C606,สินค้า!$B$5:$B$204,0)),"ไม่พบสินค้า"))</f>
        <v/>
      </c>
      <c r="G606" s="15" t="n"/>
      <c r="H606" s="15" t="n"/>
      <c r="I606" s="18">
        <f>IF(AND(ISNUMBER(G606),ISNUMBER(H606),G606&gt;0),H606/G606,"")</f>
        <v/>
      </c>
      <c r="J606" s="15" t="n"/>
      <c r="K606" s="15" t="n"/>
      <c r="L606" s="17">
        <f>IF(A606="","",TEXT(A606,"yyyy-mm"))</f>
        <v/>
      </c>
      <c r="M606" s="17">
        <f>IF(AND(A606&lt;&gt;"",J606="Pending"),TODAY()-A606,"")</f>
        <v/>
      </c>
    </row>
    <row r="607">
      <c r="A607" s="16" t="n"/>
      <c r="B607" s="15" t="n"/>
      <c r="C607" s="15" t="n"/>
      <c r="D607" s="17">
        <f>IF($C607="","",IFERROR(INDEX(สินค้า!$A$5:$A$204,MATCH($C607,สินค้า!$B$5:$B$204,0)),"ไม่พบสินค้า"))</f>
        <v/>
      </c>
      <c r="E607" s="17">
        <f>IF($C607="","",IFERROR(INDEX(สินค้า!$C$5:$C$204,MATCH($C607,สินค้า!$B$5:$B$204,0)),"ไม่พบสินค้า"))</f>
        <v/>
      </c>
      <c r="F607" s="17">
        <f>IF($C607="","",IFERROR(INDEX(สินค้า!$D$5:$D$204,MATCH($C607,สินค้า!$B$5:$B$204,0)),"ไม่พบสินค้า"))</f>
        <v/>
      </c>
      <c r="G607" s="15" t="n"/>
      <c r="H607" s="15" t="n"/>
      <c r="I607" s="18">
        <f>IF(AND(ISNUMBER(G607),ISNUMBER(H607),G607&gt;0),H607/G607,"")</f>
        <v/>
      </c>
      <c r="J607" s="15" t="n"/>
      <c r="K607" s="15" t="n"/>
      <c r="L607" s="17">
        <f>IF(A607="","",TEXT(A607,"yyyy-mm"))</f>
        <v/>
      </c>
      <c r="M607" s="17">
        <f>IF(AND(A607&lt;&gt;"",J607="Pending"),TODAY()-A607,"")</f>
        <v/>
      </c>
    </row>
    <row r="608">
      <c r="A608" s="16" t="n"/>
      <c r="B608" s="15" t="n"/>
      <c r="C608" s="15" t="n"/>
      <c r="D608" s="17">
        <f>IF($C608="","",IFERROR(INDEX(สินค้า!$A$5:$A$204,MATCH($C608,สินค้า!$B$5:$B$204,0)),"ไม่พบสินค้า"))</f>
        <v/>
      </c>
      <c r="E608" s="17">
        <f>IF($C608="","",IFERROR(INDEX(สินค้า!$C$5:$C$204,MATCH($C608,สินค้า!$B$5:$B$204,0)),"ไม่พบสินค้า"))</f>
        <v/>
      </c>
      <c r="F608" s="17">
        <f>IF($C608="","",IFERROR(INDEX(สินค้า!$D$5:$D$204,MATCH($C608,สินค้า!$B$5:$B$204,0)),"ไม่พบสินค้า"))</f>
        <v/>
      </c>
      <c r="G608" s="15" t="n"/>
      <c r="H608" s="15" t="n"/>
      <c r="I608" s="18">
        <f>IF(AND(ISNUMBER(G608),ISNUMBER(H608),G608&gt;0),H608/G608,"")</f>
        <v/>
      </c>
      <c r="J608" s="15" t="n"/>
      <c r="K608" s="15" t="n"/>
      <c r="L608" s="17">
        <f>IF(A608="","",TEXT(A608,"yyyy-mm"))</f>
        <v/>
      </c>
      <c r="M608" s="17">
        <f>IF(AND(A608&lt;&gt;"",J608="Pending"),TODAY()-A608,"")</f>
        <v/>
      </c>
    </row>
    <row r="609">
      <c r="A609" s="16" t="n"/>
      <c r="B609" s="15" t="n"/>
      <c r="C609" s="15" t="n"/>
      <c r="D609" s="17">
        <f>IF($C609="","",IFERROR(INDEX(สินค้า!$A$5:$A$204,MATCH($C609,สินค้า!$B$5:$B$204,0)),"ไม่พบสินค้า"))</f>
        <v/>
      </c>
      <c r="E609" s="17">
        <f>IF($C609="","",IFERROR(INDEX(สินค้า!$C$5:$C$204,MATCH($C609,สินค้า!$B$5:$B$204,0)),"ไม่พบสินค้า"))</f>
        <v/>
      </c>
      <c r="F609" s="17">
        <f>IF($C609="","",IFERROR(INDEX(สินค้า!$D$5:$D$204,MATCH($C609,สินค้า!$B$5:$B$204,0)),"ไม่พบสินค้า"))</f>
        <v/>
      </c>
      <c r="G609" s="15" t="n"/>
      <c r="H609" s="15" t="n"/>
      <c r="I609" s="18">
        <f>IF(AND(ISNUMBER(G609),ISNUMBER(H609),G609&gt;0),H609/G609,"")</f>
        <v/>
      </c>
      <c r="J609" s="15" t="n"/>
      <c r="K609" s="15" t="n"/>
      <c r="L609" s="17">
        <f>IF(A609="","",TEXT(A609,"yyyy-mm"))</f>
        <v/>
      </c>
      <c r="M609" s="17">
        <f>IF(AND(A609&lt;&gt;"",J609="Pending"),TODAY()-A609,"")</f>
        <v/>
      </c>
    </row>
    <row r="610">
      <c r="A610" s="16" t="n"/>
      <c r="B610" s="15" t="n"/>
      <c r="C610" s="15" t="n"/>
      <c r="D610" s="17">
        <f>IF($C610="","",IFERROR(INDEX(สินค้า!$A$5:$A$204,MATCH($C610,สินค้า!$B$5:$B$204,0)),"ไม่พบสินค้า"))</f>
        <v/>
      </c>
      <c r="E610" s="17">
        <f>IF($C610="","",IFERROR(INDEX(สินค้า!$C$5:$C$204,MATCH($C610,สินค้า!$B$5:$B$204,0)),"ไม่พบสินค้า"))</f>
        <v/>
      </c>
      <c r="F610" s="17">
        <f>IF($C610="","",IFERROR(INDEX(สินค้า!$D$5:$D$204,MATCH($C610,สินค้า!$B$5:$B$204,0)),"ไม่พบสินค้า"))</f>
        <v/>
      </c>
      <c r="G610" s="15" t="n"/>
      <c r="H610" s="15" t="n"/>
      <c r="I610" s="18">
        <f>IF(AND(ISNUMBER(G610),ISNUMBER(H610),G610&gt;0),H610/G610,"")</f>
        <v/>
      </c>
      <c r="J610" s="15" t="n"/>
      <c r="K610" s="15" t="n"/>
      <c r="L610" s="17">
        <f>IF(A610="","",TEXT(A610,"yyyy-mm"))</f>
        <v/>
      </c>
      <c r="M610" s="17">
        <f>IF(AND(A610&lt;&gt;"",J610="Pending"),TODAY()-A610,"")</f>
        <v/>
      </c>
    </row>
    <row r="611">
      <c r="A611" s="16" t="n"/>
      <c r="B611" s="15" t="n"/>
      <c r="C611" s="15" t="n"/>
      <c r="D611" s="17">
        <f>IF($C611="","",IFERROR(INDEX(สินค้า!$A$5:$A$204,MATCH($C611,สินค้า!$B$5:$B$204,0)),"ไม่พบสินค้า"))</f>
        <v/>
      </c>
      <c r="E611" s="17">
        <f>IF($C611="","",IFERROR(INDEX(สินค้า!$C$5:$C$204,MATCH($C611,สินค้า!$B$5:$B$204,0)),"ไม่พบสินค้า"))</f>
        <v/>
      </c>
      <c r="F611" s="17">
        <f>IF($C611="","",IFERROR(INDEX(สินค้า!$D$5:$D$204,MATCH($C611,สินค้า!$B$5:$B$204,0)),"ไม่พบสินค้า"))</f>
        <v/>
      </c>
      <c r="G611" s="15" t="n"/>
      <c r="H611" s="15" t="n"/>
      <c r="I611" s="18">
        <f>IF(AND(ISNUMBER(G611),ISNUMBER(H611),G611&gt;0),H611/G611,"")</f>
        <v/>
      </c>
      <c r="J611" s="15" t="n"/>
      <c r="K611" s="15" t="n"/>
      <c r="L611" s="17">
        <f>IF(A611="","",TEXT(A611,"yyyy-mm"))</f>
        <v/>
      </c>
      <c r="M611" s="17">
        <f>IF(AND(A611&lt;&gt;"",J611="Pending"),TODAY()-A611,"")</f>
        <v/>
      </c>
    </row>
    <row r="612">
      <c r="A612" s="16" t="n"/>
      <c r="B612" s="15" t="n"/>
      <c r="C612" s="15" t="n"/>
      <c r="D612" s="17">
        <f>IF($C612="","",IFERROR(INDEX(สินค้า!$A$5:$A$204,MATCH($C612,สินค้า!$B$5:$B$204,0)),"ไม่พบสินค้า"))</f>
        <v/>
      </c>
      <c r="E612" s="17">
        <f>IF($C612="","",IFERROR(INDEX(สินค้า!$C$5:$C$204,MATCH($C612,สินค้า!$B$5:$B$204,0)),"ไม่พบสินค้า"))</f>
        <v/>
      </c>
      <c r="F612" s="17">
        <f>IF($C612="","",IFERROR(INDEX(สินค้า!$D$5:$D$204,MATCH($C612,สินค้า!$B$5:$B$204,0)),"ไม่พบสินค้า"))</f>
        <v/>
      </c>
      <c r="G612" s="15" t="n"/>
      <c r="H612" s="15" t="n"/>
      <c r="I612" s="18">
        <f>IF(AND(ISNUMBER(G612),ISNUMBER(H612),G612&gt;0),H612/G612,"")</f>
        <v/>
      </c>
      <c r="J612" s="15" t="n"/>
      <c r="K612" s="15" t="n"/>
      <c r="L612" s="17">
        <f>IF(A612="","",TEXT(A612,"yyyy-mm"))</f>
        <v/>
      </c>
      <c r="M612" s="17">
        <f>IF(AND(A612&lt;&gt;"",J612="Pending"),TODAY()-A612,"")</f>
        <v/>
      </c>
    </row>
    <row r="613">
      <c r="A613" s="16" t="n"/>
      <c r="B613" s="15" t="n"/>
      <c r="C613" s="15" t="n"/>
      <c r="D613" s="17">
        <f>IF($C613="","",IFERROR(INDEX(สินค้า!$A$5:$A$204,MATCH($C613,สินค้า!$B$5:$B$204,0)),"ไม่พบสินค้า"))</f>
        <v/>
      </c>
      <c r="E613" s="17">
        <f>IF($C613="","",IFERROR(INDEX(สินค้า!$C$5:$C$204,MATCH($C613,สินค้า!$B$5:$B$204,0)),"ไม่พบสินค้า"))</f>
        <v/>
      </c>
      <c r="F613" s="17">
        <f>IF($C613="","",IFERROR(INDEX(สินค้า!$D$5:$D$204,MATCH($C613,สินค้า!$B$5:$B$204,0)),"ไม่พบสินค้า"))</f>
        <v/>
      </c>
      <c r="G613" s="15" t="n"/>
      <c r="H613" s="15" t="n"/>
      <c r="I613" s="18">
        <f>IF(AND(ISNUMBER(G613),ISNUMBER(H613),G613&gt;0),H613/G613,"")</f>
        <v/>
      </c>
      <c r="J613" s="15" t="n"/>
      <c r="K613" s="15" t="n"/>
      <c r="L613" s="17">
        <f>IF(A613="","",TEXT(A613,"yyyy-mm"))</f>
        <v/>
      </c>
      <c r="M613" s="17">
        <f>IF(AND(A613&lt;&gt;"",J613="Pending"),TODAY()-A613,"")</f>
        <v/>
      </c>
    </row>
    <row r="614">
      <c r="A614" s="16" t="n"/>
      <c r="B614" s="15" t="n"/>
      <c r="C614" s="15" t="n"/>
      <c r="D614" s="17">
        <f>IF($C614="","",IFERROR(INDEX(สินค้า!$A$5:$A$204,MATCH($C614,สินค้า!$B$5:$B$204,0)),"ไม่พบสินค้า"))</f>
        <v/>
      </c>
      <c r="E614" s="17">
        <f>IF($C614="","",IFERROR(INDEX(สินค้า!$C$5:$C$204,MATCH($C614,สินค้า!$B$5:$B$204,0)),"ไม่พบสินค้า"))</f>
        <v/>
      </c>
      <c r="F614" s="17">
        <f>IF($C614="","",IFERROR(INDEX(สินค้า!$D$5:$D$204,MATCH($C614,สินค้า!$B$5:$B$204,0)),"ไม่พบสินค้า"))</f>
        <v/>
      </c>
      <c r="G614" s="15" t="n"/>
      <c r="H614" s="15" t="n"/>
      <c r="I614" s="18">
        <f>IF(AND(ISNUMBER(G614),ISNUMBER(H614),G614&gt;0),H614/G614,"")</f>
        <v/>
      </c>
      <c r="J614" s="15" t="n"/>
      <c r="K614" s="15" t="n"/>
      <c r="L614" s="17">
        <f>IF(A614="","",TEXT(A614,"yyyy-mm"))</f>
        <v/>
      </c>
      <c r="M614" s="17">
        <f>IF(AND(A614&lt;&gt;"",J614="Pending"),TODAY()-A614,"")</f>
        <v/>
      </c>
    </row>
    <row r="615">
      <c r="A615" s="16" t="n"/>
      <c r="B615" s="15" t="n"/>
      <c r="C615" s="15" t="n"/>
      <c r="D615" s="17">
        <f>IF($C615="","",IFERROR(INDEX(สินค้า!$A$5:$A$204,MATCH($C615,สินค้า!$B$5:$B$204,0)),"ไม่พบสินค้า"))</f>
        <v/>
      </c>
      <c r="E615" s="17">
        <f>IF($C615="","",IFERROR(INDEX(สินค้า!$C$5:$C$204,MATCH($C615,สินค้า!$B$5:$B$204,0)),"ไม่พบสินค้า"))</f>
        <v/>
      </c>
      <c r="F615" s="17">
        <f>IF($C615="","",IFERROR(INDEX(สินค้า!$D$5:$D$204,MATCH($C615,สินค้า!$B$5:$B$204,0)),"ไม่พบสินค้า"))</f>
        <v/>
      </c>
      <c r="G615" s="15" t="n"/>
      <c r="H615" s="15" t="n"/>
      <c r="I615" s="18">
        <f>IF(AND(ISNUMBER(G615),ISNUMBER(H615),G615&gt;0),H615/G615,"")</f>
        <v/>
      </c>
      <c r="J615" s="15" t="n"/>
      <c r="K615" s="15" t="n"/>
      <c r="L615" s="17">
        <f>IF(A615="","",TEXT(A615,"yyyy-mm"))</f>
        <v/>
      </c>
      <c r="M615" s="17">
        <f>IF(AND(A615&lt;&gt;"",J615="Pending"),TODAY()-A615,"")</f>
        <v/>
      </c>
    </row>
    <row r="616">
      <c r="A616" s="16" t="n"/>
      <c r="B616" s="15" t="n"/>
      <c r="C616" s="15" t="n"/>
      <c r="D616" s="17">
        <f>IF($C616="","",IFERROR(INDEX(สินค้า!$A$5:$A$204,MATCH($C616,สินค้า!$B$5:$B$204,0)),"ไม่พบสินค้า"))</f>
        <v/>
      </c>
      <c r="E616" s="17">
        <f>IF($C616="","",IFERROR(INDEX(สินค้า!$C$5:$C$204,MATCH($C616,สินค้า!$B$5:$B$204,0)),"ไม่พบสินค้า"))</f>
        <v/>
      </c>
      <c r="F616" s="17">
        <f>IF($C616="","",IFERROR(INDEX(สินค้า!$D$5:$D$204,MATCH($C616,สินค้า!$B$5:$B$204,0)),"ไม่พบสินค้า"))</f>
        <v/>
      </c>
      <c r="G616" s="15" t="n"/>
      <c r="H616" s="15" t="n"/>
      <c r="I616" s="18">
        <f>IF(AND(ISNUMBER(G616),ISNUMBER(H616),G616&gt;0),H616/G616,"")</f>
        <v/>
      </c>
      <c r="J616" s="15" t="n"/>
      <c r="K616" s="15" t="n"/>
      <c r="L616" s="17">
        <f>IF(A616="","",TEXT(A616,"yyyy-mm"))</f>
        <v/>
      </c>
      <c r="M616" s="17">
        <f>IF(AND(A616&lt;&gt;"",J616="Pending"),TODAY()-A616,"")</f>
        <v/>
      </c>
    </row>
    <row r="617">
      <c r="A617" s="16" t="n"/>
      <c r="B617" s="15" t="n"/>
      <c r="C617" s="15" t="n"/>
      <c r="D617" s="17">
        <f>IF($C617="","",IFERROR(INDEX(สินค้า!$A$5:$A$204,MATCH($C617,สินค้า!$B$5:$B$204,0)),"ไม่พบสินค้า"))</f>
        <v/>
      </c>
      <c r="E617" s="17">
        <f>IF($C617="","",IFERROR(INDEX(สินค้า!$C$5:$C$204,MATCH($C617,สินค้า!$B$5:$B$204,0)),"ไม่พบสินค้า"))</f>
        <v/>
      </c>
      <c r="F617" s="17">
        <f>IF($C617="","",IFERROR(INDEX(สินค้า!$D$5:$D$204,MATCH($C617,สินค้า!$B$5:$B$204,0)),"ไม่พบสินค้า"))</f>
        <v/>
      </c>
      <c r="G617" s="15" t="n"/>
      <c r="H617" s="15" t="n"/>
      <c r="I617" s="18">
        <f>IF(AND(ISNUMBER(G617),ISNUMBER(H617),G617&gt;0),H617/G617,"")</f>
        <v/>
      </c>
      <c r="J617" s="15" t="n"/>
      <c r="K617" s="15" t="n"/>
      <c r="L617" s="17">
        <f>IF(A617="","",TEXT(A617,"yyyy-mm"))</f>
        <v/>
      </c>
      <c r="M617" s="17">
        <f>IF(AND(A617&lt;&gt;"",J617="Pending"),TODAY()-A617,"")</f>
        <v/>
      </c>
    </row>
    <row r="618">
      <c r="A618" s="16" t="n"/>
      <c r="B618" s="15" t="n"/>
      <c r="C618" s="15" t="n"/>
      <c r="D618" s="17">
        <f>IF($C618="","",IFERROR(INDEX(สินค้า!$A$5:$A$204,MATCH($C618,สินค้า!$B$5:$B$204,0)),"ไม่พบสินค้า"))</f>
        <v/>
      </c>
      <c r="E618" s="17">
        <f>IF($C618="","",IFERROR(INDEX(สินค้า!$C$5:$C$204,MATCH($C618,สินค้า!$B$5:$B$204,0)),"ไม่พบสินค้า"))</f>
        <v/>
      </c>
      <c r="F618" s="17">
        <f>IF($C618="","",IFERROR(INDEX(สินค้า!$D$5:$D$204,MATCH($C618,สินค้า!$B$5:$B$204,0)),"ไม่พบสินค้า"))</f>
        <v/>
      </c>
      <c r="G618" s="15" t="n"/>
      <c r="H618" s="15" t="n"/>
      <c r="I618" s="18">
        <f>IF(AND(ISNUMBER(G618),ISNUMBER(H618),G618&gt;0),H618/G618,"")</f>
        <v/>
      </c>
      <c r="J618" s="15" t="n"/>
      <c r="K618" s="15" t="n"/>
      <c r="L618" s="17">
        <f>IF(A618="","",TEXT(A618,"yyyy-mm"))</f>
        <v/>
      </c>
      <c r="M618" s="17">
        <f>IF(AND(A618&lt;&gt;"",J618="Pending"),TODAY()-A618,"")</f>
        <v/>
      </c>
    </row>
    <row r="619">
      <c r="A619" s="16" t="n"/>
      <c r="B619" s="15" t="n"/>
      <c r="C619" s="15" t="n"/>
      <c r="D619" s="17">
        <f>IF($C619="","",IFERROR(INDEX(สินค้า!$A$5:$A$204,MATCH($C619,สินค้า!$B$5:$B$204,0)),"ไม่พบสินค้า"))</f>
        <v/>
      </c>
      <c r="E619" s="17">
        <f>IF($C619="","",IFERROR(INDEX(สินค้า!$C$5:$C$204,MATCH($C619,สินค้า!$B$5:$B$204,0)),"ไม่พบสินค้า"))</f>
        <v/>
      </c>
      <c r="F619" s="17">
        <f>IF($C619="","",IFERROR(INDEX(สินค้า!$D$5:$D$204,MATCH($C619,สินค้า!$B$5:$B$204,0)),"ไม่พบสินค้า"))</f>
        <v/>
      </c>
      <c r="G619" s="15" t="n"/>
      <c r="H619" s="15" t="n"/>
      <c r="I619" s="18">
        <f>IF(AND(ISNUMBER(G619),ISNUMBER(H619),G619&gt;0),H619/G619,"")</f>
        <v/>
      </c>
      <c r="J619" s="15" t="n"/>
      <c r="K619" s="15" t="n"/>
      <c r="L619" s="17">
        <f>IF(A619="","",TEXT(A619,"yyyy-mm"))</f>
        <v/>
      </c>
      <c r="M619" s="17">
        <f>IF(AND(A619&lt;&gt;"",J619="Pending"),TODAY()-A619,"")</f>
        <v/>
      </c>
    </row>
    <row r="620">
      <c r="A620" s="16" t="n"/>
      <c r="B620" s="15" t="n"/>
      <c r="C620" s="15" t="n"/>
      <c r="D620" s="17">
        <f>IF($C620="","",IFERROR(INDEX(สินค้า!$A$5:$A$204,MATCH($C620,สินค้า!$B$5:$B$204,0)),"ไม่พบสินค้า"))</f>
        <v/>
      </c>
      <c r="E620" s="17">
        <f>IF($C620="","",IFERROR(INDEX(สินค้า!$C$5:$C$204,MATCH($C620,สินค้า!$B$5:$B$204,0)),"ไม่พบสินค้า"))</f>
        <v/>
      </c>
      <c r="F620" s="17">
        <f>IF($C620="","",IFERROR(INDEX(สินค้า!$D$5:$D$204,MATCH($C620,สินค้า!$B$5:$B$204,0)),"ไม่พบสินค้า"))</f>
        <v/>
      </c>
      <c r="G620" s="15" t="n"/>
      <c r="H620" s="15" t="n"/>
      <c r="I620" s="18">
        <f>IF(AND(ISNUMBER(G620),ISNUMBER(H620),G620&gt;0),H620/G620,"")</f>
        <v/>
      </c>
      <c r="J620" s="15" t="n"/>
      <c r="K620" s="15" t="n"/>
      <c r="L620" s="17">
        <f>IF(A620="","",TEXT(A620,"yyyy-mm"))</f>
        <v/>
      </c>
      <c r="M620" s="17">
        <f>IF(AND(A620&lt;&gt;"",J620="Pending"),TODAY()-A620,"")</f>
        <v/>
      </c>
    </row>
    <row r="621">
      <c r="A621" s="16" t="n"/>
      <c r="B621" s="15" t="n"/>
      <c r="C621" s="15" t="n"/>
      <c r="D621" s="17">
        <f>IF($C621="","",IFERROR(INDEX(สินค้า!$A$5:$A$204,MATCH($C621,สินค้า!$B$5:$B$204,0)),"ไม่พบสินค้า"))</f>
        <v/>
      </c>
      <c r="E621" s="17">
        <f>IF($C621="","",IFERROR(INDEX(สินค้า!$C$5:$C$204,MATCH($C621,สินค้า!$B$5:$B$204,0)),"ไม่พบสินค้า"))</f>
        <v/>
      </c>
      <c r="F621" s="17">
        <f>IF($C621="","",IFERROR(INDEX(สินค้า!$D$5:$D$204,MATCH($C621,สินค้า!$B$5:$B$204,0)),"ไม่พบสินค้า"))</f>
        <v/>
      </c>
      <c r="G621" s="15" t="n"/>
      <c r="H621" s="15" t="n"/>
      <c r="I621" s="18">
        <f>IF(AND(ISNUMBER(G621),ISNUMBER(H621),G621&gt;0),H621/G621,"")</f>
        <v/>
      </c>
      <c r="J621" s="15" t="n"/>
      <c r="K621" s="15" t="n"/>
      <c r="L621" s="17">
        <f>IF(A621="","",TEXT(A621,"yyyy-mm"))</f>
        <v/>
      </c>
      <c r="M621" s="17">
        <f>IF(AND(A621&lt;&gt;"",J621="Pending"),TODAY()-A621,"")</f>
        <v/>
      </c>
    </row>
    <row r="622">
      <c r="A622" s="16" t="n"/>
      <c r="B622" s="15" t="n"/>
      <c r="C622" s="15" t="n"/>
      <c r="D622" s="17">
        <f>IF($C622="","",IFERROR(INDEX(สินค้า!$A$5:$A$204,MATCH($C622,สินค้า!$B$5:$B$204,0)),"ไม่พบสินค้า"))</f>
        <v/>
      </c>
      <c r="E622" s="17">
        <f>IF($C622="","",IFERROR(INDEX(สินค้า!$C$5:$C$204,MATCH($C622,สินค้า!$B$5:$B$204,0)),"ไม่พบสินค้า"))</f>
        <v/>
      </c>
      <c r="F622" s="17">
        <f>IF($C622="","",IFERROR(INDEX(สินค้า!$D$5:$D$204,MATCH($C622,สินค้า!$B$5:$B$204,0)),"ไม่พบสินค้า"))</f>
        <v/>
      </c>
      <c r="G622" s="15" t="n"/>
      <c r="H622" s="15" t="n"/>
      <c r="I622" s="18">
        <f>IF(AND(ISNUMBER(G622),ISNUMBER(H622),G622&gt;0),H622/G622,"")</f>
        <v/>
      </c>
      <c r="J622" s="15" t="n"/>
      <c r="K622" s="15" t="n"/>
      <c r="L622" s="17">
        <f>IF(A622="","",TEXT(A622,"yyyy-mm"))</f>
        <v/>
      </c>
      <c r="M622" s="17">
        <f>IF(AND(A622&lt;&gt;"",J622="Pending"),TODAY()-A622,"")</f>
        <v/>
      </c>
    </row>
    <row r="623">
      <c r="A623" s="16" t="n"/>
      <c r="B623" s="15" t="n"/>
      <c r="C623" s="15" t="n"/>
      <c r="D623" s="17">
        <f>IF($C623="","",IFERROR(INDEX(สินค้า!$A$5:$A$204,MATCH($C623,สินค้า!$B$5:$B$204,0)),"ไม่พบสินค้า"))</f>
        <v/>
      </c>
      <c r="E623" s="17">
        <f>IF($C623="","",IFERROR(INDEX(สินค้า!$C$5:$C$204,MATCH($C623,สินค้า!$B$5:$B$204,0)),"ไม่พบสินค้า"))</f>
        <v/>
      </c>
      <c r="F623" s="17">
        <f>IF($C623="","",IFERROR(INDEX(สินค้า!$D$5:$D$204,MATCH($C623,สินค้า!$B$5:$B$204,0)),"ไม่พบสินค้า"))</f>
        <v/>
      </c>
      <c r="G623" s="15" t="n"/>
      <c r="H623" s="15" t="n"/>
      <c r="I623" s="18">
        <f>IF(AND(ISNUMBER(G623),ISNUMBER(H623),G623&gt;0),H623/G623,"")</f>
        <v/>
      </c>
      <c r="J623" s="15" t="n"/>
      <c r="K623" s="15" t="n"/>
      <c r="L623" s="17">
        <f>IF(A623="","",TEXT(A623,"yyyy-mm"))</f>
        <v/>
      </c>
      <c r="M623" s="17">
        <f>IF(AND(A623&lt;&gt;"",J623="Pending"),TODAY()-A623,"")</f>
        <v/>
      </c>
    </row>
    <row r="624">
      <c r="A624" s="16" t="n"/>
      <c r="B624" s="15" t="n"/>
      <c r="C624" s="15" t="n"/>
      <c r="D624" s="17">
        <f>IF($C624="","",IFERROR(INDEX(สินค้า!$A$5:$A$204,MATCH($C624,สินค้า!$B$5:$B$204,0)),"ไม่พบสินค้า"))</f>
        <v/>
      </c>
      <c r="E624" s="17">
        <f>IF($C624="","",IFERROR(INDEX(สินค้า!$C$5:$C$204,MATCH($C624,สินค้า!$B$5:$B$204,0)),"ไม่พบสินค้า"))</f>
        <v/>
      </c>
      <c r="F624" s="17">
        <f>IF($C624="","",IFERROR(INDEX(สินค้า!$D$5:$D$204,MATCH($C624,สินค้า!$B$5:$B$204,0)),"ไม่พบสินค้า"))</f>
        <v/>
      </c>
      <c r="G624" s="15" t="n"/>
      <c r="H624" s="15" t="n"/>
      <c r="I624" s="18">
        <f>IF(AND(ISNUMBER(G624),ISNUMBER(H624),G624&gt;0),H624/G624,"")</f>
        <v/>
      </c>
      <c r="J624" s="15" t="n"/>
      <c r="K624" s="15" t="n"/>
      <c r="L624" s="17">
        <f>IF(A624="","",TEXT(A624,"yyyy-mm"))</f>
        <v/>
      </c>
      <c r="M624" s="17">
        <f>IF(AND(A624&lt;&gt;"",J624="Pending"),TODAY()-A624,"")</f>
        <v/>
      </c>
    </row>
    <row r="625">
      <c r="A625" s="16" t="n"/>
      <c r="B625" s="15" t="n"/>
      <c r="C625" s="15" t="n"/>
      <c r="D625" s="17">
        <f>IF($C625="","",IFERROR(INDEX(สินค้า!$A$5:$A$204,MATCH($C625,สินค้า!$B$5:$B$204,0)),"ไม่พบสินค้า"))</f>
        <v/>
      </c>
      <c r="E625" s="17">
        <f>IF($C625="","",IFERROR(INDEX(สินค้า!$C$5:$C$204,MATCH($C625,สินค้า!$B$5:$B$204,0)),"ไม่พบสินค้า"))</f>
        <v/>
      </c>
      <c r="F625" s="17">
        <f>IF($C625="","",IFERROR(INDEX(สินค้า!$D$5:$D$204,MATCH($C625,สินค้า!$B$5:$B$204,0)),"ไม่พบสินค้า"))</f>
        <v/>
      </c>
      <c r="G625" s="15" t="n"/>
      <c r="H625" s="15" t="n"/>
      <c r="I625" s="18">
        <f>IF(AND(ISNUMBER(G625),ISNUMBER(H625),G625&gt;0),H625/G625,"")</f>
        <v/>
      </c>
      <c r="J625" s="15" t="n"/>
      <c r="K625" s="15" t="n"/>
      <c r="L625" s="17">
        <f>IF(A625="","",TEXT(A625,"yyyy-mm"))</f>
        <v/>
      </c>
      <c r="M625" s="17">
        <f>IF(AND(A625&lt;&gt;"",J625="Pending"),TODAY()-A625,"")</f>
        <v/>
      </c>
    </row>
    <row r="626">
      <c r="A626" s="16" t="n"/>
      <c r="B626" s="15" t="n"/>
      <c r="C626" s="15" t="n"/>
      <c r="D626" s="17">
        <f>IF($C626="","",IFERROR(INDEX(สินค้า!$A$5:$A$204,MATCH($C626,สินค้า!$B$5:$B$204,0)),"ไม่พบสินค้า"))</f>
        <v/>
      </c>
      <c r="E626" s="17">
        <f>IF($C626="","",IFERROR(INDEX(สินค้า!$C$5:$C$204,MATCH($C626,สินค้า!$B$5:$B$204,0)),"ไม่พบสินค้า"))</f>
        <v/>
      </c>
      <c r="F626" s="17">
        <f>IF($C626="","",IFERROR(INDEX(สินค้า!$D$5:$D$204,MATCH($C626,สินค้า!$B$5:$B$204,0)),"ไม่พบสินค้า"))</f>
        <v/>
      </c>
      <c r="G626" s="15" t="n"/>
      <c r="H626" s="15" t="n"/>
      <c r="I626" s="18">
        <f>IF(AND(ISNUMBER(G626),ISNUMBER(H626),G626&gt;0),H626/G626,"")</f>
        <v/>
      </c>
      <c r="J626" s="15" t="n"/>
      <c r="K626" s="15" t="n"/>
      <c r="L626" s="17">
        <f>IF(A626="","",TEXT(A626,"yyyy-mm"))</f>
        <v/>
      </c>
      <c r="M626" s="17">
        <f>IF(AND(A626&lt;&gt;"",J626="Pending"),TODAY()-A626,"")</f>
        <v/>
      </c>
    </row>
    <row r="627">
      <c r="A627" s="16" t="n"/>
      <c r="B627" s="15" t="n"/>
      <c r="C627" s="15" t="n"/>
      <c r="D627" s="17">
        <f>IF($C627="","",IFERROR(INDEX(สินค้า!$A$5:$A$204,MATCH($C627,สินค้า!$B$5:$B$204,0)),"ไม่พบสินค้า"))</f>
        <v/>
      </c>
      <c r="E627" s="17">
        <f>IF($C627="","",IFERROR(INDEX(สินค้า!$C$5:$C$204,MATCH($C627,สินค้า!$B$5:$B$204,0)),"ไม่พบสินค้า"))</f>
        <v/>
      </c>
      <c r="F627" s="17">
        <f>IF($C627="","",IFERROR(INDEX(สินค้า!$D$5:$D$204,MATCH($C627,สินค้า!$B$5:$B$204,0)),"ไม่พบสินค้า"))</f>
        <v/>
      </c>
      <c r="G627" s="15" t="n"/>
      <c r="H627" s="15" t="n"/>
      <c r="I627" s="18">
        <f>IF(AND(ISNUMBER(G627),ISNUMBER(H627),G627&gt;0),H627/G627,"")</f>
        <v/>
      </c>
      <c r="J627" s="15" t="n"/>
      <c r="K627" s="15" t="n"/>
      <c r="L627" s="17">
        <f>IF(A627="","",TEXT(A627,"yyyy-mm"))</f>
        <v/>
      </c>
      <c r="M627" s="17">
        <f>IF(AND(A627&lt;&gt;"",J627="Pending"),TODAY()-A627,"")</f>
        <v/>
      </c>
    </row>
    <row r="628">
      <c r="A628" s="16" t="n"/>
      <c r="B628" s="15" t="n"/>
      <c r="C628" s="15" t="n"/>
      <c r="D628" s="17">
        <f>IF($C628="","",IFERROR(INDEX(สินค้า!$A$5:$A$204,MATCH($C628,สินค้า!$B$5:$B$204,0)),"ไม่พบสินค้า"))</f>
        <v/>
      </c>
      <c r="E628" s="17">
        <f>IF($C628="","",IFERROR(INDEX(สินค้า!$C$5:$C$204,MATCH($C628,สินค้า!$B$5:$B$204,0)),"ไม่พบสินค้า"))</f>
        <v/>
      </c>
      <c r="F628" s="17">
        <f>IF($C628="","",IFERROR(INDEX(สินค้า!$D$5:$D$204,MATCH($C628,สินค้า!$B$5:$B$204,0)),"ไม่พบสินค้า"))</f>
        <v/>
      </c>
      <c r="G628" s="15" t="n"/>
      <c r="H628" s="15" t="n"/>
      <c r="I628" s="18">
        <f>IF(AND(ISNUMBER(G628),ISNUMBER(H628),G628&gt;0),H628/G628,"")</f>
        <v/>
      </c>
      <c r="J628" s="15" t="n"/>
      <c r="K628" s="15" t="n"/>
      <c r="L628" s="17">
        <f>IF(A628="","",TEXT(A628,"yyyy-mm"))</f>
        <v/>
      </c>
      <c r="M628" s="17">
        <f>IF(AND(A628&lt;&gt;"",J628="Pending"),TODAY()-A628,"")</f>
        <v/>
      </c>
    </row>
    <row r="629">
      <c r="A629" s="16" t="n"/>
      <c r="B629" s="15" t="n"/>
      <c r="C629" s="15" t="n"/>
      <c r="D629" s="17">
        <f>IF($C629="","",IFERROR(INDEX(สินค้า!$A$5:$A$204,MATCH($C629,สินค้า!$B$5:$B$204,0)),"ไม่พบสินค้า"))</f>
        <v/>
      </c>
      <c r="E629" s="17">
        <f>IF($C629="","",IFERROR(INDEX(สินค้า!$C$5:$C$204,MATCH($C629,สินค้า!$B$5:$B$204,0)),"ไม่พบสินค้า"))</f>
        <v/>
      </c>
      <c r="F629" s="17">
        <f>IF($C629="","",IFERROR(INDEX(สินค้า!$D$5:$D$204,MATCH($C629,สินค้า!$B$5:$B$204,0)),"ไม่พบสินค้า"))</f>
        <v/>
      </c>
      <c r="G629" s="15" t="n"/>
      <c r="H629" s="15" t="n"/>
      <c r="I629" s="18">
        <f>IF(AND(ISNUMBER(G629),ISNUMBER(H629),G629&gt;0),H629/G629,"")</f>
        <v/>
      </c>
      <c r="J629" s="15" t="n"/>
      <c r="K629" s="15" t="n"/>
      <c r="L629" s="17">
        <f>IF(A629="","",TEXT(A629,"yyyy-mm"))</f>
        <v/>
      </c>
      <c r="M629" s="17">
        <f>IF(AND(A629&lt;&gt;"",J629="Pending"),TODAY()-A629,"")</f>
        <v/>
      </c>
    </row>
    <row r="630">
      <c r="A630" s="16" t="n"/>
      <c r="B630" s="15" t="n"/>
      <c r="C630" s="15" t="n"/>
      <c r="D630" s="17">
        <f>IF($C630="","",IFERROR(INDEX(สินค้า!$A$5:$A$204,MATCH($C630,สินค้า!$B$5:$B$204,0)),"ไม่พบสินค้า"))</f>
        <v/>
      </c>
      <c r="E630" s="17">
        <f>IF($C630="","",IFERROR(INDEX(สินค้า!$C$5:$C$204,MATCH($C630,สินค้า!$B$5:$B$204,0)),"ไม่พบสินค้า"))</f>
        <v/>
      </c>
      <c r="F630" s="17">
        <f>IF($C630="","",IFERROR(INDEX(สินค้า!$D$5:$D$204,MATCH($C630,สินค้า!$B$5:$B$204,0)),"ไม่พบสินค้า"))</f>
        <v/>
      </c>
      <c r="G630" s="15" t="n"/>
      <c r="H630" s="15" t="n"/>
      <c r="I630" s="18">
        <f>IF(AND(ISNUMBER(G630),ISNUMBER(H630),G630&gt;0),H630/G630,"")</f>
        <v/>
      </c>
      <c r="J630" s="15" t="n"/>
      <c r="K630" s="15" t="n"/>
      <c r="L630" s="17">
        <f>IF(A630="","",TEXT(A630,"yyyy-mm"))</f>
        <v/>
      </c>
      <c r="M630" s="17">
        <f>IF(AND(A630&lt;&gt;"",J630="Pending"),TODAY()-A630,"")</f>
        <v/>
      </c>
    </row>
    <row r="631">
      <c r="A631" s="16" t="n"/>
      <c r="B631" s="15" t="n"/>
      <c r="C631" s="15" t="n"/>
      <c r="D631" s="17">
        <f>IF($C631="","",IFERROR(INDEX(สินค้า!$A$5:$A$204,MATCH($C631,สินค้า!$B$5:$B$204,0)),"ไม่พบสินค้า"))</f>
        <v/>
      </c>
      <c r="E631" s="17">
        <f>IF($C631="","",IFERROR(INDEX(สินค้า!$C$5:$C$204,MATCH($C631,สินค้า!$B$5:$B$204,0)),"ไม่พบสินค้า"))</f>
        <v/>
      </c>
      <c r="F631" s="17">
        <f>IF($C631="","",IFERROR(INDEX(สินค้า!$D$5:$D$204,MATCH($C631,สินค้า!$B$5:$B$204,0)),"ไม่พบสินค้า"))</f>
        <v/>
      </c>
      <c r="G631" s="15" t="n"/>
      <c r="H631" s="15" t="n"/>
      <c r="I631" s="18">
        <f>IF(AND(ISNUMBER(G631),ISNUMBER(H631),G631&gt;0),H631/G631,"")</f>
        <v/>
      </c>
      <c r="J631" s="15" t="n"/>
      <c r="K631" s="15" t="n"/>
      <c r="L631" s="17">
        <f>IF(A631="","",TEXT(A631,"yyyy-mm"))</f>
        <v/>
      </c>
      <c r="M631" s="17">
        <f>IF(AND(A631&lt;&gt;"",J631="Pending"),TODAY()-A631,"")</f>
        <v/>
      </c>
    </row>
    <row r="632">
      <c r="A632" s="16" t="n"/>
      <c r="B632" s="15" t="n"/>
      <c r="C632" s="15" t="n"/>
      <c r="D632" s="17">
        <f>IF($C632="","",IFERROR(INDEX(สินค้า!$A$5:$A$204,MATCH($C632,สินค้า!$B$5:$B$204,0)),"ไม่พบสินค้า"))</f>
        <v/>
      </c>
      <c r="E632" s="17">
        <f>IF($C632="","",IFERROR(INDEX(สินค้า!$C$5:$C$204,MATCH($C632,สินค้า!$B$5:$B$204,0)),"ไม่พบสินค้า"))</f>
        <v/>
      </c>
      <c r="F632" s="17">
        <f>IF($C632="","",IFERROR(INDEX(สินค้า!$D$5:$D$204,MATCH($C632,สินค้า!$B$5:$B$204,0)),"ไม่พบสินค้า"))</f>
        <v/>
      </c>
      <c r="G632" s="15" t="n"/>
      <c r="H632" s="15" t="n"/>
      <c r="I632" s="18">
        <f>IF(AND(ISNUMBER(G632),ISNUMBER(H632),G632&gt;0),H632/G632,"")</f>
        <v/>
      </c>
      <c r="J632" s="15" t="n"/>
      <c r="K632" s="15" t="n"/>
      <c r="L632" s="17">
        <f>IF(A632="","",TEXT(A632,"yyyy-mm"))</f>
        <v/>
      </c>
      <c r="M632" s="17">
        <f>IF(AND(A632&lt;&gt;"",J632="Pending"),TODAY()-A632,"")</f>
        <v/>
      </c>
    </row>
    <row r="633">
      <c r="A633" s="16" t="n"/>
      <c r="B633" s="15" t="n"/>
      <c r="C633" s="15" t="n"/>
      <c r="D633" s="17">
        <f>IF($C633="","",IFERROR(INDEX(สินค้า!$A$5:$A$204,MATCH($C633,สินค้า!$B$5:$B$204,0)),"ไม่พบสินค้า"))</f>
        <v/>
      </c>
      <c r="E633" s="17">
        <f>IF($C633="","",IFERROR(INDEX(สินค้า!$C$5:$C$204,MATCH($C633,สินค้า!$B$5:$B$204,0)),"ไม่พบสินค้า"))</f>
        <v/>
      </c>
      <c r="F633" s="17">
        <f>IF($C633="","",IFERROR(INDEX(สินค้า!$D$5:$D$204,MATCH($C633,สินค้า!$B$5:$B$204,0)),"ไม่พบสินค้า"))</f>
        <v/>
      </c>
      <c r="G633" s="15" t="n"/>
      <c r="H633" s="15" t="n"/>
      <c r="I633" s="18">
        <f>IF(AND(ISNUMBER(G633),ISNUMBER(H633),G633&gt;0),H633/G633,"")</f>
        <v/>
      </c>
      <c r="J633" s="15" t="n"/>
      <c r="K633" s="15" t="n"/>
      <c r="L633" s="17">
        <f>IF(A633="","",TEXT(A633,"yyyy-mm"))</f>
        <v/>
      </c>
      <c r="M633" s="17">
        <f>IF(AND(A633&lt;&gt;"",J633="Pending"),TODAY()-A633,"")</f>
        <v/>
      </c>
    </row>
    <row r="634">
      <c r="A634" s="16" t="n"/>
      <c r="B634" s="15" t="n"/>
      <c r="C634" s="15" t="n"/>
      <c r="D634" s="17">
        <f>IF($C634="","",IFERROR(INDEX(สินค้า!$A$5:$A$204,MATCH($C634,สินค้า!$B$5:$B$204,0)),"ไม่พบสินค้า"))</f>
        <v/>
      </c>
      <c r="E634" s="17">
        <f>IF($C634="","",IFERROR(INDEX(สินค้า!$C$5:$C$204,MATCH($C634,สินค้า!$B$5:$B$204,0)),"ไม่พบสินค้า"))</f>
        <v/>
      </c>
      <c r="F634" s="17">
        <f>IF($C634="","",IFERROR(INDEX(สินค้า!$D$5:$D$204,MATCH($C634,สินค้า!$B$5:$B$204,0)),"ไม่พบสินค้า"))</f>
        <v/>
      </c>
      <c r="G634" s="15" t="n"/>
      <c r="H634" s="15" t="n"/>
      <c r="I634" s="18">
        <f>IF(AND(ISNUMBER(G634),ISNUMBER(H634),G634&gt;0),H634/G634,"")</f>
        <v/>
      </c>
      <c r="J634" s="15" t="n"/>
      <c r="K634" s="15" t="n"/>
      <c r="L634" s="17">
        <f>IF(A634="","",TEXT(A634,"yyyy-mm"))</f>
        <v/>
      </c>
      <c r="M634" s="17">
        <f>IF(AND(A634&lt;&gt;"",J634="Pending"),TODAY()-A634,"")</f>
        <v/>
      </c>
    </row>
    <row r="635">
      <c r="A635" s="16" t="n"/>
      <c r="B635" s="15" t="n"/>
      <c r="C635" s="15" t="n"/>
      <c r="D635" s="17">
        <f>IF($C635="","",IFERROR(INDEX(สินค้า!$A$5:$A$204,MATCH($C635,สินค้า!$B$5:$B$204,0)),"ไม่พบสินค้า"))</f>
        <v/>
      </c>
      <c r="E635" s="17">
        <f>IF($C635="","",IFERROR(INDEX(สินค้า!$C$5:$C$204,MATCH($C635,สินค้า!$B$5:$B$204,0)),"ไม่พบสินค้า"))</f>
        <v/>
      </c>
      <c r="F635" s="17">
        <f>IF($C635="","",IFERROR(INDEX(สินค้า!$D$5:$D$204,MATCH($C635,สินค้า!$B$5:$B$204,0)),"ไม่พบสินค้า"))</f>
        <v/>
      </c>
      <c r="G635" s="15" t="n"/>
      <c r="H635" s="15" t="n"/>
      <c r="I635" s="18">
        <f>IF(AND(ISNUMBER(G635),ISNUMBER(H635),G635&gt;0),H635/G635,"")</f>
        <v/>
      </c>
      <c r="J635" s="15" t="n"/>
      <c r="K635" s="15" t="n"/>
      <c r="L635" s="17">
        <f>IF(A635="","",TEXT(A635,"yyyy-mm"))</f>
        <v/>
      </c>
      <c r="M635" s="17">
        <f>IF(AND(A635&lt;&gt;"",J635="Pending"),TODAY()-A635,"")</f>
        <v/>
      </c>
    </row>
    <row r="636">
      <c r="A636" s="16" t="n"/>
      <c r="B636" s="15" t="n"/>
      <c r="C636" s="15" t="n"/>
      <c r="D636" s="17">
        <f>IF($C636="","",IFERROR(INDEX(สินค้า!$A$5:$A$204,MATCH($C636,สินค้า!$B$5:$B$204,0)),"ไม่พบสินค้า"))</f>
        <v/>
      </c>
      <c r="E636" s="17">
        <f>IF($C636="","",IFERROR(INDEX(สินค้า!$C$5:$C$204,MATCH($C636,สินค้า!$B$5:$B$204,0)),"ไม่พบสินค้า"))</f>
        <v/>
      </c>
      <c r="F636" s="17">
        <f>IF($C636="","",IFERROR(INDEX(สินค้า!$D$5:$D$204,MATCH($C636,สินค้า!$B$5:$B$204,0)),"ไม่พบสินค้า"))</f>
        <v/>
      </c>
      <c r="G636" s="15" t="n"/>
      <c r="H636" s="15" t="n"/>
      <c r="I636" s="18">
        <f>IF(AND(ISNUMBER(G636),ISNUMBER(H636),G636&gt;0),H636/G636,"")</f>
        <v/>
      </c>
      <c r="J636" s="15" t="n"/>
      <c r="K636" s="15" t="n"/>
      <c r="L636" s="17">
        <f>IF(A636="","",TEXT(A636,"yyyy-mm"))</f>
        <v/>
      </c>
      <c r="M636" s="17">
        <f>IF(AND(A636&lt;&gt;"",J636="Pending"),TODAY()-A636,"")</f>
        <v/>
      </c>
    </row>
    <row r="637">
      <c r="A637" s="16" t="n"/>
      <c r="B637" s="15" t="n"/>
      <c r="C637" s="15" t="n"/>
      <c r="D637" s="17">
        <f>IF($C637="","",IFERROR(INDEX(สินค้า!$A$5:$A$204,MATCH($C637,สินค้า!$B$5:$B$204,0)),"ไม่พบสินค้า"))</f>
        <v/>
      </c>
      <c r="E637" s="17">
        <f>IF($C637="","",IFERROR(INDEX(สินค้า!$C$5:$C$204,MATCH($C637,สินค้า!$B$5:$B$204,0)),"ไม่พบสินค้า"))</f>
        <v/>
      </c>
      <c r="F637" s="17">
        <f>IF($C637="","",IFERROR(INDEX(สินค้า!$D$5:$D$204,MATCH($C637,สินค้า!$B$5:$B$204,0)),"ไม่พบสินค้า"))</f>
        <v/>
      </c>
      <c r="G637" s="15" t="n"/>
      <c r="H637" s="15" t="n"/>
      <c r="I637" s="18">
        <f>IF(AND(ISNUMBER(G637),ISNUMBER(H637),G637&gt;0),H637/G637,"")</f>
        <v/>
      </c>
      <c r="J637" s="15" t="n"/>
      <c r="K637" s="15" t="n"/>
      <c r="L637" s="17">
        <f>IF(A637="","",TEXT(A637,"yyyy-mm"))</f>
        <v/>
      </c>
      <c r="M637" s="17">
        <f>IF(AND(A637&lt;&gt;"",J637="Pending"),TODAY()-A637,"")</f>
        <v/>
      </c>
    </row>
    <row r="638">
      <c r="A638" s="16" t="n"/>
      <c r="B638" s="15" t="n"/>
      <c r="C638" s="15" t="n"/>
      <c r="D638" s="17">
        <f>IF($C638="","",IFERROR(INDEX(สินค้า!$A$5:$A$204,MATCH($C638,สินค้า!$B$5:$B$204,0)),"ไม่พบสินค้า"))</f>
        <v/>
      </c>
      <c r="E638" s="17">
        <f>IF($C638="","",IFERROR(INDEX(สินค้า!$C$5:$C$204,MATCH($C638,สินค้า!$B$5:$B$204,0)),"ไม่พบสินค้า"))</f>
        <v/>
      </c>
      <c r="F638" s="17">
        <f>IF($C638="","",IFERROR(INDEX(สินค้า!$D$5:$D$204,MATCH($C638,สินค้า!$B$5:$B$204,0)),"ไม่พบสินค้า"))</f>
        <v/>
      </c>
      <c r="G638" s="15" t="n"/>
      <c r="H638" s="15" t="n"/>
      <c r="I638" s="18">
        <f>IF(AND(ISNUMBER(G638),ISNUMBER(H638),G638&gt;0),H638/G638,"")</f>
        <v/>
      </c>
      <c r="J638" s="15" t="n"/>
      <c r="K638" s="15" t="n"/>
      <c r="L638" s="17">
        <f>IF(A638="","",TEXT(A638,"yyyy-mm"))</f>
        <v/>
      </c>
      <c r="M638" s="17">
        <f>IF(AND(A638&lt;&gt;"",J638="Pending"),TODAY()-A638,"")</f>
        <v/>
      </c>
    </row>
    <row r="639">
      <c r="A639" s="16" t="n"/>
      <c r="B639" s="15" t="n"/>
      <c r="C639" s="15" t="n"/>
      <c r="D639" s="17">
        <f>IF($C639="","",IFERROR(INDEX(สินค้า!$A$5:$A$204,MATCH($C639,สินค้า!$B$5:$B$204,0)),"ไม่พบสินค้า"))</f>
        <v/>
      </c>
      <c r="E639" s="17">
        <f>IF($C639="","",IFERROR(INDEX(สินค้า!$C$5:$C$204,MATCH($C639,สินค้า!$B$5:$B$204,0)),"ไม่พบสินค้า"))</f>
        <v/>
      </c>
      <c r="F639" s="17">
        <f>IF($C639="","",IFERROR(INDEX(สินค้า!$D$5:$D$204,MATCH($C639,สินค้า!$B$5:$B$204,0)),"ไม่พบสินค้า"))</f>
        <v/>
      </c>
      <c r="G639" s="15" t="n"/>
      <c r="H639" s="15" t="n"/>
      <c r="I639" s="18">
        <f>IF(AND(ISNUMBER(G639),ISNUMBER(H639),G639&gt;0),H639/G639,"")</f>
        <v/>
      </c>
      <c r="J639" s="15" t="n"/>
      <c r="K639" s="15" t="n"/>
      <c r="L639" s="17">
        <f>IF(A639="","",TEXT(A639,"yyyy-mm"))</f>
        <v/>
      </c>
      <c r="M639" s="17">
        <f>IF(AND(A639&lt;&gt;"",J639="Pending"),TODAY()-A639,"")</f>
        <v/>
      </c>
    </row>
    <row r="640">
      <c r="A640" s="16" t="n"/>
      <c r="B640" s="15" t="n"/>
      <c r="C640" s="15" t="n"/>
      <c r="D640" s="17">
        <f>IF($C640="","",IFERROR(INDEX(สินค้า!$A$5:$A$204,MATCH($C640,สินค้า!$B$5:$B$204,0)),"ไม่พบสินค้า"))</f>
        <v/>
      </c>
      <c r="E640" s="17">
        <f>IF($C640="","",IFERROR(INDEX(สินค้า!$C$5:$C$204,MATCH($C640,สินค้า!$B$5:$B$204,0)),"ไม่พบสินค้า"))</f>
        <v/>
      </c>
      <c r="F640" s="17">
        <f>IF($C640="","",IFERROR(INDEX(สินค้า!$D$5:$D$204,MATCH($C640,สินค้า!$B$5:$B$204,0)),"ไม่พบสินค้า"))</f>
        <v/>
      </c>
      <c r="G640" s="15" t="n"/>
      <c r="H640" s="15" t="n"/>
      <c r="I640" s="18">
        <f>IF(AND(ISNUMBER(G640),ISNUMBER(H640),G640&gt;0),H640/G640,"")</f>
        <v/>
      </c>
      <c r="J640" s="15" t="n"/>
      <c r="K640" s="15" t="n"/>
      <c r="L640" s="17">
        <f>IF(A640="","",TEXT(A640,"yyyy-mm"))</f>
        <v/>
      </c>
      <c r="M640" s="17">
        <f>IF(AND(A640&lt;&gt;"",J640="Pending"),TODAY()-A640,"")</f>
        <v/>
      </c>
    </row>
    <row r="641">
      <c r="A641" s="16" t="n"/>
      <c r="B641" s="15" t="n"/>
      <c r="C641" s="15" t="n"/>
      <c r="D641" s="17">
        <f>IF($C641="","",IFERROR(INDEX(สินค้า!$A$5:$A$204,MATCH($C641,สินค้า!$B$5:$B$204,0)),"ไม่พบสินค้า"))</f>
        <v/>
      </c>
      <c r="E641" s="17">
        <f>IF($C641="","",IFERROR(INDEX(สินค้า!$C$5:$C$204,MATCH($C641,สินค้า!$B$5:$B$204,0)),"ไม่พบสินค้า"))</f>
        <v/>
      </c>
      <c r="F641" s="17">
        <f>IF($C641="","",IFERROR(INDEX(สินค้า!$D$5:$D$204,MATCH($C641,สินค้า!$B$5:$B$204,0)),"ไม่พบสินค้า"))</f>
        <v/>
      </c>
      <c r="G641" s="15" t="n"/>
      <c r="H641" s="15" t="n"/>
      <c r="I641" s="18">
        <f>IF(AND(ISNUMBER(G641),ISNUMBER(H641),G641&gt;0),H641/G641,"")</f>
        <v/>
      </c>
      <c r="J641" s="15" t="n"/>
      <c r="K641" s="15" t="n"/>
      <c r="L641" s="17">
        <f>IF(A641="","",TEXT(A641,"yyyy-mm"))</f>
        <v/>
      </c>
      <c r="M641" s="17">
        <f>IF(AND(A641&lt;&gt;"",J641="Pending"),TODAY()-A641,"")</f>
        <v/>
      </c>
    </row>
    <row r="642">
      <c r="A642" s="16" t="n"/>
      <c r="B642" s="15" t="n"/>
      <c r="C642" s="15" t="n"/>
      <c r="D642" s="17">
        <f>IF($C642="","",IFERROR(INDEX(สินค้า!$A$5:$A$204,MATCH($C642,สินค้า!$B$5:$B$204,0)),"ไม่พบสินค้า"))</f>
        <v/>
      </c>
      <c r="E642" s="17">
        <f>IF($C642="","",IFERROR(INDEX(สินค้า!$C$5:$C$204,MATCH($C642,สินค้า!$B$5:$B$204,0)),"ไม่พบสินค้า"))</f>
        <v/>
      </c>
      <c r="F642" s="17">
        <f>IF($C642="","",IFERROR(INDEX(สินค้า!$D$5:$D$204,MATCH($C642,สินค้า!$B$5:$B$204,0)),"ไม่พบสินค้า"))</f>
        <v/>
      </c>
      <c r="G642" s="15" t="n"/>
      <c r="H642" s="15" t="n"/>
      <c r="I642" s="18">
        <f>IF(AND(ISNUMBER(G642),ISNUMBER(H642),G642&gt;0),H642/G642,"")</f>
        <v/>
      </c>
      <c r="J642" s="15" t="n"/>
      <c r="K642" s="15" t="n"/>
      <c r="L642" s="17">
        <f>IF(A642="","",TEXT(A642,"yyyy-mm"))</f>
        <v/>
      </c>
      <c r="M642" s="17">
        <f>IF(AND(A642&lt;&gt;"",J642="Pending"),TODAY()-A642,"")</f>
        <v/>
      </c>
    </row>
    <row r="643">
      <c r="A643" s="16" t="n"/>
      <c r="B643" s="15" t="n"/>
      <c r="C643" s="15" t="n"/>
      <c r="D643" s="17">
        <f>IF($C643="","",IFERROR(INDEX(สินค้า!$A$5:$A$204,MATCH($C643,สินค้า!$B$5:$B$204,0)),"ไม่พบสินค้า"))</f>
        <v/>
      </c>
      <c r="E643" s="17">
        <f>IF($C643="","",IFERROR(INDEX(สินค้า!$C$5:$C$204,MATCH($C643,สินค้า!$B$5:$B$204,0)),"ไม่พบสินค้า"))</f>
        <v/>
      </c>
      <c r="F643" s="17">
        <f>IF($C643="","",IFERROR(INDEX(สินค้า!$D$5:$D$204,MATCH($C643,สินค้า!$B$5:$B$204,0)),"ไม่พบสินค้า"))</f>
        <v/>
      </c>
      <c r="G643" s="15" t="n"/>
      <c r="H643" s="15" t="n"/>
      <c r="I643" s="18">
        <f>IF(AND(ISNUMBER(G643),ISNUMBER(H643),G643&gt;0),H643/G643,"")</f>
        <v/>
      </c>
      <c r="J643" s="15" t="n"/>
      <c r="K643" s="15" t="n"/>
      <c r="L643" s="17">
        <f>IF(A643="","",TEXT(A643,"yyyy-mm"))</f>
        <v/>
      </c>
      <c r="M643" s="17">
        <f>IF(AND(A643&lt;&gt;"",J643="Pending"),TODAY()-A643,"")</f>
        <v/>
      </c>
    </row>
    <row r="644">
      <c r="A644" s="16" t="n"/>
      <c r="B644" s="15" t="n"/>
      <c r="C644" s="15" t="n"/>
      <c r="D644" s="17">
        <f>IF($C644="","",IFERROR(INDEX(สินค้า!$A$5:$A$204,MATCH($C644,สินค้า!$B$5:$B$204,0)),"ไม่พบสินค้า"))</f>
        <v/>
      </c>
      <c r="E644" s="17">
        <f>IF($C644="","",IFERROR(INDEX(สินค้า!$C$5:$C$204,MATCH($C644,สินค้า!$B$5:$B$204,0)),"ไม่พบสินค้า"))</f>
        <v/>
      </c>
      <c r="F644" s="17">
        <f>IF($C644="","",IFERROR(INDEX(สินค้า!$D$5:$D$204,MATCH($C644,สินค้า!$B$5:$B$204,0)),"ไม่พบสินค้า"))</f>
        <v/>
      </c>
      <c r="G644" s="15" t="n"/>
      <c r="H644" s="15" t="n"/>
      <c r="I644" s="18">
        <f>IF(AND(ISNUMBER(G644),ISNUMBER(H644),G644&gt;0),H644/G644,"")</f>
        <v/>
      </c>
      <c r="J644" s="15" t="n"/>
      <c r="K644" s="15" t="n"/>
      <c r="L644" s="17">
        <f>IF(A644="","",TEXT(A644,"yyyy-mm"))</f>
        <v/>
      </c>
      <c r="M644" s="17">
        <f>IF(AND(A644&lt;&gt;"",J644="Pending"),TODAY()-A644,"")</f>
        <v/>
      </c>
    </row>
    <row r="645">
      <c r="A645" s="16" t="n"/>
      <c r="B645" s="15" t="n"/>
      <c r="C645" s="15" t="n"/>
      <c r="D645" s="17">
        <f>IF($C645="","",IFERROR(INDEX(สินค้า!$A$5:$A$204,MATCH($C645,สินค้า!$B$5:$B$204,0)),"ไม่พบสินค้า"))</f>
        <v/>
      </c>
      <c r="E645" s="17">
        <f>IF($C645="","",IFERROR(INDEX(สินค้า!$C$5:$C$204,MATCH($C645,สินค้า!$B$5:$B$204,0)),"ไม่พบสินค้า"))</f>
        <v/>
      </c>
      <c r="F645" s="17">
        <f>IF($C645="","",IFERROR(INDEX(สินค้า!$D$5:$D$204,MATCH($C645,สินค้า!$B$5:$B$204,0)),"ไม่พบสินค้า"))</f>
        <v/>
      </c>
      <c r="G645" s="15" t="n"/>
      <c r="H645" s="15" t="n"/>
      <c r="I645" s="18">
        <f>IF(AND(ISNUMBER(G645),ISNUMBER(H645),G645&gt;0),H645/G645,"")</f>
        <v/>
      </c>
      <c r="J645" s="15" t="n"/>
      <c r="K645" s="15" t="n"/>
      <c r="L645" s="17">
        <f>IF(A645="","",TEXT(A645,"yyyy-mm"))</f>
        <v/>
      </c>
      <c r="M645" s="17">
        <f>IF(AND(A645&lt;&gt;"",J645="Pending"),TODAY()-A645,"")</f>
        <v/>
      </c>
    </row>
    <row r="646">
      <c r="A646" s="16" t="n"/>
      <c r="B646" s="15" t="n"/>
      <c r="C646" s="15" t="n"/>
      <c r="D646" s="17">
        <f>IF($C646="","",IFERROR(INDEX(สินค้า!$A$5:$A$204,MATCH($C646,สินค้า!$B$5:$B$204,0)),"ไม่พบสินค้า"))</f>
        <v/>
      </c>
      <c r="E646" s="17">
        <f>IF($C646="","",IFERROR(INDEX(สินค้า!$C$5:$C$204,MATCH($C646,สินค้า!$B$5:$B$204,0)),"ไม่พบสินค้า"))</f>
        <v/>
      </c>
      <c r="F646" s="17">
        <f>IF($C646="","",IFERROR(INDEX(สินค้า!$D$5:$D$204,MATCH($C646,สินค้า!$B$5:$B$204,0)),"ไม่พบสินค้า"))</f>
        <v/>
      </c>
      <c r="G646" s="15" t="n"/>
      <c r="H646" s="15" t="n"/>
      <c r="I646" s="18">
        <f>IF(AND(ISNUMBER(G646),ISNUMBER(H646),G646&gt;0),H646/G646,"")</f>
        <v/>
      </c>
      <c r="J646" s="15" t="n"/>
      <c r="K646" s="15" t="n"/>
      <c r="L646" s="17">
        <f>IF(A646="","",TEXT(A646,"yyyy-mm"))</f>
        <v/>
      </c>
      <c r="M646" s="17">
        <f>IF(AND(A646&lt;&gt;"",J646="Pending"),TODAY()-A646,"")</f>
        <v/>
      </c>
    </row>
    <row r="647">
      <c r="A647" s="16" t="n"/>
      <c r="B647" s="15" t="n"/>
      <c r="C647" s="15" t="n"/>
      <c r="D647" s="17">
        <f>IF($C647="","",IFERROR(INDEX(สินค้า!$A$5:$A$204,MATCH($C647,สินค้า!$B$5:$B$204,0)),"ไม่พบสินค้า"))</f>
        <v/>
      </c>
      <c r="E647" s="17">
        <f>IF($C647="","",IFERROR(INDEX(สินค้า!$C$5:$C$204,MATCH($C647,สินค้า!$B$5:$B$204,0)),"ไม่พบสินค้า"))</f>
        <v/>
      </c>
      <c r="F647" s="17">
        <f>IF($C647="","",IFERROR(INDEX(สินค้า!$D$5:$D$204,MATCH($C647,สินค้า!$B$5:$B$204,0)),"ไม่พบสินค้า"))</f>
        <v/>
      </c>
      <c r="G647" s="15" t="n"/>
      <c r="H647" s="15" t="n"/>
      <c r="I647" s="18">
        <f>IF(AND(ISNUMBER(G647),ISNUMBER(H647),G647&gt;0),H647/G647,"")</f>
        <v/>
      </c>
      <c r="J647" s="15" t="n"/>
      <c r="K647" s="15" t="n"/>
      <c r="L647" s="17">
        <f>IF(A647="","",TEXT(A647,"yyyy-mm"))</f>
        <v/>
      </c>
      <c r="M647" s="17">
        <f>IF(AND(A647&lt;&gt;"",J647="Pending"),TODAY()-A647,"")</f>
        <v/>
      </c>
    </row>
    <row r="648">
      <c r="A648" s="16" t="n"/>
      <c r="B648" s="15" t="n"/>
      <c r="C648" s="15" t="n"/>
      <c r="D648" s="17">
        <f>IF($C648="","",IFERROR(INDEX(สินค้า!$A$5:$A$204,MATCH($C648,สินค้า!$B$5:$B$204,0)),"ไม่พบสินค้า"))</f>
        <v/>
      </c>
      <c r="E648" s="17">
        <f>IF($C648="","",IFERROR(INDEX(สินค้า!$C$5:$C$204,MATCH($C648,สินค้า!$B$5:$B$204,0)),"ไม่พบสินค้า"))</f>
        <v/>
      </c>
      <c r="F648" s="17">
        <f>IF($C648="","",IFERROR(INDEX(สินค้า!$D$5:$D$204,MATCH($C648,สินค้า!$B$5:$B$204,0)),"ไม่พบสินค้า"))</f>
        <v/>
      </c>
      <c r="G648" s="15" t="n"/>
      <c r="H648" s="15" t="n"/>
      <c r="I648" s="18">
        <f>IF(AND(ISNUMBER(G648),ISNUMBER(H648),G648&gt;0),H648/G648,"")</f>
        <v/>
      </c>
      <c r="J648" s="15" t="n"/>
      <c r="K648" s="15" t="n"/>
      <c r="L648" s="17">
        <f>IF(A648="","",TEXT(A648,"yyyy-mm"))</f>
        <v/>
      </c>
      <c r="M648" s="17">
        <f>IF(AND(A648&lt;&gt;"",J648="Pending"),TODAY()-A648,"")</f>
        <v/>
      </c>
    </row>
    <row r="649">
      <c r="A649" s="16" t="n"/>
      <c r="B649" s="15" t="n"/>
      <c r="C649" s="15" t="n"/>
      <c r="D649" s="17">
        <f>IF($C649="","",IFERROR(INDEX(สินค้า!$A$5:$A$204,MATCH($C649,สินค้า!$B$5:$B$204,0)),"ไม่พบสินค้า"))</f>
        <v/>
      </c>
      <c r="E649" s="17">
        <f>IF($C649="","",IFERROR(INDEX(สินค้า!$C$5:$C$204,MATCH($C649,สินค้า!$B$5:$B$204,0)),"ไม่พบสินค้า"))</f>
        <v/>
      </c>
      <c r="F649" s="17">
        <f>IF($C649="","",IFERROR(INDEX(สินค้า!$D$5:$D$204,MATCH($C649,สินค้า!$B$5:$B$204,0)),"ไม่พบสินค้า"))</f>
        <v/>
      </c>
      <c r="G649" s="15" t="n"/>
      <c r="H649" s="15" t="n"/>
      <c r="I649" s="18">
        <f>IF(AND(ISNUMBER(G649),ISNUMBER(H649),G649&gt;0),H649/G649,"")</f>
        <v/>
      </c>
      <c r="J649" s="15" t="n"/>
      <c r="K649" s="15" t="n"/>
      <c r="L649" s="17">
        <f>IF(A649="","",TEXT(A649,"yyyy-mm"))</f>
        <v/>
      </c>
      <c r="M649" s="17">
        <f>IF(AND(A649&lt;&gt;"",J649="Pending"),TODAY()-A649,"")</f>
        <v/>
      </c>
    </row>
    <row r="650">
      <c r="A650" s="16" t="n"/>
      <c r="B650" s="15" t="n"/>
      <c r="C650" s="15" t="n"/>
      <c r="D650" s="17">
        <f>IF($C650="","",IFERROR(INDEX(สินค้า!$A$5:$A$204,MATCH($C650,สินค้า!$B$5:$B$204,0)),"ไม่พบสินค้า"))</f>
        <v/>
      </c>
      <c r="E650" s="17">
        <f>IF($C650="","",IFERROR(INDEX(สินค้า!$C$5:$C$204,MATCH($C650,สินค้า!$B$5:$B$204,0)),"ไม่พบสินค้า"))</f>
        <v/>
      </c>
      <c r="F650" s="17">
        <f>IF($C650="","",IFERROR(INDEX(สินค้า!$D$5:$D$204,MATCH($C650,สินค้า!$B$5:$B$204,0)),"ไม่พบสินค้า"))</f>
        <v/>
      </c>
      <c r="G650" s="15" t="n"/>
      <c r="H650" s="15" t="n"/>
      <c r="I650" s="18">
        <f>IF(AND(ISNUMBER(G650),ISNUMBER(H650),G650&gt;0),H650/G650,"")</f>
        <v/>
      </c>
      <c r="J650" s="15" t="n"/>
      <c r="K650" s="15" t="n"/>
      <c r="L650" s="17">
        <f>IF(A650="","",TEXT(A650,"yyyy-mm"))</f>
        <v/>
      </c>
      <c r="M650" s="17">
        <f>IF(AND(A650&lt;&gt;"",J650="Pending"),TODAY()-A650,"")</f>
        <v/>
      </c>
    </row>
    <row r="651">
      <c r="A651" s="16" t="n"/>
      <c r="B651" s="15" t="n"/>
      <c r="C651" s="15" t="n"/>
      <c r="D651" s="17">
        <f>IF($C651="","",IFERROR(INDEX(สินค้า!$A$5:$A$204,MATCH($C651,สินค้า!$B$5:$B$204,0)),"ไม่พบสินค้า"))</f>
        <v/>
      </c>
      <c r="E651" s="17">
        <f>IF($C651="","",IFERROR(INDEX(สินค้า!$C$5:$C$204,MATCH($C651,สินค้า!$B$5:$B$204,0)),"ไม่พบสินค้า"))</f>
        <v/>
      </c>
      <c r="F651" s="17">
        <f>IF($C651="","",IFERROR(INDEX(สินค้า!$D$5:$D$204,MATCH($C651,สินค้า!$B$5:$B$204,0)),"ไม่พบสินค้า"))</f>
        <v/>
      </c>
      <c r="G651" s="15" t="n"/>
      <c r="H651" s="15" t="n"/>
      <c r="I651" s="18">
        <f>IF(AND(ISNUMBER(G651),ISNUMBER(H651),G651&gt;0),H651/G651,"")</f>
        <v/>
      </c>
      <c r="J651" s="15" t="n"/>
      <c r="K651" s="15" t="n"/>
      <c r="L651" s="17">
        <f>IF(A651="","",TEXT(A651,"yyyy-mm"))</f>
        <v/>
      </c>
      <c r="M651" s="17">
        <f>IF(AND(A651&lt;&gt;"",J651="Pending"),TODAY()-A651,"")</f>
        <v/>
      </c>
    </row>
    <row r="652">
      <c r="A652" s="16" t="n"/>
      <c r="B652" s="15" t="n"/>
      <c r="C652" s="15" t="n"/>
      <c r="D652" s="17">
        <f>IF($C652="","",IFERROR(INDEX(สินค้า!$A$5:$A$204,MATCH($C652,สินค้า!$B$5:$B$204,0)),"ไม่พบสินค้า"))</f>
        <v/>
      </c>
      <c r="E652" s="17">
        <f>IF($C652="","",IFERROR(INDEX(สินค้า!$C$5:$C$204,MATCH($C652,สินค้า!$B$5:$B$204,0)),"ไม่พบสินค้า"))</f>
        <v/>
      </c>
      <c r="F652" s="17">
        <f>IF($C652="","",IFERROR(INDEX(สินค้า!$D$5:$D$204,MATCH($C652,สินค้า!$B$5:$B$204,0)),"ไม่พบสินค้า"))</f>
        <v/>
      </c>
      <c r="G652" s="15" t="n"/>
      <c r="H652" s="15" t="n"/>
      <c r="I652" s="18">
        <f>IF(AND(ISNUMBER(G652),ISNUMBER(H652),G652&gt;0),H652/G652,"")</f>
        <v/>
      </c>
      <c r="J652" s="15" t="n"/>
      <c r="K652" s="15" t="n"/>
      <c r="L652" s="17">
        <f>IF(A652="","",TEXT(A652,"yyyy-mm"))</f>
        <v/>
      </c>
      <c r="M652" s="17">
        <f>IF(AND(A652&lt;&gt;"",J652="Pending"),TODAY()-A652,"")</f>
        <v/>
      </c>
    </row>
    <row r="653">
      <c r="A653" s="16" t="n"/>
      <c r="B653" s="15" t="n"/>
      <c r="C653" s="15" t="n"/>
      <c r="D653" s="17">
        <f>IF($C653="","",IFERROR(INDEX(สินค้า!$A$5:$A$204,MATCH($C653,สินค้า!$B$5:$B$204,0)),"ไม่พบสินค้า"))</f>
        <v/>
      </c>
      <c r="E653" s="17">
        <f>IF($C653="","",IFERROR(INDEX(สินค้า!$C$5:$C$204,MATCH($C653,สินค้า!$B$5:$B$204,0)),"ไม่พบสินค้า"))</f>
        <v/>
      </c>
      <c r="F653" s="17">
        <f>IF($C653="","",IFERROR(INDEX(สินค้า!$D$5:$D$204,MATCH($C653,สินค้า!$B$5:$B$204,0)),"ไม่พบสินค้า"))</f>
        <v/>
      </c>
      <c r="G653" s="15" t="n"/>
      <c r="H653" s="15" t="n"/>
      <c r="I653" s="18">
        <f>IF(AND(ISNUMBER(G653),ISNUMBER(H653),G653&gt;0),H653/G653,"")</f>
        <v/>
      </c>
      <c r="J653" s="15" t="n"/>
      <c r="K653" s="15" t="n"/>
      <c r="L653" s="17">
        <f>IF(A653="","",TEXT(A653,"yyyy-mm"))</f>
        <v/>
      </c>
      <c r="M653" s="17">
        <f>IF(AND(A653&lt;&gt;"",J653="Pending"),TODAY()-A653,"")</f>
        <v/>
      </c>
    </row>
    <row r="654">
      <c r="A654" s="16" t="n"/>
      <c r="B654" s="15" t="n"/>
      <c r="C654" s="15" t="n"/>
      <c r="D654" s="17">
        <f>IF($C654="","",IFERROR(INDEX(สินค้า!$A$5:$A$204,MATCH($C654,สินค้า!$B$5:$B$204,0)),"ไม่พบสินค้า"))</f>
        <v/>
      </c>
      <c r="E654" s="17">
        <f>IF($C654="","",IFERROR(INDEX(สินค้า!$C$5:$C$204,MATCH($C654,สินค้า!$B$5:$B$204,0)),"ไม่พบสินค้า"))</f>
        <v/>
      </c>
      <c r="F654" s="17">
        <f>IF($C654="","",IFERROR(INDEX(สินค้า!$D$5:$D$204,MATCH($C654,สินค้า!$B$5:$B$204,0)),"ไม่พบสินค้า"))</f>
        <v/>
      </c>
      <c r="G654" s="15" t="n"/>
      <c r="H654" s="15" t="n"/>
      <c r="I654" s="18">
        <f>IF(AND(ISNUMBER(G654),ISNUMBER(H654),G654&gt;0),H654/G654,"")</f>
        <v/>
      </c>
      <c r="J654" s="15" t="n"/>
      <c r="K654" s="15" t="n"/>
      <c r="L654" s="17">
        <f>IF(A654="","",TEXT(A654,"yyyy-mm"))</f>
        <v/>
      </c>
      <c r="M654" s="17">
        <f>IF(AND(A654&lt;&gt;"",J654="Pending"),TODAY()-A654,"")</f>
        <v/>
      </c>
    </row>
    <row r="655">
      <c r="A655" s="16" t="n"/>
      <c r="B655" s="15" t="n"/>
      <c r="C655" s="15" t="n"/>
      <c r="D655" s="17">
        <f>IF($C655="","",IFERROR(INDEX(สินค้า!$A$5:$A$204,MATCH($C655,สินค้า!$B$5:$B$204,0)),"ไม่พบสินค้า"))</f>
        <v/>
      </c>
      <c r="E655" s="17">
        <f>IF($C655="","",IFERROR(INDEX(สินค้า!$C$5:$C$204,MATCH($C655,สินค้า!$B$5:$B$204,0)),"ไม่พบสินค้า"))</f>
        <v/>
      </c>
      <c r="F655" s="17">
        <f>IF($C655="","",IFERROR(INDEX(สินค้า!$D$5:$D$204,MATCH($C655,สินค้า!$B$5:$B$204,0)),"ไม่พบสินค้า"))</f>
        <v/>
      </c>
      <c r="G655" s="15" t="n"/>
      <c r="H655" s="15" t="n"/>
      <c r="I655" s="18">
        <f>IF(AND(ISNUMBER(G655),ISNUMBER(H655),G655&gt;0),H655/G655,"")</f>
        <v/>
      </c>
      <c r="J655" s="15" t="n"/>
      <c r="K655" s="15" t="n"/>
      <c r="L655" s="17">
        <f>IF(A655="","",TEXT(A655,"yyyy-mm"))</f>
        <v/>
      </c>
      <c r="M655" s="17">
        <f>IF(AND(A655&lt;&gt;"",J655="Pending"),TODAY()-A655,"")</f>
        <v/>
      </c>
    </row>
    <row r="656">
      <c r="A656" s="16" t="n"/>
      <c r="B656" s="15" t="n"/>
      <c r="C656" s="15" t="n"/>
      <c r="D656" s="17">
        <f>IF($C656="","",IFERROR(INDEX(สินค้า!$A$5:$A$204,MATCH($C656,สินค้า!$B$5:$B$204,0)),"ไม่พบสินค้า"))</f>
        <v/>
      </c>
      <c r="E656" s="17">
        <f>IF($C656="","",IFERROR(INDEX(สินค้า!$C$5:$C$204,MATCH($C656,สินค้า!$B$5:$B$204,0)),"ไม่พบสินค้า"))</f>
        <v/>
      </c>
      <c r="F656" s="17">
        <f>IF($C656="","",IFERROR(INDEX(สินค้า!$D$5:$D$204,MATCH($C656,สินค้า!$B$5:$B$204,0)),"ไม่พบสินค้า"))</f>
        <v/>
      </c>
      <c r="G656" s="15" t="n"/>
      <c r="H656" s="15" t="n"/>
      <c r="I656" s="18">
        <f>IF(AND(ISNUMBER(G656),ISNUMBER(H656),G656&gt;0),H656/G656,"")</f>
        <v/>
      </c>
      <c r="J656" s="15" t="n"/>
      <c r="K656" s="15" t="n"/>
      <c r="L656" s="17">
        <f>IF(A656="","",TEXT(A656,"yyyy-mm"))</f>
        <v/>
      </c>
      <c r="M656" s="17">
        <f>IF(AND(A656&lt;&gt;"",J656="Pending"),TODAY()-A656,"")</f>
        <v/>
      </c>
    </row>
    <row r="657">
      <c r="A657" s="16" t="n"/>
      <c r="B657" s="15" t="n"/>
      <c r="C657" s="15" t="n"/>
      <c r="D657" s="17">
        <f>IF($C657="","",IFERROR(INDEX(สินค้า!$A$5:$A$204,MATCH($C657,สินค้า!$B$5:$B$204,0)),"ไม่พบสินค้า"))</f>
        <v/>
      </c>
      <c r="E657" s="17">
        <f>IF($C657="","",IFERROR(INDEX(สินค้า!$C$5:$C$204,MATCH($C657,สินค้า!$B$5:$B$204,0)),"ไม่พบสินค้า"))</f>
        <v/>
      </c>
      <c r="F657" s="17">
        <f>IF($C657="","",IFERROR(INDEX(สินค้า!$D$5:$D$204,MATCH($C657,สินค้า!$B$5:$B$204,0)),"ไม่พบสินค้า"))</f>
        <v/>
      </c>
      <c r="G657" s="15" t="n"/>
      <c r="H657" s="15" t="n"/>
      <c r="I657" s="18">
        <f>IF(AND(ISNUMBER(G657),ISNUMBER(H657),G657&gt;0),H657/G657,"")</f>
        <v/>
      </c>
      <c r="J657" s="15" t="n"/>
      <c r="K657" s="15" t="n"/>
      <c r="L657" s="17">
        <f>IF(A657="","",TEXT(A657,"yyyy-mm"))</f>
        <v/>
      </c>
      <c r="M657" s="17">
        <f>IF(AND(A657&lt;&gt;"",J657="Pending"),TODAY()-A657,"")</f>
        <v/>
      </c>
    </row>
    <row r="658">
      <c r="A658" s="16" t="n"/>
      <c r="B658" s="15" t="n"/>
      <c r="C658" s="15" t="n"/>
      <c r="D658" s="17">
        <f>IF($C658="","",IFERROR(INDEX(สินค้า!$A$5:$A$204,MATCH($C658,สินค้า!$B$5:$B$204,0)),"ไม่พบสินค้า"))</f>
        <v/>
      </c>
      <c r="E658" s="17">
        <f>IF($C658="","",IFERROR(INDEX(สินค้า!$C$5:$C$204,MATCH($C658,สินค้า!$B$5:$B$204,0)),"ไม่พบสินค้า"))</f>
        <v/>
      </c>
      <c r="F658" s="17">
        <f>IF($C658="","",IFERROR(INDEX(สินค้า!$D$5:$D$204,MATCH($C658,สินค้า!$B$5:$B$204,0)),"ไม่พบสินค้า"))</f>
        <v/>
      </c>
      <c r="G658" s="15" t="n"/>
      <c r="H658" s="15" t="n"/>
      <c r="I658" s="18">
        <f>IF(AND(ISNUMBER(G658),ISNUMBER(H658),G658&gt;0),H658/G658,"")</f>
        <v/>
      </c>
      <c r="J658" s="15" t="n"/>
      <c r="K658" s="15" t="n"/>
      <c r="L658" s="17">
        <f>IF(A658="","",TEXT(A658,"yyyy-mm"))</f>
        <v/>
      </c>
      <c r="M658" s="17">
        <f>IF(AND(A658&lt;&gt;"",J658="Pending"),TODAY()-A658,"")</f>
        <v/>
      </c>
    </row>
    <row r="659">
      <c r="A659" s="16" t="n"/>
      <c r="B659" s="15" t="n"/>
      <c r="C659" s="15" t="n"/>
      <c r="D659" s="17">
        <f>IF($C659="","",IFERROR(INDEX(สินค้า!$A$5:$A$204,MATCH($C659,สินค้า!$B$5:$B$204,0)),"ไม่พบสินค้า"))</f>
        <v/>
      </c>
      <c r="E659" s="17">
        <f>IF($C659="","",IFERROR(INDEX(สินค้า!$C$5:$C$204,MATCH($C659,สินค้า!$B$5:$B$204,0)),"ไม่พบสินค้า"))</f>
        <v/>
      </c>
      <c r="F659" s="17">
        <f>IF($C659="","",IFERROR(INDEX(สินค้า!$D$5:$D$204,MATCH($C659,สินค้า!$B$5:$B$204,0)),"ไม่พบสินค้า"))</f>
        <v/>
      </c>
      <c r="G659" s="15" t="n"/>
      <c r="H659" s="15" t="n"/>
      <c r="I659" s="18">
        <f>IF(AND(ISNUMBER(G659),ISNUMBER(H659),G659&gt;0),H659/G659,"")</f>
        <v/>
      </c>
      <c r="J659" s="15" t="n"/>
      <c r="K659" s="15" t="n"/>
      <c r="L659" s="17">
        <f>IF(A659="","",TEXT(A659,"yyyy-mm"))</f>
        <v/>
      </c>
      <c r="M659" s="17">
        <f>IF(AND(A659&lt;&gt;"",J659="Pending"),TODAY()-A659,"")</f>
        <v/>
      </c>
    </row>
    <row r="660">
      <c r="A660" s="16" t="n"/>
      <c r="B660" s="15" t="n"/>
      <c r="C660" s="15" t="n"/>
      <c r="D660" s="17">
        <f>IF($C660="","",IFERROR(INDEX(สินค้า!$A$5:$A$204,MATCH($C660,สินค้า!$B$5:$B$204,0)),"ไม่พบสินค้า"))</f>
        <v/>
      </c>
      <c r="E660" s="17">
        <f>IF($C660="","",IFERROR(INDEX(สินค้า!$C$5:$C$204,MATCH($C660,สินค้า!$B$5:$B$204,0)),"ไม่พบสินค้า"))</f>
        <v/>
      </c>
      <c r="F660" s="17">
        <f>IF($C660="","",IFERROR(INDEX(สินค้า!$D$5:$D$204,MATCH($C660,สินค้า!$B$5:$B$204,0)),"ไม่พบสินค้า"))</f>
        <v/>
      </c>
      <c r="G660" s="15" t="n"/>
      <c r="H660" s="15" t="n"/>
      <c r="I660" s="18">
        <f>IF(AND(ISNUMBER(G660),ISNUMBER(H660),G660&gt;0),H660/G660,"")</f>
        <v/>
      </c>
      <c r="J660" s="15" t="n"/>
      <c r="K660" s="15" t="n"/>
      <c r="L660" s="17">
        <f>IF(A660="","",TEXT(A660,"yyyy-mm"))</f>
        <v/>
      </c>
      <c r="M660" s="17">
        <f>IF(AND(A660&lt;&gt;"",J660="Pending"),TODAY()-A660,"")</f>
        <v/>
      </c>
    </row>
    <row r="661">
      <c r="A661" s="16" t="n"/>
      <c r="B661" s="15" t="n"/>
      <c r="C661" s="15" t="n"/>
      <c r="D661" s="17">
        <f>IF($C661="","",IFERROR(INDEX(สินค้า!$A$5:$A$204,MATCH($C661,สินค้า!$B$5:$B$204,0)),"ไม่พบสินค้า"))</f>
        <v/>
      </c>
      <c r="E661" s="17">
        <f>IF($C661="","",IFERROR(INDEX(สินค้า!$C$5:$C$204,MATCH($C661,สินค้า!$B$5:$B$204,0)),"ไม่พบสินค้า"))</f>
        <v/>
      </c>
      <c r="F661" s="17">
        <f>IF($C661="","",IFERROR(INDEX(สินค้า!$D$5:$D$204,MATCH($C661,สินค้า!$B$5:$B$204,0)),"ไม่พบสินค้า"))</f>
        <v/>
      </c>
      <c r="G661" s="15" t="n"/>
      <c r="H661" s="15" t="n"/>
      <c r="I661" s="18">
        <f>IF(AND(ISNUMBER(G661),ISNUMBER(H661),G661&gt;0),H661/G661,"")</f>
        <v/>
      </c>
      <c r="J661" s="15" t="n"/>
      <c r="K661" s="15" t="n"/>
      <c r="L661" s="17">
        <f>IF(A661="","",TEXT(A661,"yyyy-mm"))</f>
        <v/>
      </c>
      <c r="M661" s="17">
        <f>IF(AND(A661&lt;&gt;"",J661="Pending"),TODAY()-A661,"")</f>
        <v/>
      </c>
    </row>
    <row r="662">
      <c r="A662" s="16" t="n"/>
      <c r="B662" s="15" t="n"/>
      <c r="C662" s="15" t="n"/>
      <c r="D662" s="17">
        <f>IF($C662="","",IFERROR(INDEX(สินค้า!$A$5:$A$204,MATCH($C662,สินค้า!$B$5:$B$204,0)),"ไม่พบสินค้า"))</f>
        <v/>
      </c>
      <c r="E662" s="17">
        <f>IF($C662="","",IFERROR(INDEX(สินค้า!$C$5:$C$204,MATCH($C662,สินค้า!$B$5:$B$204,0)),"ไม่พบสินค้า"))</f>
        <v/>
      </c>
      <c r="F662" s="17">
        <f>IF($C662="","",IFERROR(INDEX(สินค้า!$D$5:$D$204,MATCH($C662,สินค้า!$B$5:$B$204,0)),"ไม่พบสินค้า"))</f>
        <v/>
      </c>
      <c r="G662" s="15" t="n"/>
      <c r="H662" s="15" t="n"/>
      <c r="I662" s="18">
        <f>IF(AND(ISNUMBER(G662),ISNUMBER(H662),G662&gt;0),H662/G662,"")</f>
        <v/>
      </c>
      <c r="J662" s="15" t="n"/>
      <c r="K662" s="15" t="n"/>
      <c r="L662" s="17">
        <f>IF(A662="","",TEXT(A662,"yyyy-mm"))</f>
        <v/>
      </c>
      <c r="M662" s="17">
        <f>IF(AND(A662&lt;&gt;"",J662="Pending"),TODAY()-A662,"")</f>
        <v/>
      </c>
    </row>
    <row r="663">
      <c r="A663" s="16" t="n"/>
      <c r="B663" s="15" t="n"/>
      <c r="C663" s="15" t="n"/>
      <c r="D663" s="17">
        <f>IF($C663="","",IFERROR(INDEX(สินค้า!$A$5:$A$204,MATCH($C663,สินค้า!$B$5:$B$204,0)),"ไม่พบสินค้า"))</f>
        <v/>
      </c>
      <c r="E663" s="17">
        <f>IF($C663="","",IFERROR(INDEX(สินค้า!$C$5:$C$204,MATCH($C663,สินค้า!$B$5:$B$204,0)),"ไม่พบสินค้า"))</f>
        <v/>
      </c>
      <c r="F663" s="17">
        <f>IF($C663="","",IFERROR(INDEX(สินค้า!$D$5:$D$204,MATCH($C663,สินค้า!$B$5:$B$204,0)),"ไม่พบสินค้า"))</f>
        <v/>
      </c>
      <c r="G663" s="15" t="n"/>
      <c r="H663" s="15" t="n"/>
      <c r="I663" s="18">
        <f>IF(AND(ISNUMBER(G663),ISNUMBER(H663),G663&gt;0),H663/G663,"")</f>
        <v/>
      </c>
      <c r="J663" s="15" t="n"/>
      <c r="K663" s="15" t="n"/>
      <c r="L663" s="17">
        <f>IF(A663="","",TEXT(A663,"yyyy-mm"))</f>
        <v/>
      </c>
      <c r="M663" s="17">
        <f>IF(AND(A663&lt;&gt;"",J663="Pending"),TODAY()-A663,"")</f>
        <v/>
      </c>
    </row>
    <row r="664">
      <c r="A664" s="16" t="n"/>
      <c r="B664" s="15" t="n"/>
      <c r="C664" s="15" t="n"/>
      <c r="D664" s="17">
        <f>IF($C664="","",IFERROR(INDEX(สินค้า!$A$5:$A$204,MATCH($C664,สินค้า!$B$5:$B$204,0)),"ไม่พบสินค้า"))</f>
        <v/>
      </c>
      <c r="E664" s="17">
        <f>IF($C664="","",IFERROR(INDEX(สินค้า!$C$5:$C$204,MATCH($C664,สินค้า!$B$5:$B$204,0)),"ไม่พบสินค้า"))</f>
        <v/>
      </c>
      <c r="F664" s="17">
        <f>IF($C664="","",IFERROR(INDEX(สินค้า!$D$5:$D$204,MATCH($C664,สินค้า!$B$5:$B$204,0)),"ไม่พบสินค้า"))</f>
        <v/>
      </c>
      <c r="G664" s="15" t="n"/>
      <c r="H664" s="15" t="n"/>
      <c r="I664" s="18">
        <f>IF(AND(ISNUMBER(G664),ISNUMBER(H664),G664&gt;0),H664/G664,"")</f>
        <v/>
      </c>
      <c r="J664" s="15" t="n"/>
      <c r="K664" s="15" t="n"/>
      <c r="L664" s="17">
        <f>IF(A664="","",TEXT(A664,"yyyy-mm"))</f>
        <v/>
      </c>
      <c r="M664" s="17">
        <f>IF(AND(A664&lt;&gt;"",J664="Pending"),TODAY()-A664,"")</f>
        <v/>
      </c>
    </row>
    <row r="665">
      <c r="A665" s="16" t="n"/>
      <c r="B665" s="15" t="n"/>
      <c r="C665" s="15" t="n"/>
      <c r="D665" s="17">
        <f>IF($C665="","",IFERROR(INDEX(สินค้า!$A$5:$A$204,MATCH($C665,สินค้า!$B$5:$B$204,0)),"ไม่พบสินค้า"))</f>
        <v/>
      </c>
      <c r="E665" s="17">
        <f>IF($C665="","",IFERROR(INDEX(สินค้า!$C$5:$C$204,MATCH($C665,สินค้า!$B$5:$B$204,0)),"ไม่พบสินค้า"))</f>
        <v/>
      </c>
      <c r="F665" s="17">
        <f>IF($C665="","",IFERROR(INDEX(สินค้า!$D$5:$D$204,MATCH($C665,สินค้า!$B$5:$B$204,0)),"ไม่พบสินค้า"))</f>
        <v/>
      </c>
      <c r="G665" s="15" t="n"/>
      <c r="H665" s="15" t="n"/>
      <c r="I665" s="18">
        <f>IF(AND(ISNUMBER(G665),ISNUMBER(H665),G665&gt;0),H665/G665,"")</f>
        <v/>
      </c>
      <c r="J665" s="15" t="n"/>
      <c r="K665" s="15" t="n"/>
      <c r="L665" s="17">
        <f>IF(A665="","",TEXT(A665,"yyyy-mm"))</f>
        <v/>
      </c>
      <c r="M665" s="17">
        <f>IF(AND(A665&lt;&gt;"",J665="Pending"),TODAY()-A665,"")</f>
        <v/>
      </c>
    </row>
    <row r="666">
      <c r="A666" s="16" t="n"/>
      <c r="B666" s="15" t="n"/>
      <c r="C666" s="15" t="n"/>
      <c r="D666" s="17">
        <f>IF($C666="","",IFERROR(INDEX(สินค้า!$A$5:$A$204,MATCH($C666,สินค้า!$B$5:$B$204,0)),"ไม่พบสินค้า"))</f>
        <v/>
      </c>
      <c r="E666" s="17">
        <f>IF($C666="","",IFERROR(INDEX(สินค้า!$C$5:$C$204,MATCH($C666,สินค้า!$B$5:$B$204,0)),"ไม่พบสินค้า"))</f>
        <v/>
      </c>
      <c r="F666" s="17">
        <f>IF($C666="","",IFERROR(INDEX(สินค้า!$D$5:$D$204,MATCH($C666,สินค้า!$B$5:$B$204,0)),"ไม่พบสินค้า"))</f>
        <v/>
      </c>
      <c r="G666" s="15" t="n"/>
      <c r="H666" s="15" t="n"/>
      <c r="I666" s="18">
        <f>IF(AND(ISNUMBER(G666),ISNUMBER(H666),G666&gt;0),H666/G666,"")</f>
        <v/>
      </c>
      <c r="J666" s="15" t="n"/>
      <c r="K666" s="15" t="n"/>
      <c r="L666" s="17">
        <f>IF(A666="","",TEXT(A666,"yyyy-mm"))</f>
        <v/>
      </c>
      <c r="M666" s="17">
        <f>IF(AND(A666&lt;&gt;"",J666="Pending"),TODAY()-A666,"")</f>
        <v/>
      </c>
    </row>
    <row r="667">
      <c r="A667" s="16" t="n"/>
      <c r="B667" s="15" t="n"/>
      <c r="C667" s="15" t="n"/>
      <c r="D667" s="17">
        <f>IF($C667="","",IFERROR(INDEX(สินค้า!$A$5:$A$204,MATCH($C667,สินค้า!$B$5:$B$204,0)),"ไม่พบสินค้า"))</f>
        <v/>
      </c>
      <c r="E667" s="17">
        <f>IF($C667="","",IFERROR(INDEX(สินค้า!$C$5:$C$204,MATCH($C667,สินค้า!$B$5:$B$204,0)),"ไม่พบสินค้า"))</f>
        <v/>
      </c>
      <c r="F667" s="17">
        <f>IF($C667="","",IFERROR(INDEX(สินค้า!$D$5:$D$204,MATCH($C667,สินค้า!$B$5:$B$204,0)),"ไม่พบสินค้า"))</f>
        <v/>
      </c>
      <c r="G667" s="15" t="n"/>
      <c r="H667" s="15" t="n"/>
      <c r="I667" s="18">
        <f>IF(AND(ISNUMBER(G667),ISNUMBER(H667),G667&gt;0),H667/G667,"")</f>
        <v/>
      </c>
      <c r="J667" s="15" t="n"/>
      <c r="K667" s="15" t="n"/>
      <c r="L667" s="17">
        <f>IF(A667="","",TEXT(A667,"yyyy-mm"))</f>
        <v/>
      </c>
      <c r="M667" s="17">
        <f>IF(AND(A667&lt;&gt;"",J667="Pending"),TODAY()-A667,"")</f>
        <v/>
      </c>
    </row>
    <row r="668">
      <c r="A668" s="16" t="n"/>
      <c r="B668" s="15" t="n"/>
      <c r="C668" s="15" t="n"/>
      <c r="D668" s="17">
        <f>IF($C668="","",IFERROR(INDEX(สินค้า!$A$5:$A$204,MATCH($C668,สินค้า!$B$5:$B$204,0)),"ไม่พบสินค้า"))</f>
        <v/>
      </c>
      <c r="E668" s="17">
        <f>IF($C668="","",IFERROR(INDEX(สินค้า!$C$5:$C$204,MATCH($C668,สินค้า!$B$5:$B$204,0)),"ไม่พบสินค้า"))</f>
        <v/>
      </c>
      <c r="F668" s="17">
        <f>IF($C668="","",IFERROR(INDEX(สินค้า!$D$5:$D$204,MATCH($C668,สินค้า!$B$5:$B$204,0)),"ไม่พบสินค้า"))</f>
        <v/>
      </c>
      <c r="G668" s="15" t="n"/>
      <c r="H668" s="15" t="n"/>
      <c r="I668" s="18">
        <f>IF(AND(ISNUMBER(G668),ISNUMBER(H668),G668&gt;0),H668/G668,"")</f>
        <v/>
      </c>
      <c r="J668" s="15" t="n"/>
      <c r="K668" s="15" t="n"/>
      <c r="L668" s="17">
        <f>IF(A668="","",TEXT(A668,"yyyy-mm"))</f>
        <v/>
      </c>
      <c r="M668" s="17">
        <f>IF(AND(A668&lt;&gt;"",J668="Pending"),TODAY()-A668,"")</f>
        <v/>
      </c>
    </row>
    <row r="669">
      <c r="A669" s="16" t="n"/>
      <c r="B669" s="15" t="n"/>
      <c r="C669" s="15" t="n"/>
      <c r="D669" s="17">
        <f>IF($C669="","",IFERROR(INDEX(สินค้า!$A$5:$A$204,MATCH($C669,สินค้า!$B$5:$B$204,0)),"ไม่พบสินค้า"))</f>
        <v/>
      </c>
      <c r="E669" s="17">
        <f>IF($C669="","",IFERROR(INDEX(สินค้า!$C$5:$C$204,MATCH($C669,สินค้า!$B$5:$B$204,0)),"ไม่พบสินค้า"))</f>
        <v/>
      </c>
      <c r="F669" s="17">
        <f>IF($C669="","",IFERROR(INDEX(สินค้า!$D$5:$D$204,MATCH($C669,สินค้า!$B$5:$B$204,0)),"ไม่พบสินค้า"))</f>
        <v/>
      </c>
      <c r="G669" s="15" t="n"/>
      <c r="H669" s="15" t="n"/>
      <c r="I669" s="18">
        <f>IF(AND(ISNUMBER(G669),ISNUMBER(H669),G669&gt;0),H669/G669,"")</f>
        <v/>
      </c>
      <c r="J669" s="15" t="n"/>
      <c r="K669" s="15" t="n"/>
      <c r="L669" s="17">
        <f>IF(A669="","",TEXT(A669,"yyyy-mm"))</f>
        <v/>
      </c>
      <c r="M669" s="17">
        <f>IF(AND(A669&lt;&gt;"",J669="Pending"),TODAY()-A669,"")</f>
        <v/>
      </c>
    </row>
    <row r="670">
      <c r="A670" s="16" t="n"/>
      <c r="B670" s="15" t="n"/>
      <c r="C670" s="15" t="n"/>
      <c r="D670" s="17">
        <f>IF($C670="","",IFERROR(INDEX(สินค้า!$A$5:$A$204,MATCH($C670,สินค้า!$B$5:$B$204,0)),"ไม่พบสินค้า"))</f>
        <v/>
      </c>
      <c r="E670" s="17">
        <f>IF($C670="","",IFERROR(INDEX(สินค้า!$C$5:$C$204,MATCH($C670,สินค้า!$B$5:$B$204,0)),"ไม่พบสินค้า"))</f>
        <v/>
      </c>
      <c r="F670" s="17">
        <f>IF($C670="","",IFERROR(INDEX(สินค้า!$D$5:$D$204,MATCH($C670,สินค้า!$B$5:$B$204,0)),"ไม่พบสินค้า"))</f>
        <v/>
      </c>
      <c r="G670" s="15" t="n"/>
      <c r="H670" s="15" t="n"/>
      <c r="I670" s="18">
        <f>IF(AND(ISNUMBER(G670),ISNUMBER(H670),G670&gt;0),H670/G670,"")</f>
        <v/>
      </c>
      <c r="J670" s="15" t="n"/>
      <c r="K670" s="15" t="n"/>
      <c r="L670" s="17">
        <f>IF(A670="","",TEXT(A670,"yyyy-mm"))</f>
        <v/>
      </c>
      <c r="M670" s="17">
        <f>IF(AND(A670&lt;&gt;"",J670="Pending"),TODAY()-A670,"")</f>
        <v/>
      </c>
    </row>
    <row r="671">
      <c r="A671" s="16" t="n"/>
      <c r="B671" s="15" t="n"/>
      <c r="C671" s="15" t="n"/>
      <c r="D671" s="17">
        <f>IF($C671="","",IFERROR(INDEX(สินค้า!$A$5:$A$204,MATCH($C671,สินค้า!$B$5:$B$204,0)),"ไม่พบสินค้า"))</f>
        <v/>
      </c>
      <c r="E671" s="17">
        <f>IF($C671="","",IFERROR(INDEX(สินค้า!$C$5:$C$204,MATCH($C671,สินค้า!$B$5:$B$204,0)),"ไม่พบสินค้า"))</f>
        <v/>
      </c>
      <c r="F671" s="17">
        <f>IF($C671="","",IFERROR(INDEX(สินค้า!$D$5:$D$204,MATCH($C671,สินค้า!$B$5:$B$204,0)),"ไม่พบสินค้า"))</f>
        <v/>
      </c>
      <c r="G671" s="15" t="n"/>
      <c r="H671" s="15" t="n"/>
      <c r="I671" s="18">
        <f>IF(AND(ISNUMBER(G671),ISNUMBER(H671),G671&gt;0),H671/G671,"")</f>
        <v/>
      </c>
      <c r="J671" s="15" t="n"/>
      <c r="K671" s="15" t="n"/>
      <c r="L671" s="17">
        <f>IF(A671="","",TEXT(A671,"yyyy-mm"))</f>
        <v/>
      </c>
      <c r="M671" s="17">
        <f>IF(AND(A671&lt;&gt;"",J671="Pending"),TODAY()-A671,"")</f>
        <v/>
      </c>
    </row>
    <row r="672">
      <c r="A672" s="16" t="n"/>
      <c r="B672" s="15" t="n"/>
      <c r="C672" s="15" t="n"/>
      <c r="D672" s="17">
        <f>IF($C672="","",IFERROR(INDEX(สินค้า!$A$5:$A$204,MATCH($C672,สินค้า!$B$5:$B$204,0)),"ไม่พบสินค้า"))</f>
        <v/>
      </c>
      <c r="E672" s="17">
        <f>IF($C672="","",IFERROR(INDEX(สินค้า!$C$5:$C$204,MATCH($C672,สินค้า!$B$5:$B$204,0)),"ไม่พบสินค้า"))</f>
        <v/>
      </c>
      <c r="F672" s="17">
        <f>IF($C672="","",IFERROR(INDEX(สินค้า!$D$5:$D$204,MATCH($C672,สินค้า!$B$5:$B$204,0)),"ไม่พบสินค้า"))</f>
        <v/>
      </c>
      <c r="G672" s="15" t="n"/>
      <c r="H672" s="15" t="n"/>
      <c r="I672" s="18">
        <f>IF(AND(ISNUMBER(G672),ISNUMBER(H672),G672&gt;0),H672/G672,"")</f>
        <v/>
      </c>
      <c r="J672" s="15" t="n"/>
      <c r="K672" s="15" t="n"/>
      <c r="L672" s="17">
        <f>IF(A672="","",TEXT(A672,"yyyy-mm"))</f>
        <v/>
      </c>
      <c r="M672" s="17">
        <f>IF(AND(A672&lt;&gt;"",J672="Pending"),TODAY()-A672,"")</f>
        <v/>
      </c>
    </row>
    <row r="673">
      <c r="A673" s="16" t="n"/>
      <c r="B673" s="15" t="n"/>
      <c r="C673" s="15" t="n"/>
      <c r="D673" s="17">
        <f>IF($C673="","",IFERROR(INDEX(สินค้า!$A$5:$A$204,MATCH($C673,สินค้า!$B$5:$B$204,0)),"ไม่พบสินค้า"))</f>
        <v/>
      </c>
      <c r="E673" s="17">
        <f>IF($C673="","",IFERROR(INDEX(สินค้า!$C$5:$C$204,MATCH($C673,สินค้า!$B$5:$B$204,0)),"ไม่พบสินค้า"))</f>
        <v/>
      </c>
      <c r="F673" s="17">
        <f>IF($C673="","",IFERROR(INDEX(สินค้า!$D$5:$D$204,MATCH($C673,สินค้า!$B$5:$B$204,0)),"ไม่พบสินค้า"))</f>
        <v/>
      </c>
      <c r="G673" s="15" t="n"/>
      <c r="H673" s="15" t="n"/>
      <c r="I673" s="18">
        <f>IF(AND(ISNUMBER(G673),ISNUMBER(H673),G673&gt;0),H673/G673,"")</f>
        <v/>
      </c>
      <c r="J673" s="15" t="n"/>
      <c r="K673" s="15" t="n"/>
      <c r="L673" s="17">
        <f>IF(A673="","",TEXT(A673,"yyyy-mm"))</f>
        <v/>
      </c>
      <c r="M673" s="17">
        <f>IF(AND(A673&lt;&gt;"",J673="Pending"),TODAY()-A673,"")</f>
        <v/>
      </c>
    </row>
    <row r="674">
      <c r="A674" s="16" t="n"/>
      <c r="B674" s="15" t="n"/>
      <c r="C674" s="15" t="n"/>
      <c r="D674" s="17">
        <f>IF($C674="","",IFERROR(INDEX(สินค้า!$A$5:$A$204,MATCH($C674,สินค้า!$B$5:$B$204,0)),"ไม่พบสินค้า"))</f>
        <v/>
      </c>
      <c r="E674" s="17">
        <f>IF($C674="","",IFERROR(INDEX(สินค้า!$C$5:$C$204,MATCH($C674,สินค้า!$B$5:$B$204,0)),"ไม่พบสินค้า"))</f>
        <v/>
      </c>
      <c r="F674" s="17">
        <f>IF($C674="","",IFERROR(INDEX(สินค้า!$D$5:$D$204,MATCH($C674,สินค้า!$B$5:$B$204,0)),"ไม่พบสินค้า"))</f>
        <v/>
      </c>
      <c r="G674" s="15" t="n"/>
      <c r="H674" s="15" t="n"/>
      <c r="I674" s="18">
        <f>IF(AND(ISNUMBER(G674),ISNUMBER(H674),G674&gt;0),H674/G674,"")</f>
        <v/>
      </c>
      <c r="J674" s="15" t="n"/>
      <c r="K674" s="15" t="n"/>
      <c r="L674" s="17">
        <f>IF(A674="","",TEXT(A674,"yyyy-mm"))</f>
        <v/>
      </c>
      <c r="M674" s="17">
        <f>IF(AND(A674&lt;&gt;"",J674="Pending"),TODAY()-A674,"")</f>
        <v/>
      </c>
    </row>
    <row r="675">
      <c r="A675" s="16" t="n"/>
      <c r="B675" s="15" t="n"/>
      <c r="C675" s="15" t="n"/>
      <c r="D675" s="17">
        <f>IF($C675="","",IFERROR(INDEX(สินค้า!$A$5:$A$204,MATCH($C675,สินค้า!$B$5:$B$204,0)),"ไม่พบสินค้า"))</f>
        <v/>
      </c>
      <c r="E675" s="17">
        <f>IF($C675="","",IFERROR(INDEX(สินค้า!$C$5:$C$204,MATCH($C675,สินค้า!$B$5:$B$204,0)),"ไม่พบสินค้า"))</f>
        <v/>
      </c>
      <c r="F675" s="17">
        <f>IF($C675="","",IFERROR(INDEX(สินค้า!$D$5:$D$204,MATCH($C675,สินค้า!$B$5:$B$204,0)),"ไม่พบสินค้า"))</f>
        <v/>
      </c>
      <c r="G675" s="15" t="n"/>
      <c r="H675" s="15" t="n"/>
      <c r="I675" s="18">
        <f>IF(AND(ISNUMBER(G675),ISNUMBER(H675),G675&gt;0),H675/G675,"")</f>
        <v/>
      </c>
      <c r="J675" s="15" t="n"/>
      <c r="K675" s="15" t="n"/>
      <c r="L675" s="17">
        <f>IF(A675="","",TEXT(A675,"yyyy-mm"))</f>
        <v/>
      </c>
      <c r="M675" s="17">
        <f>IF(AND(A675&lt;&gt;"",J675="Pending"),TODAY()-A675,"")</f>
        <v/>
      </c>
    </row>
    <row r="676">
      <c r="A676" s="16" t="n"/>
      <c r="B676" s="15" t="n"/>
      <c r="C676" s="15" t="n"/>
      <c r="D676" s="17">
        <f>IF($C676="","",IFERROR(INDEX(สินค้า!$A$5:$A$204,MATCH($C676,สินค้า!$B$5:$B$204,0)),"ไม่พบสินค้า"))</f>
        <v/>
      </c>
      <c r="E676" s="17">
        <f>IF($C676="","",IFERROR(INDEX(สินค้า!$C$5:$C$204,MATCH($C676,สินค้า!$B$5:$B$204,0)),"ไม่พบสินค้า"))</f>
        <v/>
      </c>
      <c r="F676" s="17">
        <f>IF($C676="","",IFERROR(INDEX(สินค้า!$D$5:$D$204,MATCH($C676,สินค้า!$B$5:$B$204,0)),"ไม่พบสินค้า"))</f>
        <v/>
      </c>
      <c r="G676" s="15" t="n"/>
      <c r="H676" s="15" t="n"/>
      <c r="I676" s="18">
        <f>IF(AND(ISNUMBER(G676),ISNUMBER(H676),G676&gt;0),H676/G676,"")</f>
        <v/>
      </c>
      <c r="J676" s="15" t="n"/>
      <c r="K676" s="15" t="n"/>
      <c r="L676" s="17">
        <f>IF(A676="","",TEXT(A676,"yyyy-mm"))</f>
        <v/>
      </c>
      <c r="M676" s="17">
        <f>IF(AND(A676&lt;&gt;"",J676="Pending"),TODAY()-A676,"")</f>
        <v/>
      </c>
    </row>
    <row r="677">
      <c r="A677" s="16" t="n"/>
      <c r="B677" s="15" t="n"/>
      <c r="C677" s="15" t="n"/>
      <c r="D677" s="17">
        <f>IF($C677="","",IFERROR(INDEX(สินค้า!$A$5:$A$204,MATCH($C677,สินค้า!$B$5:$B$204,0)),"ไม่พบสินค้า"))</f>
        <v/>
      </c>
      <c r="E677" s="17">
        <f>IF($C677="","",IFERROR(INDEX(สินค้า!$C$5:$C$204,MATCH($C677,สินค้า!$B$5:$B$204,0)),"ไม่พบสินค้า"))</f>
        <v/>
      </c>
      <c r="F677" s="17">
        <f>IF($C677="","",IFERROR(INDEX(สินค้า!$D$5:$D$204,MATCH($C677,สินค้า!$B$5:$B$204,0)),"ไม่พบสินค้า"))</f>
        <v/>
      </c>
      <c r="G677" s="15" t="n"/>
      <c r="H677" s="15" t="n"/>
      <c r="I677" s="18">
        <f>IF(AND(ISNUMBER(G677),ISNUMBER(H677),G677&gt;0),H677/G677,"")</f>
        <v/>
      </c>
      <c r="J677" s="15" t="n"/>
      <c r="K677" s="15" t="n"/>
      <c r="L677" s="17">
        <f>IF(A677="","",TEXT(A677,"yyyy-mm"))</f>
        <v/>
      </c>
      <c r="M677" s="17">
        <f>IF(AND(A677&lt;&gt;"",J677="Pending"),TODAY()-A677,"")</f>
        <v/>
      </c>
    </row>
    <row r="678">
      <c r="A678" s="16" t="n"/>
      <c r="B678" s="15" t="n"/>
      <c r="C678" s="15" t="n"/>
      <c r="D678" s="17">
        <f>IF($C678="","",IFERROR(INDEX(สินค้า!$A$5:$A$204,MATCH($C678,สินค้า!$B$5:$B$204,0)),"ไม่พบสินค้า"))</f>
        <v/>
      </c>
      <c r="E678" s="17">
        <f>IF($C678="","",IFERROR(INDEX(สินค้า!$C$5:$C$204,MATCH($C678,สินค้า!$B$5:$B$204,0)),"ไม่พบสินค้า"))</f>
        <v/>
      </c>
      <c r="F678" s="17">
        <f>IF($C678="","",IFERROR(INDEX(สินค้า!$D$5:$D$204,MATCH($C678,สินค้า!$B$5:$B$204,0)),"ไม่พบสินค้า"))</f>
        <v/>
      </c>
      <c r="G678" s="15" t="n"/>
      <c r="H678" s="15" t="n"/>
      <c r="I678" s="18">
        <f>IF(AND(ISNUMBER(G678),ISNUMBER(H678),G678&gt;0),H678/G678,"")</f>
        <v/>
      </c>
      <c r="J678" s="15" t="n"/>
      <c r="K678" s="15" t="n"/>
      <c r="L678" s="17">
        <f>IF(A678="","",TEXT(A678,"yyyy-mm"))</f>
        <v/>
      </c>
      <c r="M678" s="17">
        <f>IF(AND(A678&lt;&gt;"",J678="Pending"),TODAY()-A678,"")</f>
        <v/>
      </c>
    </row>
    <row r="679">
      <c r="A679" s="16" t="n"/>
      <c r="B679" s="15" t="n"/>
      <c r="C679" s="15" t="n"/>
      <c r="D679" s="17">
        <f>IF($C679="","",IFERROR(INDEX(สินค้า!$A$5:$A$204,MATCH($C679,สินค้า!$B$5:$B$204,0)),"ไม่พบสินค้า"))</f>
        <v/>
      </c>
      <c r="E679" s="17">
        <f>IF($C679="","",IFERROR(INDEX(สินค้า!$C$5:$C$204,MATCH($C679,สินค้า!$B$5:$B$204,0)),"ไม่พบสินค้า"))</f>
        <v/>
      </c>
      <c r="F679" s="17">
        <f>IF($C679="","",IFERROR(INDEX(สินค้า!$D$5:$D$204,MATCH($C679,สินค้า!$B$5:$B$204,0)),"ไม่พบสินค้า"))</f>
        <v/>
      </c>
      <c r="G679" s="15" t="n"/>
      <c r="H679" s="15" t="n"/>
      <c r="I679" s="18">
        <f>IF(AND(ISNUMBER(G679),ISNUMBER(H679),G679&gt;0),H679/G679,"")</f>
        <v/>
      </c>
      <c r="J679" s="15" t="n"/>
      <c r="K679" s="15" t="n"/>
      <c r="L679" s="17">
        <f>IF(A679="","",TEXT(A679,"yyyy-mm"))</f>
        <v/>
      </c>
      <c r="M679" s="17">
        <f>IF(AND(A679&lt;&gt;"",J679="Pending"),TODAY()-A679,"")</f>
        <v/>
      </c>
    </row>
    <row r="680">
      <c r="A680" s="16" t="n"/>
      <c r="B680" s="15" t="n"/>
      <c r="C680" s="15" t="n"/>
      <c r="D680" s="17">
        <f>IF($C680="","",IFERROR(INDEX(สินค้า!$A$5:$A$204,MATCH($C680,สินค้า!$B$5:$B$204,0)),"ไม่พบสินค้า"))</f>
        <v/>
      </c>
      <c r="E680" s="17">
        <f>IF($C680="","",IFERROR(INDEX(สินค้า!$C$5:$C$204,MATCH($C680,สินค้า!$B$5:$B$204,0)),"ไม่พบสินค้า"))</f>
        <v/>
      </c>
      <c r="F680" s="17">
        <f>IF($C680="","",IFERROR(INDEX(สินค้า!$D$5:$D$204,MATCH($C680,สินค้า!$B$5:$B$204,0)),"ไม่พบสินค้า"))</f>
        <v/>
      </c>
      <c r="G680" s="15" t="n"/>
      <c r="H680" s="15" t="n"/>
      <c r="I680" s="18">
        <f>IF(AND(ISNUMBER(G680),ISNUMBER(H680),G680&gt;0),H680/G680,"")</f>
        <v/>
      </c>
      <c r="J680" s="15" t="n"/>
      <c r="K680" s="15" t="n"/>
      <c r="L680" s="17">
        <f>IF(A680="","",TEXT(A680,"yyyy-mm"))</f>
        <v/>
      </c>
      <c r="M680" s="17">
        <f>IF(AND(A680&lt;&gt;"",J680="Pending"),TODAY()-A680,"")</f>
        <v/>
      </c>
    </row>
    <row r="681">
      <c r="A681" s="16" t="n"/>
      <c r="B681" s="15" t="n"/>
      <c r="C681" s="15" t="n"/>
      <c r="D681" s="17">
        <f>IF($C681="","",IFERROR(INDEX(สินค้า!$A$5:$A$204,MATCH($C681,สินค้า!$B$5:$B$204,0)),"ไม่พบสินค้า"))</f>
        <v/>
      </c>
      <c r="E681" s="17">
        <f>IF($C681="","",IFERROR(INDEX(สินค้า!$C$5:$C$204,MATCH($C681,สินค้า!$B$5:$B$204,0)),"ไม่พบสินค้า"))</f>
        <v/>
      </c>
      <c r="F681" s="17">
        <f>IF($C681="","",IFERROR(INDEX(สินค้า!$D$5:$D$204,MATCH($C681,สินค้า!$B$5:$B$204,0)),"ไม่พบสินค้า"))</f>
        <v/>
      </c>
      <c r="G681" s="15" t="n"/>
      <c r="H681" s="15" t="n"/>
      <c r="I681" s="18">
        <f>IF(AND(ISNUMBER(G681),ISNUMBER(H681),G681&gt;0),H681/G681,"")</f>
        <v/>
      </c>
      <c r="J681" s="15" t="n"/>
      <c r="K681" s="15" t="n"/>
      <c r="L681" s="17">
        <f>IF(A681="","",TEXT(A681,"yyyy-mm"))</f>
        <v/>
      </c>
      <c r="M681" s="17">
        <f>IF(AND(A681&lt;&gt;"",J681="Pending"),TODAY()-A681,"")</f>
        <v/>
      </c>
    </row>
    <row r="682">
      <c r="A682" s="16" t="n"/>
      <c r="B682" s="15" t="n"/>
      <c r="C682" s="15" t="n"/>
      <c r="D682" s="17">
        <f>IF($C682="","",IFERROR(INDEX(สินค้า!$A$5:$A$204,MATCH($C682,สินค้า!$B$5:$B$204,0)),"ไม่พบสินค้า"))</f>
        <v/>
      </c>
      <c r="E682" s="17">
        <f>IF($C682="","",IFERROR(INDEX(สินค้า!$C$5:$C$204,MATCH($C682,สินค้า!$B$5:$B$204,0)),"ไม่พบสินค้า"))</f>
        <v/>
      </c>
      <c r="F682" s="17">
        <f>IF($C682="","",IFERROR(INDEX(สินค้า!$D$5:$D$204,MATCH($C682,สินค้า!$B$5:$B$204,0)),"ไม่พบสินค้า"))</f>
        <v/>
      </c>
      <c r="G682" s="15" t="n"/>
      <c r="H682" s="15" t="n"/>
      <c r="I682" s="18">
        <f>IF(AND(ISNUMBER(G682),ISNUMBER(H682),G682&gt;0),H682/G682,"")</f>
        <v/>
      </c>
      <c r="J682" s="15" t="n"/>
      <c r="K682" s="15" t="n"/>
      <c r="L682" s="17">
        <f>IF(A682="","",TEXT(A682,"yyyy-mm"))</f>
        <v/>
      </c>
      <c r="M682" s="17">
        <f>IF(AND(A682&lt;&gt;"",J682="Pending"),TODAY()-A682,"")</f>
        <v/>
      </c>
    </row>
    <row r="683">
      <c r="A683" s="16" t="n"/>
      <c r="B683" s="15" t="n"/>
      <c r="C683" s="15" t="n"/>
      <c r="D683" s="17">
        <f>IF($C683="","",IFERROR(INDEX(สินค้า!$A$5:$A$204,MATCH($C683,สินค้า!$B$5:$B$204,0)),"ไม่พบสินค้า"))</f>
        <v/>
      </c>
      <c r="E683" s="17">
        <f>IF($C683="","",IFERROR(INDEX(สินค้า!$C$5:$C$204,MATCH($C683,สินค้า!$B$5:$B$204,0)),"ไม่พบสินค้า"))</f>
        <v/>
      </c>
      <c r="F683" s="17">
        <f>IF($C683="","",IFERROR(INDEX(สินค้า!$D$5:$D$204,MATCH($C683,สินค้า!$B$5:$B$204,0)),"ไม่พบสินค้า"))</f>
        <v/>
      </c>
      <c r="G683" s="15" t="n"/>
      <c r="H683" s="15" t="n"/>
      <c r="I683" s="18">
        <f>IF(AND(ISNUMBER(G683),ISNUMBER(H683),G683&gt;0),H683/G683,"")</f>
        <v/>
      </c>
      <c r="J683" s="15" t="n"/>
      <c r="K683" s="15" t="n"/>
      <c r="L683" s="17">
        <f>IF(A683="","",TEXT(A683,"yyyy-mm"))</f>
        <v/>
      </c>
      <c r="M683" s="17">
        <f>IF(AND(A683&lt;&gt;"",J683="Pending"),TODAY()-A683,"")</f>
        <v/>
      </c>
    </row>
    <row r="684">
      <c r="A684" s="16" t="n"/>
      <c r="B684" s="15" t="n"/>
      <c r="C684" s="15" t="n"/>
      <c r="D684" s="17">
        <f>IF($C684="","",IFERROR(INDEX(สินค้า!$A$5:$A$204,MATCH($C684,สินค้า!$B$5:$B$204,0)),"ไม่พบสินค้า"))</f>
        <v/>
      </c>
      <c r="E684" s="17">
        <f>IF($C684="","",IFERROR(INDEX(สินค้า!$C$5:$C$204,MATCH($C684,สินค้า!$B$5:$B$204,0)),"ไม่พบสินค้า"))</f>
        <v/>
      </c>
      <c r="F684" s="17">
        <f>IF($C684="","",IFERROR(INDEX(สินค้า!$D$5:$D$204,MATCH($C684,สินค้า!$B$5:$B$204,0)),"ไม่พบสินค้า"))</f>
        <v/>
      </c>
      <c r="G684" s="15" t="n"/>
      <c r="H684" s="15" t="n"/>
      <c r="I684" s="18">
        <f>IF(AND(ISNUMBER(G684),ISNUMBER(H684),G684&gt;0),H684/G684,"")</f>
        <v/>
      </c>
      <c r="J684" s="15" t="n"/>
      <c r="K684" s="15" t="n"/>
      <c r="L684" s="17">
        <f>IF(A684="","",TEXT(A684,"yyyy-mm"))</f>
        <v/>
      </c>
      <c r="M684" s="17">
        <f>IF(AND(A684&lt;&gt;"",J684="Pending"),TODAY()-A684,"")</f>
        <v/>
      </c>
    </row>
    <row r="685">
      <c r="A685" s="16" t="n"/>
      <c r="B685" s="15" t="n"/>
      <c r="C685" s="15" t="n"/>
      <c r="D685" s="17">
        <f>IF($C685="","",IFERROR(INDEX(สินค้า!$A$5:$A$204,MATCH($C685,สินค้า!$B$5:$B$204,0)),"ไม่พบสินค้า"))</f>
        <v/>
      </c>
      <c r="E685" s="17">
        <f>IF($C685="","",IFERROR(INDEX(สินค้า!$C$5:$C$204,MATCH($C685,สินค้า!$B$5:$B$204,0)),"ไม่พบสินค้า"))</f>
        <v/>
      </c>
      <c r="F685" s="17">
        <f>IF($C685="","",IFERROR(INDEX(สินค้า!$D$5:$D$204,MATCH($C685,สินค้า!$B$5:$B$204,0)),"ไม่พบสินค้า"))</f>
        <v/>
      </c>
      <c r="G685" s="15" t="n"/>
      <c r="H685" s="15" t="n"/>
      <c r="I685" s="18">
        <f>IF(AND(ISNUMBER(G685),ISNUMBER(H685),G685&gt;0),H685/G685,"")</f>
        <v/>
      </c>
      <c r="J685" s="15" t="n"/>
      <c r="K685" s="15" t="n"/>
      <c r="L685" s="17">
        <f>IF(A685="","",TEXT(A685,"yyyy-mm"))</f>
        <v/>
      </c>
      <c r="M685" s="17">
        <f>IF(AND(A685&lt;&gt;"",J685="Pending"),TODAY()-A685,"")</f>
        <v/>
      </c>
    </row>
    <row r="686">
      <c r="A686" s="16" t="n"/>
      <c r="B686" s="15" t="n"/>
      <c r="C686" s="15" t="n"/>
      <c r="D686" s="17">
        <f>IF($C686="","",IFERROR(INDEX(สินค้า!$A$5:$A$204,MATCH($C686,สินค้า!$B$5:$B$204,0)),"ไม่พบสินค้า"))</f>
        <v/>
      </c>
      <c r="E686" s="17">
        <f>IF($C686="","",IFERROR(INDEX(สินค้า!$C$5:$C$204,MATCH($C686,สินค้า!$B$5:$B$204,0)),"ไม่พบสินค้า"))</f>
        <v/>
      </c>
      <c r="F686" s="17">
        <f>IF($C686="","",IFERROR(INDEX(สินค้า!$D$5:$D$204,MATCH($C686,สินค้า!$B$5:$B$204,0)),"ไม่พบสินค้า"))</f>
        <v/>
      </c>
      <c r="G686" s="15" t="n"/>
      <c r="H686" s="15" t="n"/>
      <c r="I686" s="18">
        <f>IF(AND(ISNUMBER(G686),ISNUMBER(H686),G686&gt;0),H686/G686,"")</f>
        <v/>
      </c>
      <c r="J686" s="15" t="n"/>
      <c r="K686" s="15" t="n"/>
      <c r="L686" s="17">
        <f>IF(A686="","",TEXT(A686,"yyyy-mm"))</f>
        <v/>
      </c>
      <c r="M686" s="17">
        <f>IF(AND(A686&lt;&gt;"",J686="Pending"),TODAY()-A686,"")</f>
        <v/>
      </c>
    </row>
    <row r="687">
      <c r="A687" s="16" t="n"/>
      <c r="B687" s="15" t="n"/>
      <c r="C687" s="15" t="n"/>
      <c r="D687" s="17">
        <f>IF($C687="","",IFERROR(INDEX(สินค้า!$A$5:$A$204,MATCH($C687,สินค้า!$B$5:$B$204,0)),"ไม่พบสินค้า"))</f>
        <v/>
      </c>
      <c r="E687" s="17">
        <f>IF($C687="","",IFERROR(INDEX(สินค้า!$C$5:$C$204,MATCH($C687,สินค้า!$B$5:$B$204,0)),"ไม่พบสินค้า"))</f>
        <v/>
      </c>
      <c r="F687" s="17">
        <f>IF($C687="","",IFERROR(INDEX(สินค้า!$D$5:$D$204,MATCH($C687,สินค้า!$B$5:$B$204,0)),"ไม่พบสินค้า"))</f>
        <v/>
      </c>
      <c r="G687" s="15" t="n"/>
      <c r="H687" s="15" t="n"/>
      <c r="I687" s="18">
        <f>IF(AND(ISNUMBER(G687),ISNUMBER(H687),G687&gt;0),H687/G687,"")</f>
        <v/>
      </c>
      <c r="J687" s="15" t="n"/>
      <c r="K687" s="15" t="n"/>
      <c r="L687" s="17">
        <f>IF(A687="","",TEXT(A687,"yyyy-mm"))</f>
        <v/>
      </c>
      <c r="M687" s="17">
        <f>IF(AND(A687&lt;&gt;"",J687="Pending"),TODAY()-A687,"")</f>
        <v/>
      </c>
    </row>
    <row r="688">
      <c r="A688" s="16" t="n"/>
      <c r="B688" s="15" t="n"/>
      <c r="C688" s="15" t="n"/>
      <c r="D688" s="17">
        <f>IF($C688="","",IFERROR(INDEX(สินค้า!$A$5:$A$204,MATCH($C688,สินค้า!$B$5:$B$204,0)),"ไม่พบสินค้า"))</f>
        <v/>
      </c>
      <c r="E688" s="17">
        <f>IF($C688="","",IFERROR(INDEX(สินค้า!$C$5:$C$204,MATCH($C688,สินค้า!$B$5:$B$204,0)),"ไม่พบสินค้า"))</f>
        <v/>
      </c>
      <c r="F688" s="17">
        <f>IF($C688="","",IFERROR(INDEX(สินค้า!$D$5:$D$204,MATCH($C688,สินค้า!$B$5:$B$204,0)),"ไม่พบสินค้า"))</f>
        <v/>
      </c>
      <c r="G688" s="15" t="n"/>
      <c r="H688" s="15" t="n"/>
      <c r="I688" s="18">
        <f>IF(AND(ISNUMBER(G688),ISNUMBER(H688),G688&gt;0),H688/G688,"")</f>
        <v/>
      </c>
      <c r="J688" s="15" t="n"/>
      <c r="K688" s="15" t="n"/>
      <c r="L688" s="17">
        <f>IF(A688="","",TEXT(A688,"yyyy-mm"))</f>
        <v/>
      </c>
      <c r="M688" s="17">
        <f>IF(AND(A688&lt;&gt;"",J688="Pending"),TODAY()-A688,"")</f>
        <v/>
      </c>
    </row>
    <row r="689">
      <c r="A689" s="16" t="n"/>
      <c r="B689" s="15" t="n"/>
      <c r="C689" s="15" t="n"/>
      <c r="D689" s="17">
        <f>IF($C689="","",IFERROR(INDEX(สินค้า!$A$5:$A$204,MATCH($C689,สินค้า!$B$5:$B$204,0)),"ไม่พบสินค้า"))</f>
        <v/>
      </c>
      <c r="E689" s="17">
        <f>IF($C689="","",IFERROR(INDEX(สินค้า!$C$5:$C$204,MATCH($C689,สินค้า!$B$5:$B$204,0)),"ไม่พบสินค้า"))</f>
        <v/>
      </c>
      <c r="F689" s="17">
        <f>IF($C689="","",IFERROR(INDEX(สินค้า!$D$5:$D$204,MATCH($C689,สินค้า!$B$5:$B$204,0)),"ไม่พบสินค้า"))</f>
        <v/>
      </c>
      <c r="G689" s="15" t="n"/>
      <c r="H689" s="15" t="n"/>
      <c r="I689" s="18">
        <f>IF(AND(ISNUMBER(G689),ISNUMBER(H689),G689&gt;0),H689/G689,"")</f>
        <v/>
      </c>
      <c r="J689" s="15" t="n"/>
      <c r="K689" s="15" t="n"/>
      <c r="L689" s="17">
        <f>IF(A689="","",TEXT(A689,"yyyy-mm"))</f>
        <v/>
      </c>
      <c r="M689" s="17">
        <f>IF(AND(A689&lt;&gt;"",J689="Pending"),TODAY()-A689,"")</f>
        <v/>
      </c>
    </row>
    <row r="690">
      <c r="A690" s="16" t="n"/>
      <c r="B690" s="15" t="n"/>
      <c r="C690" s="15" t="n"/>
      <c r="D690" s="17">
        <f>IF($C690="","",IFERROR(INDEX(สินค้า!$A$5:$A$204,MATCH($C690,สินค้า!$B$5:$B$204,0)),"ไม่พบสินค้า"))</f>
        <v/>
      </c>
      <c r="E690" s="17">
        <f>IF($C690="","",IFERROR(INDEX(สินค้า!$C$5:$C$204,MATCH($C690,สินค้า!$B$5:$B$204,0)),"ไม่พบสินค้า"))</f>
        <v/>
      </c>
      <c r="F690" s="17">
        <f>IF($C690="","",IFERROR(INDEX(สินค้า!$D$5:$D$204,MATCH($C690,สินค้า!$B$5:$B$204,0)),"ไม่พบสินค้า"))</f>
        <v/>
      </c>
      <c r="G690" s="15" t="n"/>
      <c r="H690" s="15" t="n"/>
      <c r="I690" s="18">
        <f>IF(AND(ISNUMBER(G690),ISNUMBER(H690),G690&gt;0),H690/G690,"")</f>
        <v/>
      </c>
      <c r="J690" s="15" t="n"/>
      <c r="K690" s="15" t="n"/>
      <c r="L690" s="17">
        <f>IF(A690="","",TEXT(A690,"yyyy-mm"))</f>
        <v/>
      </c>
      <c r="M690" s="17">
        <f>IF(AND(A690&lt;&gt;"",J690="Pending"),TODAY()-A690,"")</f>
        <v/>
      </c>
    </row>
    <row r="691">
      <c r="A691" s="16" t="n"/>
      <c r="B691" s="15" t="n"/>
      <c r="C691" s="15" t="n"/>
      <c r="D691" s="17">
        <f>IF($C691="","",IFERROR(INDEX(สินค้า!$A$5:$A$204,MATCH($C691,สินค้า!$B$5:$B$204,0)),"ไม่พบสินค้า"))</f>
        <v/>
      </c>
      <c r="E691" s="17">
        <f>IF($C691="","",IFERROR(INDEX(สินค้า!$C$5:$C$204,MATCH($C691,สินค้า!$B$5:$B$204,0)),"ไม่พบสินค้า"))</f>
        <v/>
      </c>
      <c r="F691" s="17">
        <f>IF($C691="","",IFERROR(INDEX(สินค้า!$D$5:$D$204,MATCH($C691,สินค้า!$B$5:$B$204,0)),"ไม่พบสินค้า"))</f>
        <v/>
      </c>
      <c r="G691" s="15" t="n"/>
      <c r="H691" s="15" t="n"/>
      <c r="I691" s="18">
        <f>IF(AND(ISNUMBER(G691),ISNUMBER(H691),G691&gt;0),H691/G691,"")</f>
        <v/>
      </c>
      <c r="J691" s="15" t="n"/>
      <c r="K691" s="15" t="n"/>
      <c r="L691" s="17">
        <f>IF(A691="","",TEXT(A691,"yyyy-mm"))</f>
        <v/>
      </c>
      <c r="M691" s="17">
        <f>IF(AND(A691&lt;&gt;"",J691="Pending"),TODAY()-A691,"")</f>
        <v/>
      </c>
    </row>
    <row r="692">
      <c r="A692" s="16" t="n"/>
      <c r="B692" s="15" t="n"/>
      <c r="C692" s="15" t="n"/>
      <c r="D692" s="17">
        <f>IF($C692="","",IFERROR(INDEX(สินค้า!$A$5:$A$204,MATCH($C692,สินค้า!$B$5:$B$204,0)),"ไม่พบสินค้า"))</f>
        <v/>
      </c>
      <c r="E692" s="17">
        <f>IF($C692="","",IFERROR(INDEX(สินค้า!$C$5:$C$204,MATCH($C692,สินค้า!$B$5:$B$204,0)),"ไม่พบสินค้า"))</f>
        <v/>
      </c>
      <c r="F692" s="17">
        <f>IF($C692="","",IFERROR(INDEX(สินค้า!$D$5:$D$204,MATCH($C692,สินค้า!$B$5:$B$204,0)),"ไม่พบสินค้า"))</f>
        <v/>
      </c>
      <c r="G692" s="15" t="n"/>
      <c r="H692" s="15" t="n"/>
      <c r="I692" s="18">
        <f>IF(AND(ISNUMBER(G692),ISNUMBER(H692),G692&gt;0),H692/G692,"")</f>
        <v/>
      </c>
      <c r="J692" s="15" t="n"/>
      <c r="K692" s="15" t="n"/>
      <c r="L692" s="17">
        <f>IF(A692="","",TEXT(A692,"yyyy-mm"))</f>
        <v/>
      </c>
      <c r="M692" s="17">
        <f>IF(AND(A692&lt;&gt;"",J692="Pending"),TODAY()-A692,"")</f>
        <v/>
      </c>
    </row>
    <row r="693">
      <c r="A693" s="16" t="n"/>
      <c r="B693" s="15" t="n"/>
      <c r="C693" s="15" t="n"/>
      <c r="D693" s="17">
        <f>IF($C693="","",IFERROR(INDEX(สินค้า!$A$5:$A$204,MATCH($C693,สินค้า!$B$5:$B$204,0)),"ไม่พบสินค้า"))</f>
        <v/>
      </c>
      <c r="E693" s="17">
        <f>IF($C693="","",IFERROR(INDEX(สินค้า!$C$5:$C$204,MATCH($C693,สินค้า!$B$5:$B$204,0)),"ไม่พบสินค้า"))</f>
        <v/>
      </c>
      <c r="F693" s="17">
        <f>IF($C693="","",IFERROR(INDEX(สินค้า!$D$5:$D$204,MATCH($C693,สินค้า!$B$5:$B$204,0)),"ไม่พบสินค้า"))</f>
        <v/>
      </c>
      <c r="G693" s="15" t="n"/>
      <c r="H693" s="15" t="n"/>
      <c r="I693" s="18">
        <f>IF(AND(ISNUMBER(G693),ISNUMBER(H693),G693&gt;0),H693/G693,"")</f>
        <v/>
      </c>
      <c r="J693" s="15" t="n"/>
      <c r="K693" s="15" t="n"/>
      <c r="L693" s="17">
        <f>IF(A693="","",TEXT(A693,"yyyy-mm"))</f>
        <v/>
      </c>
      <c r="M693" s="17">
        <f>IF(AND(A693&lt;&gt;"",J693="Pending"),TODAY()-A693,"")</f>
        <v/>
      </c>
    </row>
    <row r="694">
      <c r="A694" s="16" t="n"/>
      <c r="B694" s="15" t="n"/>
      <c r="C694" s="15" t="n"/>
      <c r="D694" s="17">
        <f>IF($C694="","",IFERROR(INDEX(สินค้า!$A$5:$A$204,MATCH($C694,สินค้า!$B$5:$B$204,0)),"ไม่พบสินค้า"))</f>
        <v/>
      </c>
      <c r="E694" s="17">
        <f>IF($C694="","",IFERROR(INDEX(สินค้า!$C$5:$C$204,MATCH($C694,สินค้า!$B$5:$B$204,0)),"ไม่พบสินค้า"))</f>
        <v/>
      </c>
      <c r="F694" s="17">
        <f>IF($C694="","",IFERROR(INDEX(สินค้า!$D$5:$D$204,MATCH($C694,สินค้า!$B$5:$B$204,0)),"ไม่พบสินค้า"))</f>
        <v/>
      </c>
      <c r="G694" s="15" t="n"/>
      <c r="H694" s="15" t="n"/>
      <c r="I694" s="18">
        <f>IF(AND(ISNUMBER(G694),ISNUMBER(H694),G694&gt;0),H694/G694,"")</f>
        <v/>
      </c>
      <c r="J694" s="15" t="n"/>
      <c r="K694" s="15" t="n"/>
      <c r="L694" s="17">
        <f>IF(A694="","",TEXT(A694,"yyyy-mm"))</f>
        <v/>
      </c>
      <c r="M694" s="17">
        <f>IF(AND(A694&lt;&gt;"",J694="Pending"),TODAY()-A694,"")</f>
        <v/>
      </c>
    </row>
    <row r="695">
      <c r="A695" s="16" t="n"/>
      <c r="B695" s="15" t="n"/>
      <c r="C695" s="15" t="n"/>
      <c r="D695" s="17">
        <f>IF($C695="","",IFERROR(INDEX(สินค้า!$A$5:$A$204,MATCH($C695,สินค้า!$B$5:$B$204,0)),"ไม่พบสินค้า"))</f>
        <v/>
      </c>
      <c r="E695" s="17">
        <f>IF($C695="","",IFERROR(INDEX(สินค้า!$C$5:$C$204,MATCH($C695,สินค้า!$B$5:$B$204,0)),"ไม่พบสินค้า"))</f>
        <v/>
      </c>
      <c r="F695" s="17">
        <f>IF($C695="","",IFERROR(INDEX(สินค้า!$D$5:$D$204,MATCH($C695,สินค้า!$B$5:$B$204,0)),"ไม่พบสินค้า"))</f>
        <v/>
      </c>
      <c r="G695" s="15" t="n"/>
      <c r="H695" s="15" t="n"/>
      <c r="I695" s="18">
        <f>IF(AND(ISNUMBER(G695),ISNUMBER(H695),G695&gt;0),H695/G695,"")</f>
        <v/>
      </c>
      <c r="J695" s="15" t="n"/>
      <c r="K695" s="15" t="n"/>
      <c r="L695" s="17">
        <f>IF(A695="","",TEXT(A695,"yyyy-mm"))</f>
        <v/>
      </c>
      <c r="M695" s="17">
        <f>IF(AND(A695&lt;&gt;"",J695="Pending"),TODAY()-A695,"")</f>
        <v/>
      </c>
    </row>
    <row r="696">
      <c r="A696" s="16" t="n"/>
      <c r="B696" s="15" t="n"/>
      <c r="C696" s="15" t="n"/>
      <c r="D696" s="17">
        <f>IF($C696="","",IFERROR(INDEX(สินค้า!$A$5:$A$204,MATCH($C696,สินค้า!$B$5:$B$204,0)),"ไม่พบสินค้า"))</f>
        <v/>
      </c>
      <c r="E696" s="17">
        <f>IF($C696="","",IFERROR(INDEX(สินค้า!$C$5:$C$204,MATCH($C696,สินค้า!$B$5:$B$204,0)),"ไม่พบสินค้า"))</f>
        <v/>
      </c>
      <c r="F696" s="17">
        <f>IF($C696="","",IFERROR(INDEX(สินค้า!$D$5:$D$204,MATCH($C696,สินค้า!$B$5:$B$204,0)),"ไม่พบสินค้า"))</f>
        <v/>
      </c>
      <c r="G696" s="15" t="n"/>
      <c r="H696" s="15" t="n"/>
      <c r="I696" s="18">
        <f>IF(AND(ISNUMBER(G696),ISNUMBER(H696),G696&gt;0),H696/G696,"")</f>
        <v/>
      </c>
      <c r="J696" s="15" t="n"/>
      <c r="K696" s="15" t="n"/>
      <c r="L696" s="17">
        <f>IF(A696="","",TEXT(A696,"yyyy-mm"))</f>
        <v/>
      </c>
      <c r="M696" s="17">
        <f>IF(AND(A696&lt;&gt;"",J696="Pending"),TODAY()-A696,"")</f>
        <v/>
      </c>
    </row>
    <row r="697">
      <c r="A697" s="16" t="n"/>
      <c r="B697" s="15" t="n"/>
      <c r="C697" s="15" t="n"/>
      <c r="D697" s="17">
        <f>IF($C697="","",IFERROR(INDEX(สินค้า!$A$5:$A$204,MATCH($C697,สินค้า!$B$5:$B$204,0)),"ไม่พบสินค้า"))</f>
        <v/>
      </c>
      <c r="E697" s="17">
        <f>IF($C697="","",IFERROR(INDEX(สินค้า!$C$5:$C$204,MATCH($C697,สินค้า!$B$5:$B$204,0)),"ไม่พบสินค้า"))</f>
        <v/>
      </c>
      <c r="F697" s="17">
        <f>IF($C697="","",IFERROR(INDEX(สินค้า!$D$5:$D$204,MATCH($C697,สินค้า!$B$5:$B$204,0)),"ไม่พบสินค้า"))</f>
        <v/>
      </c>
      <c r="G697" s="15" t="n"/>
      <c r="H697" s="15" t="n"/>
      <c r="I697" s="18">
        <f>IF(AND(ISNUMBER(G697),ISNUMBER(H697),G697&gt;0),H697/G697,"")</f>
        <v/>
      </c>
      <c r="J697" s="15" t="n"/>
      <c r="K697" s="15" t="n"/>
      <c r="L697" s="17">
        <f>IF(A697="","",TEXT(A697,"yyyy-mm"))</f>
        <v/>
      </c>
      <c r="M697" s="17">
        <f>IF(AND(A697&lt;&gt;"",J697="Pending"),TODAY()-A697,"")</f>
        <v/>
      </c>
    </row>
    <row r="698">
      <c r="A698" s="16" t="n"/>
      <c r="B698" s="15" t="n"/>
      <c r="C698" s="15" t="n"/>
      <c r="D698" s="17">
        <f>IF($C698="","",IFERROR(INDEX(สินค้า!$A$5:$A$204,MATCH($C698,สินค้า!$B$5:$B$204,0)),"ไม่พบสินค้า"))</f>
        <v/>
      </c>
      <c r="E698" s="17">
        <f>IF($C698="","",IFERROR(INDEX(สินค้า!$C$5:$C$204,MATCH($C698,สินค้า!$B$5:$B$204,0)),"ไม่พบสินค้า"))</f>
        <v/>
      </c>
      <c r="F698" s="17">
        <f>IF($C698="","",IFERROR(INDEX(สินค้า!$D$5:$D$204,MATCH($C698,สินค้า!$B$5:$B$204,0)),"ไม่พบสินค้า"))</f>
        <v/>
      </c>
      <c r="G698" s="15" t="n"/>
      <c r="H698" s="15" t="n"/>
      <c r="I698" s="18">
        <f>IF(AND(ISNUMBER(G698),ISNUMBER(H698),G698&gt;0),H698/G698,"")</f>
        <v/>
      </c>
      <c r="J698" s="15" t="n"/>
      <c r="K698" s="15" t="n"/>
      <c r="L698" s="17">
        <f>IF(A698="","",TEXT(A698,"yyyy-mm"))</f>
        <v/>
      </c>
      <c r="M698" s="17">
        <f>IF(AND(A698&lt;&gt;"",J698="Pending"),TODAY()-A698,"")</f>
        <v/>
      </c>
    </row>
    <row r="699">
      <c r="A699" s="16" t="n"/>
      <c r="B699" s="15" t="n"/>
      <c r="C699" s="15" t="n"/>
      <c r="D699" s="17">
        <f>IF($C699="","",IFERROR(INDEX(สินค้า!$A$5:$A$204,MATCH($C699,สินค้า!$B$5:$B$204,0)),"ไม่พบสินค้า"))</f>
        <v/>
      </c>
      <c r="E699" s="17">
        <f>IF($C699="","",IFERROR(INDEX(สินค้า!$C$5:$C$204,MATCH($C699,สินค้า!$B$5:$B$204,0)),"ไม่พบสินค้า"))</f>
        <v/>
      </c>
      <c r="F699" s="17">
        <f>IF($C699="","",IFERROR(INDEX(สินค้า!$D$5:$D$204,MATCH($C699,สินค้า!$B$5:$B$204,0)),"ไม่พบสินค้า"))</f>
        <v/>
      </c>
      <c r="G699" s="15" t="n"/>
      <c r="H699" s="15" t="n"/>
      <c r="I699" s="18">
        <f>IF(AND(ISNUMBER(G699),ISNUMBER(H699),G699&gt;0),H699/G699,"")</f>
        <v/>
      </c>
      <c r="J699" s="15" t="n"/>
      <c r="K699" s="15" t="n"/>
      <c r="L699" s="17">
        <f>IF(A699="","",TEXT(A699,"yyyy-mm"))</f>
        <v/>
      </c>
      <c r="M699" s="17">
        <f>IF(AND(A699&lt;&gt;"",J699="Pending"),TODAY()-A699,"")</f>
        <v/>
      </c>
    </row>
    <row r="700">
      <c r="A700" s="16" t="n"/>
      <c r="B700" s="15" t="n"/>
      <c r="C700" s="15" t="n"/>
      <c r="D700" s="17">
        <f>IF($C700="","",IFERROR(INDEX(สินค้า!$A$5:$A$204,MATCH($C700,สินค้า!$B$5:$B$204,0)),"ไม่พบสินค้า"))</f>
        <v/>
      </c>
      <c r="E700" s="17">
        <f>IF($C700="","",IFERROR(INDEX(สินค้า!$C$5:$C$204,MATCH($C700,สินค้า!$B$5:$B$204,0)),"ไม่พบสินค้า"))</f>
        <v/>
      </c>
      <c r="F700" s="17">
        <f>IF($C700="","",IFERROR(INDEX(สินค้า!$D$5:$D$204,MATCH($C700,สินค้า!$B$5:$B$204,0)),"ไม่พบสินค้า"))</f>
        <v/>
      </c>
      <c r="G700" s="15" t="n"/>
      <c r="H700" s="15" t="n"/>
      <c r="I700" s="18">
        <f>IF(AND(ISNUMBER(G700),ISNUMBER(H700),G700&gt;0),H700/G700,"")</f>
        <v/>
      </c>
      <c r="J700" s="15" t="n"/>
      <c r="K700" s="15" t="n"/>
      <c r="L700" s="17">
        <f>IF(A700="","",TEXT(A700,"yyyy-mm"))</f>
        <v/>
      </c>
      <c r="M700" s="17">
        <f>IF(AND(A700&lt;&gt;"",J700="Pending"),TODAY()-A700,"")</f>
        <v/>
      </c>
    </row>
    <row r="701">
      <c r="A701" s="16" t="n"/>
      <c r="B701" s="15" t="n"/>
      <c r="C701" s="15" t="n"/>
      <c r="D701" s="17">
        <f>IF($C701="","",IFERROR(INDEX(สินค้า!$A$5:$A$204,MATCH($C701,สินค้า!$B$5:$B$204,0)),"ไม่พบสินค้า"))</f>
        <v/>
      </c>
      <c r="E701" s="17">
        <f>IF($C701="","",IFERROR(INDEX(สินค้า!$C$5:$C$204,MATCH($C701,สินค้า!$B$5:$B$204,0)),"ไม่พบสินค้า"))</f>
        <v/>
      </c>
      <c r="F701" s="17">
        <f>IF($C701="","",IFERROR(INDEX(สินค้า!$D$5:$D$204,MATCH($C701,สินค้า!$B$5:$B$204,0)),"ไม่พบสินค้า"))</f>
        <v/>
      </c>
      <c r="G701" s="15" t="n"/>
      <c r="H701" s="15" t="n"/>
      <c r="I701" s="18">
        <f>IF(AND(ISNUMBER(G701),ISNUMBER(H701),G701&gt;0),H701/G701,"")</f>
        <v/>
      </c>
      <c r="J701" s="15" t="n"/>
      <c r="K701" s="15" t="n"/>
      <c r="L701" s="17">
        <f>IF(A701="","",TEXT(A701,"yyyy-mm"))</f>
        <v/>
      </c>
      <c r="M701" s="17">
        <f>IF(AND(A701&lt;&gt;"",J701="Pending"),TODAY()-A701,"")</f>
        <v/>
      </c>
    </row>
    <row r="702">
      <c r="A702" s="16" t="n"/>
      <c r="B702" s="15" t="n"/>
      <c r="C702" s="15" t="n"/>
      <c r="D702" s="17">
        <f>IF($C702="","",IFERROR(INDEX(สินค้า!$A$5:$A$204,MATCH($C702,สินค้า!$B$5:$B$204,0)),"ไม่พบสินค้า"))</f>
        <v/>
      </c>
      <c r="E702" s="17">
        <f>IF($C702="","",IFERROR(INDEX(สินค้า!$C$5:$C$204,MATCH($C702,สินค้า!$B$5:$B$204,0)),"ไม่พบสินค้า"))</f>
        <v/>
      </c>
      <c r="F702" s="17">
        <f>IF($C702="","",IFERROR(INDEX(สินค้า!$D$5:$D$204,MATCH($C702,สินค้า!$B$5:$B$204,0)),"ไม่พบสินค้า"))</f>
        <v/>
      </c>
      <c r="G702" s="15" t="n"/>
      <c r="H702" s="15" t="n"/>
      <c r="I702" s="18">
        <f>IF(AND(ISNUMBER(G702),ISNUMBER(H702),G702&gt;0),H702/G702,"")</f>
        <v/>
      </c>
      <c r="J702" s="15" t="n"/>
      <c r="K702" s="15" t="n"/>
      <c r="L702" s="17">
        <f>IF(A702="","",TEXT(A702,"yyyy-mm"))</f>
        <v/>
      </c>
      <c r="M702" s="17">
        <f>IF(AND(A702&lt;&gt;"",J702="Pending"),TODAY()-A702,"")</f>
        <v/>
      </c>
    </row>
    <row r="703">
      <c r="A703" s="16" t="n"/>
      <c r="B703" s="15" t="n"/>
      <c r="C703" s="15" t="n"/>
      <c r="D703" s="17">
        <f>IF($C703="","",IFERROR(INDEX(สินค้า!$A$5:$A$204,MATCH($C703,สินค้า!$B$5:$B$204,0)),"ไม่พบสินค้า"))</f>
        <v/>
      </c>
      <c r="E703" s="17">
        <f>IF($C703="","",IFERROR(INDEX(สินค้า!$C$5:$C$204,MATCH($C703,สินค้า!$B$5:$B$204,0)),"ไม่พบสินค้า"))</f>
        <v/>
      </c>
      <c r="F703" s="17">
        <f>IF($C703="","",IFERROR(INDEX(สินค้า!$D$5:$D$204,MATCH($C703,สินค้า!$B$5:$B$204,0)),"ไม่พบสินค้า"))</f>
        <v/>
      </c>
      <c r="G703" s="15" t="n"/>
      <c r="H703" s="15" t="n"/>
      <c r="I703" s="18">
        <f>IF(AND(ISNUMBER(G703),ISNUMBER(H703),G703&gt;0),H703/G703,"")</f>
        <v/>
      </c>
      <c r="J703" s="15" t="n"/>
      <c r="K703" s="15" t="n"/>
      <c r="L703" s="17">
        <f>IF(A703="","",TEXT(A703,"yyyy-mm"))</f>
        <v/>
      </c>
      <c r="M703" s="17">
        <f>IF(AND(A703&lt;&gt;"",J703="Pending"),TODAY()-A703,"")</f>
        <v/>
      </c>
    </row>
    <row r="704">
      <c r="A704" s="16" t="n"/>
      <c r="B704" s="15" t="n"/>
      <c r="C704" s="15" t="n"/>
      <c r="D704" s="17">
        <f>IF($C704="","",IFERROR(INDEX(สินค้า!$A$5:$A$204,MATCH($C704,สินค้า!$B$5:$B$204,0)),"ไม่พบสินค้า"))</f>
        <v/>
      </c>
      <c r="E704" s="17">
        <f>IF($C704="","",IFERROR(INDEX(สินค้า!$C$5:$C$204,MATCH($C704,สินค้า!$B$5:$B$204,0)),"ไม่พบสินค้า"))</f>
        <v/>
      </c>
      <c r="F704" s="17">
        <f>IF($C704="","",IFERROR(INDEX(สินค้า!$D$5:$D$204,MATCH($C704,สินค้า!$B$5:$B$204,0)),"ไม่พบสินค้า"))</f>
        <v/>
      </c>
      <c r="G704" s="15" t="n"/>
      <c r="H704" s="15" t="n"/>
      <c r="I704" s="18">
        <f>IF(AND(ISNUMBER(G704),ISNUMBER(H704),G704&gt;0),H704/G704,"")</f>
        <v/>
      </c>
      <c r="J704" s="15" t="n"/>
      <c r="K704" s="15" t="n"/>
      <c r="L704" s="17">
        <f>IF(A704="","",TEXT(A704,"yyyy-mm"))</f>
        <v/>
      </c>
      <c r="M704" s="17">
        <f>IF(AND(A704&lt;&gt;"",J704="Pending"),TODAY()-A704,"")</f>
        <v/>
      </c>
    </row>
    <row r="705">
      <c r="A705" s="16" t="n"/>
      <c r="B705" s="15" t="n"/>
      <c r="C705" s="15" t="n"/>
      <c r="D705" s="17">
        <f>IF($C705="","",IFERROR(INDEX(สินค้า!$A$5:$A$204,MATCH($C705,สินค้า!$B$5:$B$204,0)),"ไม่พบสินค้า"))</f>
        <v/>
      </c>
      <c r="E705" s="17">
        <f>IF($C705="","",IFERROR(INDEX(สินค้า!$C$5:$C$204,MATCH($C705,สินค้า!$B$5:$B$204,0)),"ไม่พบสินค้า"))</f>
        <v/>
      </c>
      <c r="F705" s="17">
        <f>IF($C705="","",IFERROR(INDEX(สินค้า!$D$5:$D$204,MATCH($C705,สินค้า!$B$5:$B$204,0)),"ไม่พบสินค้า"))</f>
        <v/>
      </c>
      <c r="G705" s="15" t="n"/>
      <c r="H705" s="15" t="n"/>
      <c r="I705" s="18">
        <f>IF(AND(ISNUMBER(G705),ISNUMBER(H705),G705&gt;0),H705/G705,"")</f>
        <v/>
      </c>
      <c r="J705" s="15" t="n"/>
      <c r="K705" s="15" t="n"/>
      <c r="L705" s="17">
        <f>IF(A705="","",TEXT(A705,"yyyy-mm"))</f>
        <v/>
      </c>
      <c r="M705" s="17">
        <f>IF(AND(A705&lt;&gt;"",J705="Pending"),TODAY()-A705,"")</f>
        <v/>
      </c>
    </row>
    <row r="706">
      <c r="A706" s="16" t="n"/>
      <c r="B706" s="15" t="n"/>
      <c r="C706" s="15" t="n"/>
      <c r="D706" s="17">
        <f>IF($C706="","",IFERROR(INDEX(สินค้า!$A$5:$A$204,MATCH($C706,สินค้า!$B$5:$B$204,0)),"ไม่พบสินค้า"))</f>
        <v/>
      </c>
      <c r="E706" s="17">
        <f>IF($C706="","",IFERROR(INDEX(สินค้า!$C$5:$C$204,MATCH($C706,สินค้า!$B$5:$B$204,0)),"ไม่พบสินค้า"))</f>
        <v/>
      </c>
      <c r="F706" s="17">
        <f>IF($C706="","",IFERROR(INDEX(สินค้า!$D$5:$D$204,MATCH($C706,สินค้า!$B$5:$B$204,0)),"ไม่พบสินค้า"))</f>
        <v/>
      </c>
      <c r="G706" s="15" t="n"/>
      <c r="H706" s="15" t="n"/>
      <c r="I706" s="18">
        <f>IF(AND(ISNUMBER(G706),ISNUMBER(H706),G706&gt;0),H706/G706,"")</f>
        <v/>
      </c>
      <c r="J706" s="15" t="n"/>
      <c r="K706" s="15" t="n"/>
      <c r="L706" s="17">
        <f>IF(A706="","",TEXT(A706,"yyyy-mm"))</f>
        <v/>
      </c>
      <c r="M706" s="17">
        <f>IF(AND(A706&lt;&gt;"",J706="Pending"),TODAY()-A706,"")</f>
        <v/>
      </c>
    </row>
    <row r="707">
      <c r="A707" s="16" t="n"/>
      <c r="B707" s="15" t="n"/>
      <c r="C707" s="15" t="n"/>
      <c r="D707" s="17">
        <f>IF($C707="","",IFERROR(INDEX(สินค้า!$A$5:$A$204,MATCH($C707,สินค้า!$B$5:$B$204,0)),"ไม่พบสินค้า"))</f>
        <v/>
      </c>
      <c r="E707" s="17">
        <f>IF($C707="","",IFERROR(INDEX(สินค้า!$C$5:$C$204,MATCH($C707,สินค้า!$B$5:$B$204,0)),"ไม่พบสินค้า"))</f>
        <v/>
      </c>
      <c r="F707" s="17">
        <f>IF($C707="","",IFERROR(INDEX(สินค้า!$D$5:$D$204,MATCH($C707,สินค้า!$B$5:$B$204,0)),"ไม่พบสินค้า"))</f>
        <v/>
      </c>
      <c r="G707" s="15" t="n"/>
      <c r="H707" s="15" t="n"/>
      <c r="I707" s="18">
        <f>IF(AND(ISNUMBER(G707),ISNUMBER(H707),G707&gt;0),H707/G707,"")</f>
        <v/>
      </c>
      <c r="J707" s="15" t="n"/>
      <c r="K707" s="15" t="n"/>
      <c r="L707" s="17">
        <f>IF(A707="","",TEXT(A707,"yyyy-mm"))</f>
        <v/>
      </c>
      <c r="M707" s="17">
        <f>IF(AND(A707&lt;&gt;"",J707="Pending"),TODAY()-A707,"")</f>
        <v/>
      </c>
    </row>
    <row r="708">
      <c r="A708" s="16" t="n"/>
      <c r="B708" s="15" t="n"/>
      <c r="C708" s="15" t="n"/>
      <c r="D708" s="17">
        <f>IF($C708="","",IFERROR(INDEX(สินค้า!$A$5:$A$204,MATCH($C708,สินค้า!$B$5:$B$204,0)),"ไม่พบสินค้า"))</f>
        <v/>
      </c>
      <c r="E708" s="17">
        <f>IF($C708="","",IFERROR(INDEX(สินค้า!$C$5:$C$204,MATCH($C708,สินค้า!$B$5:$B$204,0)),"ไม่พบสินค้า"))</f>
        <v/>
      </c>
      <c r="F708" s="17">
        <f>IF($C708="","",IFERROR(INDEX(สินค้า!$D$5:$D$204,MATCH($C708,สินค้า!$B$5:$B$204,0)),"ไม่พบสินค้า"))</f>
        <v/>
      </c>
      <c r="G708" s="15" t="n"/>
      <c r="H708" s="15" t="n"/>
      <c r="I708" s="18">
        <f>IF(AND(ISNUMBER(G708),ISNUMBER(H708),G708&gt;0),H708/G708,"")</f>
        <v/>
      </c>
      <c r="J708" s="15" t="n"/>
      <c r="K708" s="15" t="n"/>
      <c r="L708" s="17">
        <f>IF(A708="","",TEXT(A708,"yyyy-mm"))</f>
        <v/>
      </c>
      <c r="M708" s="17">
        <f>IF(AND(A708&lt;&gt;"",J708="Pending"),TODAY()-A708,"")</f>
        <v/>
      </c>
    </row>
    <row r="709">
      <c r="A709" s="16" t="n"/>
      <c r="B709" s="15" t="n"/>
      <c r="C709" s="15" t="n"/>
      <c r="D709" s="17">
        <f>IF($C709="","",IFERROR(INDEX(สินค้า!$A$5:$A$204,MATCH($C709,สินค้า!$B$5:$B$204,0)),"ไม่พบสินค้า"))</f>
        <v/>
      </c>
      <c r="E709" s="17">
        <f>IF($C709="","",IFERROR(INDEX(สินค้า!$C$5:$C$204,MATCH($C709,สินค้า!$B$5:$B$204,0)),"ไม่พบสินค้า"))</f>
        <v/>
      </c>
      <c r="F709" s="17">
        <f>IF($C709="","",IFERROR(INDEX(สินค้า!$D$5:$D$204,MATCH($C709,สินค้า!$B$5:$B$204,0)),"ไม่พบสินค้า"))</f>
        <v/>
      </c>
      <c r="G709" s="15" t="n"/>
      <c r="H709" s="15" t="n"/>
      <c r="I709" s="18">
        <f>IF(AND(ISNUMBER(G709),ISNUMBER(H709),G709&gt;0),H709/G709,"")</f>
        <v/>
      </c>
      <c r="J709" s="15" t="n"/>
      <c r="K709" s="15" t="n"/>
      <c r="L709" s="17">
        <f>IF(A709="","",TEXT(A709,"yyyy-mm"))</f>
        <v/>
      </c>
      <c r="M709" s="17">
        <f>IF(AND(A709&lt;&gt;"",J709="Pending"),TODAY()-A709,"")</f>
        <v/>
      </c>
    </row>
    <row r="710">
      <c r="A710" s="16" t="n"/>
      <c r="B710" s="15" t="n"/>
      <c r="C710" s="15" t="n"/>
      <c r="D710" s="17">
        <f>IF($C710="","",IFERROR(INDEX(สินค้า!$A$5:$A$204,MATCH($C710,สินค้า!$B$5:$B$204,0)),"ไม่พบสินค้า"))</f>
        <v/>
      </c>
      <c r="E710" s="17">
        <f>IF($C710="","",IFERROR(INDEX(สินค้า!$C$5:$C$204,MATCH($C710,สินค้า!$B$5:$B$204,0)),"ไม่พบสินค้า"))</f>
        <v/>
      </c>
      <c r="F710" s="17">
        <f>IF($C710="","",IFERROR(INDEX(สินค้า!$D$5:$D$204,MATCH($C710,สินค้า!$B$5:$B$204,0)),"ไม่พบสินค้า"))</f>
        <v/>
      </c>
      <c r="G710" s="15" t="n"/>
      <c r="H710" s="15" t="n"/>
      <c r="I710" s="18">
        <f>IF(AND(ISNUMBER(G710),ISNUMBER(H710),G710&gt;0),H710/G710,"")</f>
        <v/>
      </c>
      <c r="J710" s="15" t="n"/>
      <c r="K710" s="15" t="n"/>
      <c r="L710" s="17">
        <f>IF(A710="","",TEXT(A710,"yyyy-mm"))</f>
        <v/>
      </c>
      <c r="M710" s="17">
        <f>IF(AND(A710&lt;&gt;"",J710="Pending"),TODAY()-A710,"")</f>
        <v/>
      </c>
    </row>
    <row r="711">
      <c r="A711" s="16" t="n"/>
      <c r="B711" s="15" t="n"/>
      <c r="C711" s="15" t="n"/>
      <c r="D711" s="17">
        <f>IF($C711="","",IFERROR(INDEX(สินค้า!$A$5:$A$204,MATCH($C711,สินค้า!$B$5:$B$204,0)),"ไม่พบสินค้า"))</f>
        <v/>
      </c>
      <c r="E711" s="17">
        <f>IF($C711="","",IFERROR(INDEX(สินค้า!$C$5:$C$204,MATCH($C711,สินค้า!$B$5:$B$204,0)),"ไม่พบสินค้า"))</f>
        <v/>
      </c>
      <c r="F711" s="17">
        <f>IF($C711="","",IFERROR(INDEX(สินค้า!$D$5:$D$204,MATCH($C711,สินค้า!$B$5:$B$204,0)),"ไม่พบสินค้า"))</f>
        <v/>
      </c>
      <c r="G711" s="15" t="n"/>
      <c r="H711" s="15" t="n"/>
      <c r="I711" s="18">
        <f>IF(AND(ISNUMBER(G711),ISNUMBER(H711),G711&gt;0),H711/G711,"")</f>
        <v/>
      </c>
      <c r="J711" s="15" t="n"/>
      <c r="K711" s="15" t="n"/>
      <c r="L711" s="17">
        <f>IF(A711="","",TEXT(A711,"yyyy-mm"))</f>
        <v/>
      </c>
      <c r="M711" s="17">
        <f>IF(AND(A711&lt;&gt;"",J711="Pending"),TODAY()-A711,"")</f>
        <v/>
      </c>
    </row>
    <row r="712">
      <c r="A712" s="16" t="n"/>
      <c r="B712" s="15" t="n"/>
      <c r="C712" s="15" t="n"/>
      <c r="D712" s="17">
        <f>IF($C712="","",IFERROR(INDEX(สินค้า!$A$5:$A$204,MATCH($C712,สินค้า!$B$5:$B$204,0)),"ไม่พบสินค้า"))</f>
        <v/>
      </c>
      <c r="E712" s="17">
        <f>IF($C712="","",IFERROR(INDEX(สินค้า!$C$5:$C$204,MATCH($C712,สินค้า!$B$5:$B$204,0)),"ไม่พบสินค้า"))</f>
        <v/>
      </c>
      <c r="F712" s="17">
        <f>IF($C712="","",IFERROR(INDEX(สินค้า!$D$5:$D$204,MATCH($C712,สินค้า!$B$5:$B$204,0)),"ไม่พบสินค้า"))</f>
        <v/>
      </c>
      <c r="G712" s="15" t="n"/>
      <c r="H712" s="15" t="n"/>
      <c r="I712" s="18">
        <f>IF(AND(ISNUMBER(G712),ISNUMBER(H712),G712&gt;0),H712/G712,"")</f>
        <v/>
      </c>
      <c r="J712" s="15" t="n"/>
      <c r="K712" s="15" t="n"/>
      <c r="L712" s="17">
        <f>IF(A712="","",TEXT(A712,"yyyy-mm"))</f>
        <v/>
      </c>
      <c r="M712" s="17">
        <f>IF(AND(A712&lt;&gt;"",J712="Pending"),TODAY()-A712,"")</f>
        <v/>
      </c>
    </row>
    <row r="713">
      <c r="A713" s="16" t="n"/>
      <c r="B713" s="15" t="n"/>
      <c r="C713" s="15" t="n"/>
      <c r="D713" s="17">
        <f>IF($C713="","",IFERROR(INDEX(สินค้า!$A$5:$A$204,MATCH($C713,สินค้า!$B$5:$B$204,0)),"ไม่พบสินค้า"))</f>
        <v/>
      </c>
      <c r="E713" s="17">
        <f>IF($C713="","",IFERROR(INDEX(สินค้า!$C$5:$C$204,MATCH($C713,สินค้า!$B$5:$B$204,0)),"ไม่พบสินค้า"))</f>
        <v/>
      </c>
      <c r="F713" s="17">
        <f>IF($C713="","",IFERROR(INDEX(สินค้า!$D$5:$D$204,MATCH($C713,สินค้า!$B$5:$B$204,0)),"ไม่พบสินค้า"))</f>
        <v/>
      </c>
      <c r="G713" s="15" t="n"/>
      <c r="H713" s="15" t="n"/>
      <c r="I713" s="18">
        <f>IF(AND(ISNUMBER(G713),ISNUMBER(H713),G713&gt;0),H713/G713,"")</f>
        <v/>
      </c>
      <c r="J713" s="15" t="n"/>
      <c r="K713" s="15" t="n"/>
      <c r="L713" s="17">
        <f>IF(A713="","",TEXT(A713,"yyyy-mm"))</f>
        <v/>
      </c>
      <c r="M713" s="17">
        <f>IF(AND(A713&lt;&gt;"",J713="Pending"),TODAY()-A713,"")</f>
        <v/>
      </c>
    </row>
    <row r="714">
      <c r="A714" s="16" t="n"/>
      <c r="B714" s="15" t="n"/>
      <c r="C714" s="15" t="n"/>
      <c r="D714" s="17">
        <f>IF($C714="","",IFERROR(INDEX(สินค้า!$A$5:$A$204,MATCH($C714,สินค้า!$B$5:$B$204,0)),"ไม่พบสินค้า"))</f>
        <v/>
      </c>
      <c r="E714" s="17">
        <f>IF($C714="","",IFERROR(INDEX(สินค้า!$C$5:$C$204,MATCH($C714,สินค้า!$B$5:$B$204,0)),"ไม่พบสินค้า"))</f>
        <v/>
      </c>
      <c r="F714" s="17">
        <f>IF($C714="","",IFERROR(INDEX(สินค้า!$D$5:$D$204,MATCH($C714,สินค้า!$B$5:$B$204,0)),"ไม่พบสินค้า"))</f>
        <v/>
      </c>
      <c r="G714" s="15" t="n"/>
      <c r="H714" s="15" t="n"/>
      <c r="I714" s="18">
        <f>IF(AND(ISNUMBER(G714),ISNUMBER(H714),G714&gt;0),H714/G714,"")</f>
        <v/>
      </c>
      <c r="J714" s="15" t="n"/>
      <c r="K714" s="15" t="n"/>
      <c r="L714" s="17">
        <f>IF(A714="","",TEXT(A714,"yyyy-mm"))</f>
        <v/>
      </c>
      <c r="M714" s="17">
        <f>IF(AND(A714&lt;&gt;"",J714="Pending"),TODAY()-A714,"")</f>
        <v/>
      </c>
    </row>
    <row r="715">
      <c r="A715" s="16" t="n"/>
      <c r="B715" s="15" t="n"/>
      <c r="C715" s="15" t="n"/>
      <c r="D715" s="17">
        <f>IF($C715="","",IFERROR(INDEX(สินค้า!$A$5:$A$204,MATCH($C715,สินค้า!$B$5:$B$204,0)),"ไม่พบสินค้า"))</f>
        <v/>
      </c>
      <c r="E715" s="17">
        <f>IF($C715="","",IFERROR(INDEX(สินค้า!$C$5:$C$204,MATCH($C715,สินค้า!$B$5:$B$204,0)),"ไม่พบสินค้า"))</f>
        <v/>
      </c>
      <c r="F715" s="17">
        <f>IF($C715="","",IFERROR(INDEX(สินค้า!$D$5:$D$204,MATCH($C715,สินค้า!$B$5:$B$204,0)),"ไม่พบสินค้า"))</f>
        <v/>
      </c>
      <c r="G715" s="15" t="n"/>
      <c r="H715" s="15" t="n"/>
      <c r="I715" s="18">
        <f>IF(AND(ISNUMBER(G715),ISNUMBER(H715),G715&gt;0),H715/G715,"")</f>
        <v/>
      </c>
      <c r="J715" s="15" t="n"/>
      <c r="K715" s="15" t="n"/>
      <c r="L715" s="17">
        <f>IF(A715="","",TEXT(A715,"yyyy-mm"))</f>
        <v/>
      </c>
      <c r="M715" s="17">
        <f>IF(AND(A715&lt;&gt;"",J715="Pending"),TODAY()-A715,"")</f>
        <v/>
      </c>
    </row>
    <row r="716">
      <c r="A716" s="16" t="n"/>
      <c r="B716" s="15" t="n"/>
      <c r="C716" s="15" t="n"/>
      <c r="D716" s="17">
        <f>IF($C716="","",IFERROR(INDEX(สินค้า!$A$5:$A$204,MATCH($C716,สินค้า!$B$5:$B$204,0)),"ไม่พบสินค้า"))</f>
        <v/>
      </c>
      <c r="E716" s="17">
        <f>IF($C716="","",IFERROR(INDEX(สินค้า!$C$5:$C$204,MATCH($C716,สินค้า!$B$5:$B$204,0)),"ไม่พบสินค้า"))</f>
        <v/>
      </c>
      <c r="F716" s="17">
        <f>IF($C716="","",IFERROR(INDEX(สินค้า!$D$5:$D$204,MATCH($C716,สินค้า!$B$5:$B$204,0)),"ไม่พบสินค้า"))</f>
        <v/>
      </c>
      <c r="G716" s="15" t="n"/>
      <c r="H716" s="15" t="n"/>
      <c r="I716" s="18">
        <f>IF(AND(ISNUMBER(G716),ISNUMBER(H716),G716&gt;0),H716/G716,"")</f>
        <v/>
      </c>
      <c r="J716" s="15" t="n"/>
      <c r="K716" s="15" t="n"/>
      <c r="L716" s="17">
        <f>IF(A716="","",TEXT(A716,"yyyy-mm"))</f>
        <v/>
      </c>
      <c r="M716" s="17">
        <f>IF(AND(A716&lt;&gt;"",J716="Pending"),TODAY()-A716,"")</f>
        <v/>
      </c>
    </row>
    <row r="717">
      <c r="A717" s="16" t="n"/>
      <c r="B717" s="15" t="n"/>
      <c r="C717" s="15" t="n"/>
      <c r="D717" s="17">
        <f>IF($C717="","",IFERROR(INDEX(สินค้า!$A$5:$A$204,MATCH($C717,สินค้า!$B$5:$B$204,0)),"ไม่พบสินค้า"))</f>
        <v/>
      </c>
      <c r="E717" s="17">
        <f>IF($C717="","",IFERROR(INDEX(สินค้า!$C$5:$C$204,MATCH($C717,สินค้า!$B$5:$B$204,0)),"ไม่พบสินค้า"))</f>
        <v/>
      </c>
      <c r="F717" s="17">
        <f>IF($C717="","",IFERROR(INDEX(สินค้า!$D$5:$D$204,MATCH($C717,สินค้า!$B$5:$B$204,0)),"ไม่พบสินค้า"))</f>
        <v/>
      </c>
      <c r="G717" s="15" t="n"/>
      <c r="H717" s="15" t="n"/>
      <c r="I717" s="18">
        <f>IF(AND(ISNUMBER(G717),ISNUMBER(H717),G717&gt;0),H717/G717,"")</f>
        <v/>
      </c>
      <c r="J717" s="15" t="n"/>
      <c r="K717" s="15" t="n"/>
      <c r="L717" s="17">
        <f>IF(A717="","",TEXT(A717,"yyyy-mm"))</f>
        <v/>
      </c>
      <c r="M717" s="17">
        <f>IF(AND(A717&lt;&gt;"",J717="Pending"),TODAY()-A717,"")</f>
        <v/>
      </c>
    </row>
    <row r="718">
      <c r="A718" s="16" t="n"/>
      <c r="B718" s="15" t="n"/>
      <c r="C718" s="15" t="n"/>
      <c r="D718" s="17">
        <f>IF($C718="","",IFERROR(INDEX(สินค้า!$A$5:$A$204,MATCH($C718,สินค้า!$B$5:$B$204,0)),"ไม่พบสินค้า"))</f>
        <v/>
      </c>
      <c r="E718" s="17">
        <f>IF($C718="","",IFERROR(INDEX(สินค้า!$C$5:$C$204,MATCH($C718,สินค้า!$B$5:$B$204,0)),"ไม่พบสินค้า"))</f>
        <v/>
      </c>
      <c r="F718" s="17">
        <f>IF($C718="","",IFERROR(INDEX(สินค้า!$D$5:$D$204,MATCH($C718,สินค้า!$B$5:$B$204,0)),"ไม่พบสินค้า"))</f>
        <v/>
      </c>
      <c r="G718" s="15" t="n"/>
      <c r="H718" s="15" t="n"/>
      <c r="I718" s="18">
        <f>IF(AND(ISNUMBER(G718),ISNUMBER(H718),G718&gt;0),H718/G718,"")</f>
        <v/>
      </c>
      <c r="J718" s="15" t="n"/>
      <c r="K718" s="15" t="n"/>
      <c r="L718" s="17">
        <f>IF(A718="","",TEXT(A718,"yyyy-mm"))</f>
        <v/>
      </c>
      <c r="M718" s="17">
        <f>IF(AND(A718&lt;&gt;"",J718="Pending"),TODAY()-A718,"")</f>
        <v/>
      </c>
    </row>
    <row r="719">
      <c r="A719" s="16" t="n"/>
      <c r="B719" s="15" t="n"/>
      <c r="C719" s="15" t="n"/>
      <c r="D719" s="17">
        <f>IF($C719="","",IFERROR(INDEX(สินค้า!$A$5:$A$204,MATCH($C719,สินค้า!$B$5:$B$204,0)),"ไม่พบสินค้า"))</f>
        <v/>
      </c>
      <c r="E719" s="17">
        <f>IF($C719="","",IFERROR(INDEX(สินค้า!$C$5:$C$204,MATCH($C719,สินค้า!$B$5:$B$204,0)),"ไม่พบสินค้า"))</f>
        <v/>
      </c>
      <c r="F719" s="17">
        <f>IF($C719="","",IFERROR(INDEX(สินค้า!$D$5:$D$204,MATCH($C719,สินค้า!$B$5:$B$204,0)),"ไม่พบสินค้า"))</f>
        <v/>
      </c>
      <c r="G719" s="15" t="n"/>
      <c r="H719" s="15" t="n"/>
      <c r="I719" s="18">
        <f>IF(AND(ISNUMBER(G719),ISNUMBER(H719),G719&gt;0),H719/G719,"")</f>
        <v/>
      </c>
      <c r="J719" s="15" t="n"/>
      <c r="K719" s="15" t="n"/>
      <c r="L719" s="17">
        <f>IF(A719="","",TEXT(A719,"yyyy-mm"))</f>
        <v/>
      </c>
      <c r="M719" s="17">
        <f>IF(AND(A719&lt;&gt;"",J719="Pending"),TODAY()-A719,"")</f>
        <v/>
      </c>
    </row>
    <row r="720">
      <c r="A720" s="16" t="n"/>
      <c r="B720" s="15" t="n"/>
      <c r="C720" s="15" t="n"/>
      <c r="D720" s="17">
        <f>IF($C720="","",IFERROR(INDEX(สินค้า!$A$5:$A$204,MATCH($C720,สินค้า!$B$5:$B$204,0)),"ไม่พบสินค้า"))</f>
        <v/>
      </c>
      <c r="E720" s="17">
        <f>IF($C720="","",IFERROR(INDEX(สินค้า!$C$5:$C$204,MATCH($C720,สินค้า!$B$5:$B$204,0)),"ไม่พบสินค้า"))</f>
        <v/>
      </c>
      <c r="F720" s="17">
        <f>IF($C720="","",IFERROR(INDEX(สินค้า!$D$5:$D$204,MATCH($C720,สินค้า!$B$5:$B$204,0)),"ไม่พบสินค้า"))</f>
        <v/>
      </c>
      <c r="G720" s="15" t="n"/>
      <c r="H720" s="15" t="n"/>
      <c r="I720" s="18">
        <f>IF(AND(ISNUMBER(G720),ISNUMBER(H720),G720&gt;0),H720/G720,"")</f>
        <v/>
      </c>
      <c r="J720" s="15" t="n"/>
      <c r="K720" s="15" t="n"/>
      <c r="L720" s="17">
        <f>IF(A720="","",TEXT(A720,"yyyy-mm"))</f>
        <v/>
      </c>
      <c r="M720" s="17">
        <f>IF(AND(A720&lt;&gt;"",J720="Pending"),TODAY()-A720,"")</f>
        <v/>
      </c>
    </row>
    <row r="721">
      <c r="A721" s="16" t="n"/>
      <c r="B721" s="15" t="n"/>
      <c r="C721" s="15" t="n"/>
      <c r="D721" s="17">
        <f>IF($C721="","",IFERROR(INDEX(สินค้า!$A$5:$A$204,MATCH($C721,สินค้า!$B$5:$B$204,0)),"ไม่พบสินค้า"))</f>
        <v/>
      </c>
      <c r="E721" s="17">
        <f>IF($C721="","",IFERROR(INDEX(สินค้า!$C$5:$C$204,MATCH($C721,สินค้า!$B$5:$B$204,0)),"ไม่พบสินค้า"))</f>
        <v/>
      </c>
      <c r="F721" s="17">
        <f>IF($C721="","",IFERROR(INDEX(สินค้า!$D$5:$D$204,MATCH($C721,สินค้า!$B$5:$B$204,0)),"ไม่พบสินค้า"))</f>
        <v/>
      </c>
      <c r="G721" s="15" t="n"/>
      <c r="H721" s="15" t="n"/>
      <c r="I721" s="18">
        <f>IF(AND(ISNUMBER(G721),ISNUMBER(H721),G721&gt;0),H721/G721,"")</f>
        <v/>
      </c>
      <c r="J721" s="15" t="n"/>
      <c r="K721" s="15" t="n"/>
      <c r="L721" s="17">
        <f>IF(A721="","",TEXT(A721,"yyyy-mm"))</f>
        <v/>
      </c>
      <c r="M721" s="17">
        <f>IF(AND(A721&lt;&gt;"",J721="Pending"),TODAY()-A721,"")</f>
        <v/>
      </c>
    </row>
    <row r="722">
      <c r="A722" s="16" t="n"/>
      <c r="B722" s="15" t="n"/>
      <c r="C722" s="15" t="n"/>
      <c r="D722" s="17">
        <f>IF($C722="","",IFERROR(INDEX(สินค้า!$A$5:$A$204,MATCH($C722,สินค้า!$B$5:$B$204,0)),"ไม่พบสินค้า"))</f>
        <v/>
      </c>
      <c r="E722" s="17">
        <f>IF($C722="","",IFERROR(INDEX(สินค้า!$C$5:$C$204,MATCH($C722,สินค้า!$B$5:$B$204,0)),"ไม่พบสินค้า"))</f>
        <v/>
      </c>
      <c r="F722" s="17">
        <f>IF($C722="","",IFERROR(INDEX(สินค้า!$D$5:$D$204,MATCH($C722,สินค้า!$B$5:$B$204,0)),"ไม่พบสินค้า"))</f>
        <v/>
      </c>
      <c r="G722" s="15" t="n"/>
      <c r="H722" s="15" t="n"/>
      <c r="I722" s="18">
        <f>IF(AND(ISNUMBER(G722),ISNUMBER(H722),G722&gt;0),H722/G722,"")</f>
        <v/>
      </c>
      <c r="J722" s="15" t="n"/>
      <c r="K722" s="15" t="n"/>
      <c r="L722" s="17">
        <f>IF(A722="","",TEXT(A722,"yyyy-mm"))</f>
        <v/>
      </c>
      <c r="M722" s="17">
        <f>IF(AND(A722&lt;&gt;"",J722="Pending"),TODAY()-A722,"")</f>
        <v/>
      </c>
    </row>
    <row r="723">
      <c r="A723" s="16" t="n"/>
      <c r="B723" s="15" t="n"/>
      <c r="C723" s="15" t="n"/>
      <c r="D723" s="17">
        <f>IF($C723="","",IFERROR(INDEX(สินค้า!$A$5:$A$204,MATCH($C723,สินค้า!$B$5:$B$204,0)),"ไม่พบสินค้า"))</f>
        <v/>
      </c>
      <c r="E723" s="17">
        <f>IF($C723="","",IFERROR(INDEX(สินค้า!$C$5:$C$204,MATCH($C723,สินค้า!$B$5:$B$204,0)),"ไม่พบสินค้า"))</f>
        <v/>
      </c>
      <c r="F723" s="17">
        <f>IF($C723="","",IFERROR(INDEX(สินค้า!$D$5:$D$204,MATCH($C723,สินค้า!$B$5:$B$204,0)),"ไม่พบสินค้า"))</f>
        <v/>
      </c>
      <c r="G723" s="15" t="n"/>
      <c r="H723" s="15" t="n"/>
      <c r="I723" s="18">
        <f>IF(AND(ISNUMBER(G723),ISNUMBER(H723),G723&gt;0),H723/G723,"")</f>
        <v/>
      </c>
      <c r="J723" s="15" t="n"/>
      <c r="K723" s="15" t="n"/>
      <c r="L723" s="17">
        <f>IF(A723="","",TEXT(A723,"yyyy-mm"))</f>
        <v/>
      </c>
      <c r="M723" s="17">
        <f>IF(AND(A723&lt;&gt;"",J723="Pending"),TODAY()-A723,"")</f>
        <v/>
      </c>
    </row>
    <row r="724">
      <c r="A724" s="16" t="n"/>
      <c r="B724" s="15" t="n"/>
      <c r="C724" s="15" t="n"/>
      <c r="D724" s="17">
        <f>IF($C724="","",IFERROR(INDEX(สินค้า!$A$5:$A$204,MATCH($C724,สินค้า!$B$5:$B$204,0)),"ไม่พบสินค้า"))</f>
        <v/>
      </c>
      <c r="E724" s="17">
        <f>IF($C724="","",IFERROR(INDEX(สินค้า!$C$5:$C$204,MATCH($C724,สินค้า!$B$5:$B$204,0)),"ไม่พบสินค้า"))</f>
        <v/>
      </c>
      <c r="F724" s="17">
        <f>IF($C724="","",IFERROR(INDEX(สินค้า!$D$5:$D$204,MATCH($C724,สินค้า!$B$5:$B$204,0)),"ไม่พบสินค้า"))</f>
        <v/>
      </c>
      <c r="G724" s="15" t="n"/>
      <c r="H724" s="15" t="n"/>
      <c r="I724" s="18">
        <f>IF(AND(ISNUMBER(G724),ISNUMBER(H724),G724&gt;0),H724/G724,"")</f>
        <v/>
      </c>
      <c r="J724" s="15" t="n"/>
      <c r="K724" s="15" t="n"/>
      <c r="L724" s="17">
        <f>IF(A724="","",TEXT(A724,"yyyy-mm"))</f>
        <v/>
      </c>
      <c r="M724" s="17">
        <f>IF(AND(A724&lt;&gt;"",J724="Pending"),TODAY()-A724,"")</f>
        <v/>
      </c>
    </row>
    <row r="725">
      <c r="A725" s="16" t="n"/>
      <c r="B725" s="15" t="n"/>
      <c r="C725" s="15" t="n"/>
      <c r="D725" s="17">
        <f>IF($C725="","",IFERROR(INDEX(สินค้า!$A$5:$A$204,MATCH($C725,สินค้า!$B$5:$B$204,0)),"ไม่พบสินค้า"))</f>
        <v/>
      </c>
      <c r="E725" s="17">
        <f>IF($C725="","",IFERROR(INDEX(สินค้า!$C$5:$C$204,MATCH($C725,สินค้า!$B$5:$B$204,0)),"ไม่พบสินค้า"))</f>
        <v/>
      </c>
      <c r="F725" s="17">
        <f>IF($C725="","",IFERROR(INDEX(สินค้า!$D$5:$D$204,MATCH($C725,สินค้า!$B$5:$B$204,0)),"ไม่พบสินค้า"))</f>
        <v/>
      </c>
      <c r="G725" s="15" t="n"/>
      <c r="H725" s="15" t="n"/>
      <c r="I725" s="18">
        <f>IF(AND(ISNUMBER(G725),ISNUMBER(H725),G725&gt;0),H725/G725,"")</f>
        <v/>
      </c>
      <c r="J725" s="15" t="n"/>
      <c r="K725" s="15" t="n"/>
      <c r="L725" s="17">
        <f>IF(A725="","",TEXT(A725,"yyyy-mm"))</f>
        <v/>
      </c>
      <c r="M725" s="17">
        <f>IF(AND(A725&lt;&gt;"",J725="Pending"),TODAY()-A725,"")</f>
        <v/>
      </c>
    </row>
    <row r="726">
      <c r="A726" s="16" t="n"/>
      <c r="B726" s="15" t="n"/>
      <c r="C726" s="15" t="n"/>
      <c r="D726" s="17">
        <f>IF($C726="","",IFERROR(INDEX(สินค้า!$A$5:$A$204,MATCH($C726,สินค้า!$B$5:$B$204,0)),"ไม่พบสินค้า"))</f>
        <v/>
      </c>
      <c r="E726" s="17">
        <f>IF($C726="","",IFERROR(INDEX(สินค้า!$C$5:$C$204,MATCH($C726,สินค้า!$B$5:$B$204,0)),"ไม่พบสินค้า"))</f>
        <v/>
      </c>
      <c r="F726" s="17">
        <f>IF($C726="","",IFERROR(INDEX(สินค้า!$D$5:$D$204,MATCH($C726,สินค้า!$B$5:$B$204,0)),"ไม่พบสินค้า"))</f>
        <v/>
      </c>
      <c r="G726" s="15" t="n"/>
      <c r="H726" s="15" t="n"/>
      <c r="I726" s="18">
        <f>IF(AND(ISNUMBER(G726),ISNUMBER(H726),G726&gt;0),H726/G726,"")</f>
        <v/>
      </c>
      <c r="J726" s="15" t="n"/>
      <c r="K726" s="15" t="n"/>
      <c r="L726" s="17">
        <f>IF(A726="","",TEXT(A726,"yyyy-mm"))</f>
        <v/>
      </c>
      <c r="M726" s="17">
        <f>IF(AND(A726&lt;&gt;"",J726="Pending"),TODAY()-A726,"")</f>
        <v/>
      </c>
    </row>
    <row r="727">
      <c r="A727" s="16" t="n"/>
      <c r="B727" s="15" t="n"/>
      <c r="C727" s="15" t="n"/>
      <c r="D727" s="17">
        <f>IF($C727="","",IFERROR(INDEX(สินค้า!$A$5:$A$204,MATCH($C727,สินค้า!$B$5:$B$204,0)),"ไม่พบสินค้า"))</f>
        <v/>
      </c>
      <c r="E727" s="17">
        <f>IF($C727="","",IFERROR(INDEX(สินค้า!$C$5:$C$204,MATCH($C727,สินค้า!$B$5:$B$204,0)),"ไม่พบสินค้า"))</f>
        <v/>
      </c>
      <c r="F727" s="17">
        <f>IF($C727="","",IFERROR(INDEX(สินค้า!$D$5:$D$204,MATCH($C727,สินค้า!$B$5:$B$204,0)),"ไม่พบสินค้า"))</f>
        <v/>
      </c>
      <c r="G727" s="15" t="n"/>
      <c r="H727" s="15" t="n"/>
      <c r="I727" s="18">
        <f>IF(AND(ISNUMBER(G727),ISNUMBER(H727),G727&gt;0),H727/G727,"")</f>
        <v/>
      </c>
      <c r="J727" s="15" t="n"/>
      <c r="K727" s="15" t="n"/>
      <c r="L727" s="17">
        <f>IF(A727="","",TEXT(A727,"yyyy-mm"))</f>
        <v/>
      </c>
      <c r="M727" s="17">
        <f>IF(AND(A727&lt;&gt;"",J727="Pending"),TODAY()-A727,"")</f>
        <v/>
      </c>
    </row>
    <row r="728">
      <c r="A728" s="16" t="n"/>
      <c r="B728" s="15" t="n"/>
      <c r="C728" s="15" t="n"/>
      <c r="D728" s="17">
        <f>IF($C728="","",IFERROR(INDEX(สินค้า!$A$5:$A$204,MATCH($C728,สินค้า!$B$5:$B$204,0)),"ไม่พบสินค้า"))</f>
        <v/>
      </c>
      <c r="E728" s="17">
        <f>IF($C728="","",IFERROR(INDEX(สินค้า!$C$5:$C$204,MATCH($C728,สินค้า!$B$5:$B$204,0)),"ไม่พบสินค้า"))</f>
        <v/>
      </c>
      <c r="F728" s="17">
        <f>IF($C728="","",IFERROR(INDEX(สินค้า!$D$5:$D$204,MATCH($C728,สินค้า!$B$5:$B$204,0)),"ไม่พบสินค้า"))</f>
        <v/>
      </c>
      <c r="G728" s="15" t="n"/>
      <c r="H728" s="15" t="n"/>
      <c r="I728" s="18">
        <f>IF(AND(ISNUMBER(G728),ISNUMBER(H728),G728&gt;0),H728/G728,"")</f>
        <v/>
      </c>
      <c r="J728" s="15" t="n"/>
      <c r="K728" s="15" t="n"/>
      <c r="L728" s="17">
        <f>IF(A728="","",TEXT(A728,"yyyy-mm"))</f>
        <v/>
      </c>
      <c r="M728" s="17">
        <f>IF(AND(A728&lt;&gt;"",J728="Pending"),TODAY()-A728,"")</f>
        <v/>
      </c>
    </row>
    <row r="729">
      <c r="A729" s="16" t="n"/>
      <c r="B729" s="15" t="n"/>
      <c r="C729" s="15" t="n"/>
      <c r="D729" s="17">
        <f>IF($C729="","",IFERROR(INDEX(สินค้า!$A$5:$A$204,MATCH($C729,สินค้า!$B$5:$B$204,0)),"ไม่พบสินค้า"))</f>
        <v/>
      </c>
      <c r="E729" s="17">
        <f>IF($C729="","",IFERROR(INDEX(สินค้า!$C$5:$C$204,MATCH($C729,สินค้า!$B$5:$B$204,0)),"ไม่พบสินค้า"))</f>
        <v/>
      </c>
      <c r="F729" s="17">
        <f>IF($C729="","",IFERROR(INDEX(สินค้า!$D$5:$D$204,MATCH($C729,สินค้า!$B$5:$B$204,0)),"ไม่พบสินค้า"))</f>
        <v/>
      </c>
      <c r="G729" s="15" t="n"/>
      <c r="H729" s="15" t="n"/>
      <c r="I729" s="18">
        <f>IF(AND(ISNUMBER(G729),ISNUMBER(H729),G729&gt;0),H729/G729,"")</f>
        <v/>
      </c>
      <c r="J729" s="15" t="n"/>
      <c r="K729" s="15" t="n"/>
      <c r="L729" s="17">
        <f>IF(A729="","",TEXT(A729,"yyyy-mm"))</f>
        <v/>
      </c>
      <c r="M729" s="17">
        <f>IF(AND(A729&lt;&gt;"",J729="Pending"),TODAY()-A729,"")</f>
        <v/>
      </c>
    </row>
    <row r="730">
      <c r="A730" s="16" t="n"/>
      <c r="B730" s="15" t="n"/>
      <c r="C730" s="15" t="n"/>
      <c r="D730" s="17">
        <f>IF($C730="","",IFERROR(INDEX(สินค้า!$A$5:$A$204,MATCH($C730,สินค้า!$B$5:$B$204,0)),"ไม่พบสินค้า"))</f>
        <v/>
      </c>
      <c r="E730" s="17">
        <f>IF($C730="","",IFERROR(INDEX(สินค้า!$C$5:$C$204,MATCH($C730,สินค้า!$B$5:$B$204,0)),"ไม่พบสินค้า"))</f>
        <v/>
      </c>
      <c r="F730" s="17">
        <f>IF($C730="","",IFERROR(INDEX(สินค้า!$D$5:$D$204,MATCH($C730,สินค้า!$B$5:$B$204,0)),"ไม่พบสินค้า"))</f>
        <v/>
      </c>
      <c r="G730" s="15" t="n"/>
      <c r="H730" s="15" t="n"/>
      <c r="I730" s="18">
        <f>IF(AND(ISNUMBER(G730),ISNUMBER(H730),G730&gt;0),H730/G730,"")</f>
        <v/>
      </c>
      <c r="J730" s="15" t="n"/>
      <c r="K730" s="15" t="n"/>
      <c r="L730" s="17">
        <f>IF(A730="","",TEXT(A730,"yyyy-mm"))</f>
        <v/>
      </c>
      <c r="M730" s="17">
        <f>IF(AND(A730&lt;&gt;"",J730="Pending"),TODAY()-A730,"")</f>
        <v/>
      </c>
    </row>
    <row r="731">
      <c r="A731" s="16" t="n"/>
      <c r="B731" s="15" t="n"/>
      <c r="C731" s="15" t="n"/>
      <c r="D731" s="17">
        <f>IF($C731="","",IFERROR(INDEX(สินค้า!$A$5:$A$204,MATCH($C731,สินค้า!$B$5:$B$204,0)),"ไม่พบสินค้า"))</f>
        <v/>
      </c>
      <c r="E731" s="17">
        <f>IF($C731="","",IFERROR(INDEX(สินค้า!$C$5:$C$204,MATCH($C731,สินค้า!$B$5:$B$204,0)),"ไม่พบสินค้า"))</f>
        <v/>
      </c>
      <c r="F731" s="17">
        <f>IF($C731="","",IFERROR(INDEX(สินค้า!$D$5:$D$204,MATCH($C731,สินค้า!$B$5:$B$204,0)),"ไม่พบสินค้า"))</f>
        <v/>
      </c>
      <c r="G731" s="15" t="n"/>
      <c r="H731" s="15" t="n"/>
      <c r="I731" s="18">
        <f>IF(AND(ISNUMBER(G731),ISNUMBER(H731),G731&gt;0),H731/G731,"")</f>
        <v/>
      </c>
      <c r="J731" s="15" t="n"/>
      <c r="K731" s="15" t="n"/>
      <c r="L731" s="17">
        <f>IF(A731="","",TEXT(A731,"yyyy-mm"))</f>
        <v/>
      </c>
      <c r="M731" s="17">
        <f>IF(AND(A731&lt;&gt;"",J731="Pending"),TODAY()-A731,"")</f>
        <v/>
      </c>
    </row>
    <row r="732">
      <c r="A732" s="16" t="n"/>
      <c r="B732" s="15" t="n"/>
      <c r="C732" s="15" t="n"/>
      <c r="D732" s="17">
        <f>IF($C732="","",IFERROR(INDEX(สินค้า!$A$5:$A$204,MATCH($C732,สินค้า!$B$5:$B$204,0)),"ไม่พบสินค้า"))</f>
        <v/>
      </c>
      <c r="E732" s="17">
        <f>IF($C732="","",IFERROR(INDEX(สินค้า!$C$5:$C$204,MATCH($C732,สินค้า!$B$5:$B$204,0)),"ไม่พบสินค้า"))</f>
        <v/>
      </c>
      <c r="F732" s="17">
        <f>IF($C732="","",IFERROR(INDEX(สินค้า!$D$5:$D$204,MATCH($C732,สินค้า!$B$5:$B$204,0)),"ไม่พบสินค้า"))</f>
        <v/>
      </c>
      <c r="G732" s="15" t="n"/>
      <c r="H732" s="15" t="n"/>
      <c r="I732" s="18">
        <f>IF(AND(ISNUMBER(G732),ISNUMBER(H732),G732&gt;0),H732/G732,"")</f>
        <v/>
      </c>
      <c r="J732" s="15" t="n"/>
      <c r="K732" s="15" t="n"/>
      <c r="L732" s="17">
        <f>IF(A732="","",TEXT(A732,"yyyy-mm"))</f>
        <v/>
      </c>
      <c r="M732" s="17">
        <f>IF(AND(A732&lt;&gt;"",J732="Pending"),TODAY()-A732,"")</f>
        <v/>
      </c>
    </row>
    <row r="733">
      <c r="A733" s="16" t="n"/>
      <c r="B733" s="15" t="n"/>
      <c r="C733" s="15" t="n"/>
      <c r="D733" s="17">
        <f>IF($C733="","",IFERROR(INDEX(สินค้า!$A$5:$A$204,MATCH($C733,สินค้า!$B$5:$B$204,0)),"ไม่พบสินค้า"))</f>
        <v/>
      </c>
      <c r="E733" s="17">
        <f>IF($C733="","",IFERROR(INDEX(สินค้า!$C$5:$C$204,MATCH($C733,สินค้า!$B$5:$B$204,0)),"ไม่พบสินค้า"))</f>
        <v/>
      </c>
      <c r="F733" s="17">
        <f>IF($C733="","",IFERROR(INDEX(สินค้า!$D$5:$D$204,MATCH($C733,สินค้า!$B$5:$B$204,0)),"ไม่พบสินค้า"))</f>
        <v/>
      </c>
      <c r="G733" s="15" t="n"/>
      <c r="H733" s="15" t="n"/>
      <c r="I733" s="18">
        <f>IF(AND(ISNUMBER(G733),ISNUMBER(H733),G733&gt;0),H733/G733,"")</f>
        <v/>
      </c>
      <c r="J733" s="15" t="n"/>
      <c r="K733" s="15" t="n"/>
      <c r="L733" s="17">
        <f>IF(A733="","",TEXT(A733,"yyyy-mm"))</f>
        <v/>
      </c>
      <c r="M733" s="17">
        <f>IF(AND(A733&lt;&gt;"",J733="Pending"),TODAY()-A733,"")</f>
        <v/>
      </c>
    </row>
    <row r="734">
      <c r="A734" s="16" t="n"/>
      <c r="B734" s="15" t="n"/>
      <c r="C734" s="15" t="n"/>
      <c r="D734" s="17">
        <f>IF($C734="","",IFERROR(INDEX(สินค้า!$A$5:$A$204,MATCH($C734,สินค้า!$B$5:$B$204,0)),"ไม่พบสินค้า"))</f>
        <v/>
      </c>
      <c r="E734" s="17">
        <f>IF($C734="","",IFERROR(INDEX(สินค้า!$C$5:$C$204,MATCH($C734,สินค้า!$B$5:$B$204,0)),"ไม่พบสินค้า"))</f>
        <v/>
      </c>
      <c r="F734" s="17">
        <f>IF($C734="","",IFERROR(INDEX(สินค้า!$D$5:$D$204,MATCH($C734,สินค้า!$B$5:$B$204,0)),"ไม่พบสินค้า"))</f>
        <v/>
      </c>
      <c r="G734" s="15" t="n"/>
      <c r="H734" s="15" t="n"/>
      <c r="I734" s="18">
        <f>IF(AND(ISNUMBER(G734),ISNUMBER(H734),G734&gt;0),H734/G734,"")</f>
        <v/>
      </c>
      <c r="J734" s="15" t="n"/>
      <c r="K734" s="15" t="n"/>
      <c r="L734" s="17">
        <f>IF(A734="","",TEXT(A734,"yyyy-mm"))</f>
        <v/>
      </c>
      <c r="M734" s="17">
        <f>IF(AND(A734&lt;&gt;"",J734="Pending"),TODAY()-A734,"")</f>
        <v/>
      </c>
    </row>
    <row r="735">
      <c r="A735" s="16" t="n"/>
      <c r="B735" s="15" t="n"/>
      <c r="C735" s="15" t="n"/>
      <c r="D735" s="17">
        <f>IF($C735="","",IFERROR(INDEX(สินค้า!$A$5:$A$204,MATCH($C735,สินค้า!$B$5:$B$204,0)),"ไม่พบสินค้า"))</f>
        <v/>
      </c>
      <c r="E735" s="17">
        <f>IF($C735="","",IFERROR(INDEX(สินค้า!$C$5:$C$204,MATCH($C735,สินค้า!$B$5:$B$204,0)),"ไม่พบสินค้า"))</f>
        <v/>
      </c>
      <c r="F735" s="17">
        <f>IF($C735="","",IFERROR(INDEX(สินค้า!$D$5:$D$204,MATCH($C735,สินค้า!$B$5:$B$204,0)),"ไม่พบสินค้า"))</f>
        <v/>
      </c>
      <c r="G735" s="15" t="n"/>
      <c r="H735" s="15" t="n"/>
      <c r="I735" s="18">
        <f>IF(AND(ISNUMBER(G735),ISNUMBER(H735),G735&gt;0),H735/G735,"")</f>
        <v/>
      </c>
      <c r="J735" s="15" t="n"/>
      <c r="K735" s="15" t="n"/>
      <c r="L735" s="17">
        <f>IF(A735="","",TEXT(A735,"yyyy-mm"))</f>
        <v/>
      </c>
      <c r="M735" s="17">
        <f>IF(AND(A735&lt;&gt;"",J735="Pending"),TODAY()-A735,"")</f>
        <v/>
      </c>
    </row>
    <row r="736">
      <c r="A736" s="16" t="n"/>
      <c r="B736" s="15" t="n"/>
      <c r="C736" s="15" t="n"/>
      <c r="D736" s="17">
        <f>IF($C736="","",IFERROR(INDEX(สินค้า!$A$5:$A$204,MATCH($C736,สินค้า!$B$5:$B$204,0)),"ไม่พบสินค้า"))</f>
        <v/>
      </c>
      <c r="E736" s="17">
        <f>IF($C736="","",IFERROR(INDEX(สินค้า!$C$5:$C$204,MATCH($C736,สินค้า!$B$5:$B$204,0)),"ไม่พบสินค้า"))</f>
        <v/>
      </c>
      <c r="F736" s="17">
        <f>IF($C736="","",IFERROR(INDEX(สินค้า!$D$5:$D$204,MATCH($C736,สินค้า!$B$5:$B$204,0)),"ไม่พบสินค้า"))</f>
        <v/>
      </c>
      <c r="G736" s="15" t="n"/>
      <c r="H736" s="15" t="n"/>
      <c r="I736" s="18">
        <f>IF(AND(ISNUMBER(G736),ISNUMBER(H736),G736&gt;0),H736/G736,"")</f>
        <v/>
      </c>
      <c r="J736" s="15" t="n"/>
      <c r="K736" s="15" t="n"/>
      <c r="L736" s="17">
        <f>IF(A736="","",TEXT(A736,"yyyy-mm"))</f>
        <v/>
      </c>
      <c r="M736" s="17">
        <f>IF(AND(A736&lt;&gt;"",J736="Pending"),TODAY()-A736,"")</f>
        <v/>
      </c>
    </row>
    <row r="737">
      <c r="A737" s="16" t="n"/>
      <c r="B737" s="15" t="n"/>
      <c r="C737" s="15" t="n"/>
      <c r="D737" s="17">
        <f>IF($C737="","",IFERROR(INDEX(สินค้า!$A$5:$A$204,MATCH($C737,สินค้า!$B$5:$B$204,0)),"ไม่พบสินค้า"))</f>
        <v/>
      </c>
      <c r="E737" s="17">
        <f>IF($C737="","",IFERROR(INDEX(สินค้า!$C$5:$C$204,MATCH($C737,สินค้า!$B$5:$B$204,0)),"ไม่พบสินค้า"))</f>
        <v/>
      </c>
      <c r="F737" s="17">
        <f>IF($C737="","",IFERROR(INDEX(สินค้า!$D$5:$D$204,MATCH($C737,สินค้า!$B$5:$B$204,0)),"ไม่พบสินค้า"))</f>
        <v/>
      </c>
      <c r="G737" s="15" t="n"/>
      <c r="H737" s="15" t="n"/>
      <c r="I737" s="18">
        <f>IF(AND(ISNUMBER(G737),ISNUMBER(H737),G737&gt;0),H737/G737,"")</f>
        <v/>
      </c>
      <c r="J737" s="15" t="n"/>
      <c r="K737" s="15" t="n"/>
      <c r="L737" s="17">
        <f>IF(A737="","",TEXT(A737,"yyyy-mm"))</f>
        <v/>
      </c>
      <c r="M737" s="17">
        <f>IF(AND(A737&lt;&gt;"",J737="Pending"),TODAY()-A737,"")</f>
        <v/>
      </c>
    </row>
    <row r="738">
      <c r="A738" s="16" t="n"/>
      <c r="B738" s="15" t="n"/>
      <c r="C738" s="15" t="n"/>
      <c r="D738" s="17">
        <f>IF($C738="","",IFERROR(INDEX(สินค้า!$A$5:$A$204,MATCH($C738,สินค้า!$B$5:$B$204,0)),"ไม่พบสินค้า"))</f>
        <v/>
      </c>
      <c r="E738" s="17">
        <f>IF($C738="","",IFERROR(INDEX(สินค้า!$C$5:$C$204,MATCH($C738,สินค้า!$B$5:$B$204,0)),"ไม่พบสินค้า"))</f>
        <v/>
      </c>
      <c r="F738" s="17">
        <f>IF($C738="","",IFERROR(INDEX(สินค้า!$D$5:$D$204,MATCH($C738,สินค้า!$B$5:$B$204,0)),"ไม่พบสินค้า"))</f>
        <v/>
      </c>
      <c r="G738" s="15" t="n"/>
      <c r="H738" s="15" t="n"/>
      <c r="I738" s="18">
        <f>IF(AND(ISNUMBER(G738),ISNUMBER(H738),G738&gt;0),H738/G738,"")</f>
        <v/>
      </c>
      <c r="J738" s="15" t="n"/>
      <c r="K738" s="15" t="n"/>
      <c r="L738" s="17">
        <f>IF(A738="","",TEXT(A738,"yyyy-mm"))</f>
        <v/>
      </c>
      <c r="M738" s="17">
        <f>IF(AND(A738&lt;&gt;"",J738="Pending"),TODAY()-A738,"")</f>
        <v/>
      </c>
    </row>
    <row r="739">
      <c r="A739" s="16" t="n"/>
      <c r="B739" s="15" t="n"/>
      <c r="C739" s="15" t="n"/>
      <c r="D739" s="17">
        <f>IF($C739="","",IFERROR(INDEX(สินค้า!$A$5:$A$204,MATCH($C739,สินค้า!$B$5:$B$204,0)),"ไม่พบสินค้า"))</f>
        <v/>
      </c>
      <c r="E739" s="17">
        <f>IF($C739="","",IFERROR(INDEX(สินค้า!$C$5:$C$204,MATCH($C739,สินค้า!$B$5:$B$204,0)),"ไม่พบสินค้า"))</f>
        <v/>
      </c>
      <c r="F739" s="17">
        <f>IF($C739="","",IFERROR(INDEX(สินค้า!$D$5:$D$204,MATCH($C739,สินค้า!$B$5:$B$204,0)),"ไม่พบสินค้า"))</f>
        <v/>
      </c>
      <c r="G739" s="15" t="n"/>
      <c r="H739" s="15" t="n"/>
      <c r="I739" s="18">
        <f>IF(AND(ISNUMBER(G739),ISNUMBER(H739),G739&gt;0),H739/G739,"")</f>
        <v/>
      </c>
      <c r="J739" s="15" t="n"/>
      <c r="K739" s="15" t="n"/>
      <c r="L739" s="17">
        <f>IF(A739="","",TEXT(A739,"yyyy-mm"))</f>
        <v/>
      </c>
      <c r="M739" s="17">
        <f>IF(AND(A739&lt;&gt;"",J739="Pending"),TODAY()-A739,"")</f>
        <v/>
      </c>
    </row>
    <row r="740">
      <c r="A740" s="16" t="n"/>
      <c r="B740" s="15" t="n"/>
      <c r="C740" s="15" t="n"/>
      <c r="D740" s="17">
        <f>IF($C740="","",IFERROR(INDEX(สินค้า!$A$5:$A$204,MATCH($C740,สินค้า!$B$5:$B$204,0)),"ไม่พบสินค้า"))</f>
        <v/>
      </c>
      <c r="E740" s="17">
        <f>IF($C740="","",IFERROR(INDEX(สินค้า!$C$5:$C$204,MATCH($C740,สินค้า!$B$5:$B$204,0)),"ไม่พบสินค้า"))</f>
        <v/>
      </c>
      <c r="F740" s="17">
        <f>IF($C740="","",IFERROR(INDEX(สินค้า!$D$5:$D$204,MATCH($C740,สินค้า!$B$5:$B$204,0)),"ไม่พบสินค้า"))</f>
        <v/>
      </c>
      <c r="G740" s="15" t="n"/>
      <c r="H740" s="15" t="n"/>
      <c r="I740" s="18">
        <f>IF(AND(ISNUMBER(G740),ISNUMBER(H740),G740&gt;0),H740/G740,"")</f>
        <v/>
      </c>
      <c r="J740" s="15" t="n"/>
      <c r="K740" s="15" t="n"/>
      <c r="L740" s="17">
        <f>IF(A740="","",TEXT(A740,"yyyy-mm"))</f>
        <v/>
      </c>
      <c r="M740" s="17">
        <f>IF(AND(A740&lt;&gt;"",J740="Pending"),TODAY()-A740,"")</f>
        <v/>
      </c>
    </row>
    <row r="741">
      <c r="A741" s="16" t="n"/>
      <c r="B741" s="15" t="n"/>
      <c r="C741" s="15" t="n"/>
      <c r="D741" s="17">
        <f>IF($C741="","",IFERROR(INDEX(สินค้า!$A$5:$A$204,MATCH($C741,สินค้า!$B$5:$B$204,0)),"ไม่พบสินค้า"))</f>
        <v/>
      </c>
      <c r="E741" s="17">
        <f>IF($C741="","",IFERROR(INDEX(สินค้า!$C$5:$C$204,MATCH($C741,สินค้า!$B$5:$B$204,0)),"ไม่พบสินค้า"))</f>
        <v/>
      </c>
      <c r="F741" s="17">
        <f>IF($C741="","",IFERROR(INDEX(สินค้า!$D$5:$D$204,MATCH($C741,สินค้า!$B$5:$B$204,0)),"ไม่พบสินค้า"))</f>
        <v/>
      </c>
      <c r="G741" s="15" t="n"/>
      <c r="H741" s="15" t="n"/>
      <c r="I741" s="18">
        <f>IF(AND(ISNUMBER(G741),ISNUMBER(H741),G741&gt;0),H741/G741,"")</f>
        <v/>
      </c>
      <c r="J741" s="15" t="n"/>
      <c r="K741" s="15" t="n"/>
      <c r="L741" s="17">
        <f>IF(A741="","",TEXT(A741,"yyyy-mm"))</f>
        <v/>
      </c>
      <c r="M741" s="17">
        <f>IF(AND(A741&lt;&gt;"",J741="Pending"),TODAY()-A741,"")</f>
        <v/>
      </c>
    </row>
    <row r="742">
      <c r="A742" s="16" t="n"/>
      <c r="B742" s="15" t="n"/>
      <c r="C742" s="15" t="n"/>
      <c r="D742" s="17">
        <f>IF($C742="","",IFERROR(INDEX(สินค้า!$A$5:$A$204,MATCH($C742,สินค้า!$B$5:$B$204,0)),"ไม่พบสินค้า"))</f>
        <v/>
      </c>
      <c r="E742" s="17">
        <f>IF($C742="","",IFERROR(INDEX(สินค้า!$C$5:$C$204,MATCH($C742,สินค้า!$B$5:$B$204,0)),"ไม่พบสินค้า"))</f>
        <v/>
      </c>
      <c r="F742" s="17">
        <f>IF($C742="","",IFERROR(INDEX(สินค้า!$D$5:$D$204,MATCH($C742,สินค้า!$B$5:$B$204,0)),"ไม่พบสินค้า"))</f>
        <v/>
      </c>
      <c r="G742" s="15" t="n"/>
      <c r="H742" s="15" t="n"/>
      <c r="I742" s="18">
        <f>IF(AND(ISNUMBER(G742),ISNUMBER(H742),G742&gt;0),H742/G742,"")</f>
        <v/>
      </c>
      <c r="J742" s="15" t="n"/>
      <c r="K742" s="15" t="n"/>
      <c r="L742" s="17">
        <f>IF(A742="","",TEXT(A742,"yyyy-mm"))</f>
        <v/>
      </c>
      <c r="M742" s="17">
        <f>IF(AND(A742&lt;&gt;"",J742="Pending"),TODAY()-A742,"")</f>
        <v/>
      </c>
    </row>
    <row r="743">
      <c r="A743" s="16" t="n"/>
      <c r="B743" s="15" t="n"/>
      <c r="C743" s="15" t="n"/>
      <c r="D743" s="17">
        <f>IF($C743="","",IFERROR(INDEX(สินค้า!$A$5:$A$204,MATCH($C743,สินค้า!$B$5:$B$204,0)),"ไม่พบสินค้า"))</f>
        <v/>
      </c>
      <c r="E743" s="17">
        <f>IF($C743="","",IFERROR(INDEX(สินค้า!$C$5:$C$204,MATCH($C743,สินค้า!$B$5:$B$204,0)),"ไม่พบสินค้า"))</f>
        <v/>
      </c>
      <c r="F743" s="17">
        <f>IF($C743="","",IFERROR(INDEX(สินค้า!$D$5:$D$204,MATCH($C743,สินค้า!$B$5:$B$204,0)),"ไม่พบสินค้า"))</f>
        <v/>
      </c>
      <c r="G743" s="15" t="n"/>
      <c r="H743" s="15" t="n"/>
      <c r="I743" s="18">
        <f>IF(AND(ISNUMBER(G743),ISNUMBER(H743),G743&gt;0),H743/G743,"")</f>
        <v/>
      </c>
      <c r="J743" s="15" t="n"/>
      <c r="K743" s="15" t="n"/>
      <c r="L743" s="17">
        <f>IF(A743="","",TEXT(A743,"yyyy-mm"))</f>
        <v/>
      </c>
      <c r="M743" s="17">
        <f>IF(AND(A743&lt;&gt;"",J743="Pending"),TODAY()-A743,"")</f>
        <v/>
      </c>
    </row>
    <row r="744">
      <c r="A744" s="16" t="n"/>
      <c r="B744" s="15" t="n"/>
      <c r="C744" s="15" t="n"/>
      <c r="D744" s="17">
        <f>IF($C744="","",IFERROR(INDEX(สินค้า!$A$5:$A$204,MATCH($C744,สินค้า!$B$5:$B$204,0)),"ไม่พบสินค้า"))</f>
        <v/>
      </c>
      <c r="E744" s="17">
        <f>IF($C744="","",IFERROR(INDEX(สินค้า!$C$5:$C$204,MATCH($C744,สินค้า!$B$5:$B$204,0)),"ไม่พบสินค้า"))</f>
        <v/>
      </c>
      <c r="F744" s="17">
        <f>IF($C744="","",IFERROR(INDEX(สินค้า!$D$5:$D$204,MATCH($C744,สินค้า!$B$5:$B$204,0)),"ไม่พบสินค้า"))</f>
        <v/>
      </c>
      <c r="G744" s="15" t="n"/>
      <c r="H744" s="15" t="n"/>
      <c r="I744" s="18">
        <f>IF(AND(ISNUMBER(G744),ISNUMBER(H744),G744&gt;0),H744/G744,"")</f>
        <v/>
      </c>
      <c r="J744" s="15" t="n"/>
      <c r="K744" s="15" t="n"/>
      <c r="L744" s="17">
        <f>IF(A744="","",TEXT(A744,"yyyy-mm"))</f>
        <v/>
      </c>
      <c r="M744" s="17">
        <f>IF(AND(A744&lt;&gt;"",J744="Pending"),TODAY()-A744,"")</f>
        <v/>
      </c>
    </row>
    <row r="745">
      <c r="A745" s="16" t="n"/>
      <c r="B745" s="15" t="n"/>
      <c r="C745" s="15" t="n"/>
      <c r="D745" s="17">
        <f>IF($C745="","",IFERROR(INDEX(สินค้า!$A$5:$A$204,MATCH($C745,สินค้า!$B$5:$B$204,0)),"ไม่พบสินค้า"))</f>
        <v/>
      </c>
      <c r="E745" s="17">
        <f>IF($C745="","",IFERROR(INDEX(สินค้า!$C$5:$C$204,MATCH($C745,สินค้า!$B$5:$B$204,0)),"ไม่พบสินค้า"))</f>
        <v/>
      </c>
      <c r="F745" s="17">
        <f>IF($C745="","",IFERROR(INDEX(สินค้า!$D$5:$D$204,MATCH($C745,สินค้า!$B$5:$B$204,0)),"ไม่พบสินค้า"))</f>
        <v/>
      </c>
      <c r="G745" s="15" t="n"/>
      <c r="H745" s="15" t="n"/>
      <c r="I745" s="18">
        <f>IF(AND(ISNUMBER(G745),ISNUMBER(H745),G745&gt;0),H745/G745,"")</f>
        <v/>
      </c>
      <c r="J745" s="15" t="n"/>
      <c r="K745" s="15" t="n"/>
      <c r="L745" s="17">
        <f>IF(A745="","",TEXT(A745,"yyyy-mm"))</f>
        <v/>
      </c>
      <c r="M745" s="17">
        <f>IF(AND(A745&lt;&gt;"",J745="Pending"),TODAY()-A745,"")</f>
        <v/>
      </c>
    </row>
    <row r="746">
      <c r="A746" s="16" t="n"/>
      <c r="B746" s="15" t="n"/>
      <c r="C746" s="15" t="n"/>
      <c r="D746" s="17">
        <f>IF($C746="","",IFERROR(INDEX(สินค้า!$A$5:$A$204,MATCH($C746,สินค้า!$B$5:$B$204,0)),"ไม่พบสินค้า"))</f>
        <v/>
      </c>
      <c r="E746" s="17">
        <f>IF($C746="","",IFERROR(INDEX(สินค้า!$C$5:$C$204,MATCH($C746,สินค้า!$B$5:$B$204,0)),"ไม่พบสินค้า"))</f>
        <v/>
      </c>
      <c r="F746" s="17">
        <f>IF($C746="","",IFERROR(INDEX(สินค้า!$D$5:$D$204,MATCH($C746,สินค้า!$B$5:$B$204,0)),"ไม่พบสินค้า"))</f>
        <v/>
      </c>
      <c r="G746" s="15" t="n"/>
      <c r="H746" s="15" t="n"/>
      <c r="I746" s="18">
        <f>IF(AND(ISNUMBER(G746),ISNUMBER(H746),G746&gt;0),H746/G746,"")</f>
        <v/>
      </c>
      <c r="J746" s="15" t="n"/>
      <c r="K746" s="15" t="n"/>
      <c r="L746" s="17">
        <f>IF(A746="","",TEXT(A746,"yyyy-mm"))</f>
        <v/>
      </c>
      <c r="M746" s="17">
        <f>IF(AND(A746&lt;&gt;"",J746="Pending"),TODAY()-A746,"")</f>
        <v/>
      </c>
    </row>
    <row r="747">
      <c r="A747" s="16" t="n"/>
      <c r="B747" s="15" t="n"/>
      <c r="C747" s="15" t="n"/>
      <c r="D747" s="17">
        <f>IF($C747="","",IFERROR(INDEX(สินค้า!$A$5:$A$204,MATCH($C747,สินค้า!$B$5:$B$204,0)),"ไม่พบสินค้า"))</f>
        <v/>
      </c>
      <c r="E747" s="17">
        <f>IF($C747="","",IFERROR(INDEX(สินค้า!$C$5:$C$204,MATCH($C747,สินค้า!$B$5:$B$204,0)),"ไม่พบสินค้า"))</f>
        <v/>
      </c>
      <c r="F747" s="17">
        <f>IF($C747="","",IFERROR(INDEX(สินค้า!$D$5:$D$204,MATCH($C747,สินค้า!$B$5:$B$204,0)),"ไม่พบสินค้า"))</f>
        <v/>
      </c>
      <c r="G747" s="15" t="n"/>
      <c r="H747" s="15" t="n"/>
      <c r="I747" s="18">
        <f>IF(AND(ISNUMBER(G747),ISNUMBER(H747),G747&gt;0),H747/G747,"")</f>
        <v/>
      </c>
      <c r="J747" s="15" t="n"/>
      <c r="K747" s="15" t="n"/>
      <c r="L747" s="17">
        <f>IF(A747="","",TEXT(A747,"yyyy-mm"))</f>
        <v/>
      </c>
      <c r="M747" s="17">
        <f>IF(AND(A747&lt;&gt;"",J747="Pending"),TODAY()-A747,"")</f>
        <v/>
      </c>
    </row>
    <row r="748">
      <c r="A748" s="16" t="n"/>
      <c r="B748" s="15" t="n"/>
      <c r="C748" s="15" t="n"/>
      <c r="D748" s="17">
        <f>IF($C748="","",IFERROR(INDEX(สินค้า!$A$5:$A$204,MATCH($C748,สินค้า!$B$5:$B$204,0)),"ไม่พบสินค้า"))</f>
        <v/>
      </c>
      <c r="E748" s="17">
        <f>IF($C748="","",IFERROR(INDEX(สินค้า!$C$5:$C$204,MATCH($C748,สินค้า!$B$5:$B$204,0)),"ไม่พบสินค้า"))</f>
        <v/>
      </c>
      <c r="F748" s="17">
        <f>IF($C748="","",IFERROR(INDEX(สินค้า!$D$5:$D$204,MATCH($C748,สินค้า!$B$5:$B$204,0)),"ไม่พบสินค้า"))</f>
        <v/>
      </c>
      <c r="G748" s="15" t="n"/>
      <c r="H748" s="15" t="n"/>
      <c r="I748" s="18">
        <f>IF(AND(ISNUMBER(G748),ISNUMBER(H748),G748&gt;0),H748/G748,"")</f>
        <v/>
      </c>
      <c r="J748" s="15" t="n"/>
      <c r="K748" s="15" t="n"/>
      <c r="L748" s="17">
        <f>IF(A748="","",TEXT(A748,"yyyy-mm"))</f>
        <v/>
      </c>
      <c r="M748" s="17">
        <f>IF(AND(A748&lt;&gt;"",J748="Pending"),TODAY()-A748,"")</f>
        <v/>
      </c>
    </row>
    <row r="749">
      <c r="A749" s="16" t="n"/>
      <c r="B749" s="15" t="n"/>
      <c r="C749" s="15" t="n"/>
      <c r="D749" s="17">
        <f>IF($C749="","",IFERROR(INDEX(สินค้า!$A$5:$A$204,MATCH($C749,สินค้า!$B$5:$B$204,0)),"ไม่พบสินค้า"))</f>
        <v/>
      </c>
      <c r="E749" s="17">
        <f>IF($C749="","",IFERROR(INDEX(สินค้า!$C$5:$C$204,MATCH($C749,สินค้า!$B$5:$B$204,0)),"ไม่พบสินค้า"))</f>
        <v/>
      </c>
      <c r="F749" s="17">
        <f>IF($C749="","",IFERROR(INDEX(สินค้า!$D$5:$D$204,MATCH($C749,สินค้า!$B$5:$B$204,0)),"ไม่พบสินค้า"))</f>
        <v/>
      </c>
      <c r="G749" s="15" t="n"/>
      <c r="H749" s="15" t="n"/>
      <c r="I749" s="18">
        <f>IF(AND(ISNUMBER(G749),ISNUMBER(H749),G749&gt;0),H749/G749,"")</f>
        <v/>
      </c>
      <c r="J749" s="15" t="n"/>
      <c r="K749" s="15" t="n"/>
      <c r="L749" s="17">
        <f>IF(A749="","",TEXT(A749,"yyyy-mm"))</f>
        <v/>
      </c>
      <c r="M749" s="17">
        <f>IF(AND(A749&lt;&gt;"",J749="Pending"),TODAY()-A749,"")</f>
        <v/>
      </c>
    </row>
    <row r="750">
      <c r="A750" s="16" t="n"/>
      <c r="B750" s="15" t="n"/>
      <c r="C750" s="15" t="n"/>
      <c r="D750" s="17">
        <f>IF($C750="","",IFERROR(INDEX(สินค้า!$A$5:$A$204,MATCH($C750,สินค้า!$B$5:$B$204,0)),"ไม่พบสินค้า"))</f>
        <v/>
      </c>
      <c r="E750" s="17">
        <f>IF($C750="","",IFERROR(INDEX(สินค้า!$C$5:$C$204,MATCH($C750,สินค้า!$B$5:$B$204,0)),"ไม่พบสินค้า"))</f>
        <v/>
      </c>
      <c r="F750" s="17">
        <f>IF($C750="","",IFERROR(INDEX(สินค้า!$D$5:$D$204,MATCH($C750,สินค้า!$B$5:$B$204,0)),"ไม่พบสินค้า"))</f>
        <v/>
      </c>
      <c r="G750" s="15" t="n"/>
      <c r="H750" s="15" t="n"/>
      <c r="I750" s="18">
        <f>IF(AND(ISNUMBER(G750),ISNUMBER(H750),G750&gt;0),H750/G750,"")</f>
        <v/>
      </c>
      <c r="J750" s="15" t="n"/>
      <c r="K750" s="15" t="n"/>
      <c r="L750" s="17">
        <f>IF(A750="","",TEXT(A750,"yyyy-mm"))</f>
        <v/>
      </c>
      <c r="M750" s="17">
        <f>IF(AND(A750&lt;&gt;"",J750="Pending"),TODAY()-A750,"")</f>
        <v/>
      </c>
    </row>
    <row r="751">
      <c r="A751" s="16" t="n"/>
      <c r="B751" s="15" t="n"/>
      <c r="C751" s="15" t="n"/>
      <c r="D751" s="17">
        <f>IF($C751="","",IFERROR(INDEX(สินค้า!$A$5:$A$204,MATCH($C751,สินค้า!$B$5:$B$204,0)),"ไม่พบสินค้า"))</f>
        <v/>
      </c>
      <c r="E751" s="17">
        <f>IF($C751="","",IFERROR(INDEX(สินค้า!$C$5:$C$204,MATCH($C751,สินค้า!$B$5:$B$204,0)),"ไม่พบสินค้า"))</f>
        <v/>
      </c>
      <c r="F751" s="17">
        <f>IF($C751="","",IFERROR(INDEX(สินค้า!$D$5:$D$204,MATCH($C751,สินค้า!$B$5:$B$204,0)),"ไม่พบสินค้า"))</f>
        <v/>
      </c>
      <c r="G751" s="15" t="n"/>
      <c r="H751" s="15" t="n"/>
      <c r="I751" s="18">
        <f>IF(AND(ISNUMBER(G751),ISNUMBER(H751),G751&gt;0),H751/G751,"")</f>
        <v/>
      </c>
      <c r="J751" s="15" t="n"/>
      <c r="K751" s="15" t="n"/>
      <c r="L751" s="17">
        <f>IF(A751="","",TEXT(A751,"yyyy-mm"))</f>
        <v/>
      </c>
      <c r="M751" s="17">
        <f>IF(AND(A751&lt;&gt;"",J751="Pending"),TODAY()-A751,"")</f>
        <v/>
      </c>
    </row>
    <row r="752">
      <c r="A752" s="16" t="n"/>
      <c r="B752" s="15" t="n"/>
      <c r="C752" s="15" t="n"/>
      <c r="D752" s="17">
        <f>IF($C752="","",IFERROR(INDEX(สินค้า!$A$5:$A$204,MATCH($C752,สินค้า!$B$5:$B$204,0)),"ไม่พบสินค้า"))</f>
        <v/>
      </c>
      <c r="E752" s="17">
        <f>IF($C752="","",IFERROR(INDEX(สินค้า!$C$5:$C$204,MATCH($C752,สินค้า!$B$5:$B$204,0)),"ไม่พบสินค้า"))</f>
        <v/>
      </c>
      <c r="F752" s="17">
        <f>IF($C752="","",IFERROR(INDEX(สินค้า!$D$5:$D$204,MATCH($C752,สินค้า!$B$5:$B$204,0)),"ไม่พบสินค้า"))</f>
        <v/>
      </c>
      <c r="G752" s="15" t="n"/>
      <c r="H752" s="15" t="n"/>
      <c r="I752" s="18">
        <f>IF(AND(ISNUMBER(G752),ISNUMBER(H752),G752&gt;0),H752/G752,"")</f>
        <v/>
      </c>
      <c r="J752" s="15" t="n"/>
      <c r="K752" s="15" t="n"/>
      <c r="L752" s="17">
        <f>IF(A752="","",TEXT(A752,"yyyy-mm"))</f>
        <v/>
      </c>
      <c r="M752" s="17">
        <f>IF(AND(A752&lt;&gt;"",J752="Pending"),TODAY()-A752,"")</f>
        <v/>
      </c>
    </row>
    <row r="753">
      <c r="A753" s="16" t="n"/>
      <c r="B753" s="15" t="n"/>
      <c r="C753" s="15" t="n"/>
      <c r="D753" s="17">
        <f>IF($C753="","",IFERROR(INDEX(สินค้า!$A$5:$A$204,MATCH($C753,สินค้า!$B$5:$B$204,0)),"ไม่พบสินค้า"))</f>
        <v/>
      </c>
      <c r="E753" s="17">
        <f>IF($C753="","",IFERROR(INDEX(สินค้า!$C$5:$C$204,MATCH($C753,สินค้า!$B$5:$B$204,0)),"ไม่พบสินค้า"))</f>
        <v/>
      </c>
      <c r="F753" s="17">
        <f>IF($C753="","",IFERROR(INDEX(สินค้า!$D$5:$D$204,MATCH($C753,สินค้า!$B$5:$B$204,0)),"ไม่พบสินค้า"))</f>
        <v/>
      </c>
      <c r="G753" s="15" t="n"/>
      <c r="H753" s="15" t="n"/>
      <c r="I753" s="18">
        <f>IF(AND(ISNUMBER(G753),ISNUMBER(H753),G753&gt;0),H753/G753,"")</f>
        <v/>
      </c>
      <c r="J753" s="15" t="n"/>
      <c r="K753" s="15" t="n"/>
      <c r="L753" s="17">
        <f>IF(A753="","",TEXT(A753,"yyyy-mm"))</f>
        <v/>
      </c>
      <c r="M753" s="17">
        <f>IF(AND(A753&lt;&gt;"",J753="Pending"),TODAY()-A753,"")</f>
        <v/>
      </c>
    </row>
    <row r="754">
      <c r="A754" s="16" t="n"/>
      <c r="B754" s="15" t="n"/>
      <c r="C754" s="15" t="n"/>
      <c r="D754" s="17">
        <f>IF($C754="","",IFERROR(INDEX(สินค้า!$A$5:$A$204,MATCH($C754,สินค้า!$B$5:$B$204,0)),"ไม่พบสินค้า"))</f>
        <v/>
      </c>
      <c r="E754" s="17">
        <f>IF($C754="","",IFERROR(INDEX(สินค้า!$C$5:$C$204,MATCH($C754,สินค้า!$B$5:$B$204,0)),"ไม่พบสินค้า"))</f>
        <v/>
      </c>
      <c r="F754" s="17">
        <f>IF($C754="","",IFERROR(INDEX(สินค้า!$D$5:$D$204,MATCH($C754,สินค้า!$B$5:$B$204,0)),"ไม่พบสินค้า"))</f>
        <v/>
      </c>
      <c r="G754" s="15" t="n"/>
      <c r="H754" s="15" t="n"/>
      <c r="I754" s="18">
        <f>IF(AND(ISNUMBER(G754),ISNUMBER(H754),G754&gt;0),H754/G754,"")</f>
        <v/>
      </c>
      <c r="J754" s="15" t="n"/>
      <c r="K754" s="15" t="n"/>
      <c r="L754" s="17">
        <f>IF(A754="","",TEXT(A754,"yyyy-mm"))</f>
        <v/>
      </c>
      <c r="M754" s="17">
        <f>IF(AND(A754&lt;&gt;"",J754="Pending"),TODAY()-A754,"")</f>
        <v/>
      </c>
    </row>
    <row r="755">
      <c r="A755" s="16" t="n"/>
      <c r="B755" s="15" t="n"/>
      <c r="C755" s="15" t="n"/>
      <c r="D755" s="17">
        <f>IF($C755="","",IFERROR(INDEX(สินค้า!$A$5:$A$204,MATCH($C755,สินค้า!$B$5:$B$204,0)),"ไม่พบสินค้า"))</f>
        <v/>
      </c>
      <c r="E755" s="17">
        <f>IF($C755="","",IFERROR(INDEX(สินค้า!$C$5:$C$204,MATCH($C755,สินค้า!$B$5:$B$204,0)),"ไม่พบสินค้า"))</f>
        <v/>
      </c>
      <c r="F755" s="17">
        <f>IF($C755="","",IFERROR(INDEX(สินค้า!$D$5:$D$204,MATCH($C755,สินค้า!$B$5:$B$204,0)),"ไม่พบสินค้า"))</f>
        <v/>
      </c>
      <c r="G755" s="15" t="n"/>
      <c r="H755" s="15" t="n"/>
      <c r="I755" s="18">
        <f>IF(AND(ISNUMBER(G755),ISNUMBER(H755),G755&gt;0),H755/G755,"")</f>
        <v/>
      </c>
      <c r="J755" s="15" t="n"/>
      <c r="K755" s="15" t="n"/>
      <c r="L755" s="17">
        <f>IF(A755="","",TEXT(A755,"yyyy-mm"))</f>
        <v/>
      </c>
      <c r="M755" s="17">
        <f>IF(AND(A755&lt;&gt;"",J755="Pending"),TODAY()-A755,"")</f>
        <v/>
      </c>
    </row>
    <row r="756">
      <c r="A756" s="16" t="n"/>
      <c r="B756" s="15" t="n"/>
      <c r="C756" s="15" t="n"/>
      <c r="D756" s="17">
        <f>IF($C756="","",IFERROR(INDEX(สินค้า!$A$5:$A$204,MATCH($C756,สินค้า!$B$5:$B$204,0)),"ไม่พบสินค้า"))</f>
        <v/>
      </c>
      <c r="E756" s="17">
        <f>IF($C756="","",IFERROR(INDEX(สินค้า!$C$5:$C$204,MATCH($C756,สินค้า!$B$5:$B$204,0)),"ไม่พบสินค้า"))</f>
        <v/>
      </c>
      <c r="F756" s="17">
        <f>IF($C756="","",IFERROR(INDEX(สินค้า!$D$5:$D$204,MATCH($C756,สินค้า!$B$5:$B$204,0)),"ไม่พบสินค้า"))</f>
        <v/>
      </c>
      <c r="G756" s="15" t="n"/>
      <c r="H756" s="15" t="n"/>
      <c r="I756" s="18">
        <f>IF(AND(ISNUMBER(G756),ISNUMBER(H756),G756&gt;0),H756/G756,"")</f>
        <v/>
      </c>
      <c r="J756" s="15" t="n"/>
      <c r="K756" s="15" t="n"/>
      <c r="L756" s="17">
        <f>IF(A756="","",TEXT(A756,"yyyy-mm"))</f>
        <v/>
      </c>
      <c r="M756" s="17">
        <f>IF(AND(A756&lt;&gt;"",J756="Pending"),TODAY()-A756,"")</f>
        <v/>
      </c>
    </row>
    <row r="757">
      <c r="A757" s="16" t="n"/>
      <c r="B757" s="15" t="n"/>
      <c r="C757" s="15" t="n"/>
      <c r="D757" s="17">
        <f>IF($C757="","",IFERROR(INDEX(สินค้า!$A$5:$A$204,MATCH($C757,สินค้า!$B$5:$B$204,0)),"ไม่พบสินค้า"))</f>
        <v/>
      </c>
      <c r="E757" s="17">
        <f>IF($C757="","",IFERROR(INDEX(สินค้า!$C$5:$C$204,MATCH($C757,สินค้า!$B$5:$B$204,0)),"ไม่พบสินค้า"))</f>
        <v/>
      </c>
      <c r="F757" s="17">
        <f>IF($C757="","",IFERROR(INDEX(สินค้า!$D$5:$D$204,MATCH($C757,สินค้า!$B$5:$B$204,0)),"ไม่พบสินค้า"))</f>
        <v/>
      </c>
      <c r="G757" s="15" t="n"/>
      <c r="H757" s="15" t="n"/>
      <c r="I757" s="18">
        <f>IF(AND(ISNUMBER(G757),ISNUMBER(H757),G757&gt;0),H757/G757,"")</f>
        <v/>
      </c>
      <c r="J757" s="15" t="n"/>
      <c r="K757" s="15" t="n"/>
      <c r="L757" s="17">
        <f>IF(A757="","",TEXT(A757,"yyyy-mm"))</f>
        <v/>
      </c>
      <c r="M757" s="17">
        <f>IF(AND(A757&lt;&gt;"",J757="Pending"),TODAY()-A757,"")</f>
        <v/>
      </c>
    </row>
    <row r="758">
      <c r="A758" s="16" t="n"/>
      <c r="B758" s="15" t="n"/>
      <c r="C758" s="15" t="n"/>
      <c r="D758" s="17">
        <f>IF($C758="","",IFERROR(INDEX(สินค้า!$A$5:$A$204,MATCH($C758,สินค้า!$B$5:$B$204,0)),"ไม่พบสินค้า"))</f>
        <v/>
      </c>
      <c r="E758" s="17">
        <f>IF($C758="","",IFERROR(INDEX(สินค้า!$C$5:$C$204,MATCH($C758,สินค้า!$B$5:$B$204,0)),"ไม่พบสินค้า"))</f>
        <v/>
      </c>
      <c r="F758" s="17">
        <f>IF($C758="","",IFERROR(INDEX(สินค้า!$D$5:$D$204,MATCH($C758,สินค้า!$B$5:$B$204,0)),"ไม่พบสินค้า"))</f>
        <v/>
      </c>
      <c r="G758" s="15" t="n"/>
      <c r="H758" s="15" t="n"/>
      <c r="I758" s="18">
        <f>IF(AND(ISNUMBER(G758),ISNUMBER(H758),G758&gt;0),H758/G758,"")</f>
        <v/>
      </c>
      <c r="J758" s="15" t="n"/>
      <c r="K758" s="15" t="n"/>
      <c r="L758" s="17">
        <f>IF(A758="","",TEXT(A758,"yyyy-mm"))</f>
        <v/>
      </c>
      <c r="M758" s="17">
        <f>IF(AND(A758&lt;&gt;"",J758="Pending"),TODAY()-A758,"")</f>
        <v/>
      </c>
    </row>
    <row r="759">
      <c r="A759" s="16" t="n"/>
      <c r="B759" s="15" t="n"/>
      <c r="C759" s="15" t="n"/>
      <c r="D759" s="17">
        <f>IF($C759="","",IFERROR(INDEX(สินค้า!$A$5:$A$204,MATCH($C759,สินค้า!$B$5:$B$204,0)),"ไม่พบสินค้า"))</f>
        <v/>
      </c>
      <c r="E759" s="17">
        <f>IF($C759="","",IFERROR(INDEX(สินค้า!$C$5:$C$204,MATCH($C759,สินค้า!$B$5:$B$204,0)),"ไม่พบสินค้า"))</f>
        <v/>
      </c>
      <c r="F759" s="17">
        <f>IF($C759="","",IFERROR(INDEX(สินค้า!$D$5:$D$204,MATCH($C759,สินค้า!$B$5:$B$204,0)),"ไม่พบสินค้า"))</f>
        <v/>
      </c>
      <c r="G759" s="15" t="n"/>
      <c r="H759" s="15" t="n"/>
      <c r="I759" s="18">
        <f>IF(AND(ISNUMBER(G759),ISNUMBER(H759),G759&gt;0),H759/G759,"")</f>
        <v/>
      </c>
      <c r="J759" s="15" t="n"/>
      <c r="K759" s="15" t="n"/>
      <c r="L759" s="17">
        <f>IF(A759="","",TEXT(A759,"yyyy-mm"))</f>
        <v/>
      </c>
      <c r="M759" s="17">
        <f>IF(AND(A759&lt;&gt;"",J759="Pending"),TODAY()-A759,"")</f>
        <v/>
      </c>
    </row>
    <row r="760">
      <c r="A760" s="16" t="n"/>
      <c r="B760" s="15" t="n"/>
      <c r="C760" s="15" t="n"/>
      <c r="D760" s="17">
        <f>IF($C760="","",IFERROR(INDEX(สินค้า!$A$5:$A$204,MATCH($C760,สินค้า!$B$5:$B$204,0)),"ไม่พบสินค้า"))</f>
        <v/>
      </c>
      <c r="E760" s="17">
        <f>IF($C760="","",IFERROR(INDEX(สินค้า!$C$5:$C$204,MATCH($C760,สินค้า!$B$5:$B$204,0)),"ไม่พบสินค้า"))</f>
        <v/>
      </c>
      <c r="F760" s="17">
        <f>IF($C760="","",IFERROR(INDEX(สินค้า!$D$5:$D$204,MATCH($C760,สินค้า!$B$5:$B$204,0)),"ไม่พบสินค้า"))</f>
        <v/>
      </c>
      <c r="G760" s="15" t="n"/>
      <c r="H760" s="15" t="n"/>
      <c r="I760" s="18">
        <f>IF(AND(ISNUMBER(G760),ISNUMBER(H760),G760&gt;0),H760/G760,"")</f>
        <v/>
      </c>
      <c r="J760" s="15" t="n"/>
      <c r="K760" s="15" t="n"/>
      <c r="L760" s="17">
        <f>IF(A760="","",TEXT(A760,"yyyy-mm"))</f>
        <v/>
      </c>
      <c r="M760" s="17">
        <f>IF(AND(A760&lt;&gt;"",J760="Pending"),TODAY()-A760,"")</f>
        <v/>
      </c>
    </row>
    <row r="761">
      <c r="A761" s="16" t="n"/>
      <c r="B761" s="15" t="n"/>
      <c r="C761" s="15" t="n"/>
      <c r="D761" s="17">
        <f>IF($C761="","",IFERROR(INDEX(สินค้า!$A$5:$A$204,MATCH($C761,สินค้า!$B$5:$B$204,0)),"ไม่พบสินค้า"))</f>
        <v/>
      </c>
      <c r="E761" s="17">
        <f>IF($C761="","",IFERROR(INDEX(สินค้า!$C$5:$C$204,MATCH($C761,สินค้า!$B$5:$B$204,0)),"ไม่พบสินค้า"))</f>
        <v/>
      </c>
      <c r="F761" s="17">
        <f>IF($C761="","",IFERROR(INDEX(สินค้า!$D$5:$D$204,MATCH($C761,สินค้า!$B$5:$B$204,0)),"ไม่พบสินค้า"))</f>
        <v/>
      </c>
      <c r="G761" s="15" t="n"/>
      <c r="H761" s="15" t="n"/>
      <c r="I761" s="18">
        <f>IF(AND(ISNUMBER(G761),ISNUMBER(H761),G761&gt;0),H761/G761,"")</f>
        <v/>
      </c>
      <c r="J761" s="15" t="n"/>
      <c r="K761" s="15" t="n"/>
      <c r="L761" s="17">
        <f>IF(A761="","",TEXT(A761,"yyyy-mm"))</f>
        <v/>
      </c>
      <c r="M761" s="17">
        <f>IF(AND(A761&lt;&gt;"",J761="Pending"),TODAY()-A761,"")</f>
        <v/>
      </c>
    </row>
    <row r="762">
      <c r="A762" s="16" t="n"/>
      <c r="B762" s="15" t="n"/>
      <c r="C762" s="15" t="n"/>
      <c r="D762" s="17">
        <f>IF($C762="","",IFERROR(INDEX(สินค้า!$A$5:$A$204,MATCH($C762,สินค้า!$B$5:$B$204,0)),"ไม่พบสินค้า"))</f>
        <v/>
      </c>
      <c r="E762" s="17">
        <f>IF($C762="","",IFERROR(INDEX(สินค้า!$C$5:$C$204,MATCH($C762,สินค้า!$B$5:$B$204,0)),"ไม่พบสินค้า"))</f>
        <v/>
      </c>
      <c r="F762" s="17">
        <f>IF($C762="","",IFERROR(INDEX(สินค้า!$D$5:$D$204,MATCH($C762,สินค้า!$B$5:$B$204,0)),"ไม่พบสินค้า"))</f>
        <v/>
      </c>
      <c r="G762" s="15" t="n"/>
      <c r="H762" s="15" t="n"/>
      <c r="I762" s="18">
        <f>IF(AND(ISNUMBER(G762),ISNUMBER(H762),G762&gt;0),H762/G762,"")</f>
        <v/>
      </c>
      <c r="J762" s="15" t="n"/>
      <c r="K762" s="15" t="n"/>
      <c r="L762" s="17">
        <f>IF(A762="","",TEXT(A762,"yyyy-mm"))</f>
        <v/>
      </c>
      <c r="M762" s="17">
        <f>IF(AND(A762&lt;&gt;"",J762="Pending"),TODAY()-A762,"")</f>
        <v/>
      </c>
    </row>
    <row r="763">
      <c r="A763" s="16" t="n"/>
      <c r="B763" s="15" t="n"/>
      <c r="C763" s="15" t="n"/>
      <c r="D763" s="17">
        <f>IF($C763="","",IFERROR(INDEX(สินค้า!$A$5:$A$204,MATCH($C763,สินค้า!$B$5:$B$204,0)),"ไม่พบสินค้า"))</f>
        <v/>
      </c>
      <c r="E763" s="17">
        <f>IF($C763="","",IFERROR(INDEX(สินค้า!$C$5:$C$204,MATCH($C763,สินค้า!$B$5:$B$204,0)),"ไม่พบสินค้า"))</f>
        <v/>
      </c>
      <c r="F763" s="17">
        <f>IF($C763="","",IFERROR(INDEX(สินค้า!$D$5:$D$204,MATCH($C763,สินค้า!$B$5:$B$204,0)),"ไม่พบสินค้า"))</f>
        <v/>
      </c>
      <c r="G763" s="15" t="n"/>
      <c r="H763" s="15" t="n"/>
      <c r="I763" s="18">
        <f>IF(AND(ISNUMBER(G763),ISNUMBER(H763),G763&gt;0),H763/G763,"")</f>
        <v/>
      </c>
      <c r="J763" s="15" t="n"/>
      <c r="K763" s="15" t="n"/>
      <c r="L763" s="17">
        <f>IF(A763="","",TEXT(A763,"yyyy-mm"))</f>
        <v/>
      </c>
      <c r="M763" s="17">
        <f>IF(AND(A763&lt;&gt;"",J763="Pending"),TODAY()-A763,"")</f>
        <v/>
      </c>
    </row>
    <row r="764">
      <c r="A764" s="16" t="n"/>
      <c r="B764" s="15" t="n"/>
      <c r="C764" s="15" t="n"/>
      <c r="D764" s="17">
        <f>IF($C764="","",IFERROR(INDEX(สินค้า!$A$5:$A$204,MATCH($C764,สินค้า!$B$5:$B$204,0)),"ไม่พบสินค้า"))</f>
        <v/>
      </c>
      <c r="E764" s="17">
        <f>IF($C764="","",IFERROR(INDEX(สินค้า!$C$5:$C$204,MATCH($C764,สินค้า!$B$5:$B$204,0)),"ไม่พบสินค้า"))</f>
        <v/>
      </c>
      <c r="F764" s="17">
        <f>IF($C764="","",IFERROR(INDEX(สินค้า!$D$5:$D$204,MATCH($C764,สินค้า!$B$5:$B$204,0)),"ไม่พบสินค้า"))</f>
        <v/>
      </c>
      <c r="G764" s="15" t="n"/>
      <c r="H764" s="15" t="n"/>
      <c r="I764" s="18">
        <f>IF(AND(ISNUMBER(G764),ISNUMBER(H764),G764&gt;0),H764/G764,"")</f>
        <v/>
      </c>
      <c r="J764" s="15" t="n"/>
      <c r="K764" s="15" t="n"/>
      <c r="L764" s="17">
        <f>IF(A764="","",TEXT(A764,"yyyy-mm"))</f>
        <v/>
      </c>
      <c r="M764" s="17">
        <f>IF(AND(A764&lt;&gt;"",J764="Pending"),TODAY()-A764,"")</f>
        <v/>
      </c>
    </row>
    <row r="765">
      <c r="A765" s="16" t="n"/>
      <c r="B765" s="15" t="n"/>
      <c r="C765" s="15" t="n"/>
      <c r="D765" s="17">
        <f>IF($C765="","",IFERROR(INDEX(สินค้า!$A$5:$A$204,MATCH($C765,สินค้า!$B$5:$B$204,0)),"ไม่พบสินค้า"))</f>
        <v/>
      </c>
      <c r="E765" s="17">
        <f>IF($C765="","",IFERROR(INDEX(สินค้า!$C$5:$C$204,MATCH($C765,สินค้า!$B$5:$B$204,0)),"ไม่พบสินค้า"))</f>
        <v/>
      </c>
      <c r="F765" s="17">
        <f>IF($C765="","",IFERROR(INDEX(สินค้า!$D$5:$D$204,MATCH($C765,สินค้า!$B$5:$B$204,0)),"ไม่พบสินค้า"))</f>
        <v/>
      </c>
      <c r="G765" s="15" t="n"/>
      <c r="H765" s="15" t="n"/>
      <c r="I765" s="18">
        <f>IF(AND(ISNUMBER(G765),ISNUMBER(H765),G765&gt;0),H765/G765,"")</f>
        <v/>
      </c>
      <c r="J765" s="15" t="n"/>
      <c r="K765" s="15" t="n"/>
      <c r="L765" s="17">
        <f>IF(A765="","",TEXT(A765,"yyyy-mm"))</f>
        <v/>
      </c>
      <c r="M765" s="17">
        <f>IF(AND(A765&lt;&gt;"",J765="Pending"),TODAY()-A765,"")</f>
        <v/>
      </c>
    </row>
    <row r="766">
      <c r="A766" s="16" t="n"/>
      <c r="B766" s="15" t="n"/>
      <c r="C766" s="15" t="n"/>
      <c r="D766" s="17">
        <f>IF($C766="","",IFERROR(INDEX(สินค้า!$A$5:$A$204,MATCH($C766,สินค้า!$B$5:$B$204,0)),"ไม่พบสินค้า"))</f>
        <v/>
      </c>
      <c r="E766" s="17">
        <f>IF($C766="","",IFERROR(INDEX(สินค้า!$C$5:$C$204,MATCH($C766,สินค้า!$B$5:$B$204,0)),"ไม่พบสินค้า"))</f>
        <v/>
      </c>
      <c r="F766" s="17">
        <f>IF($C766="","",IFERROR(INDEX(สินค้า!$D$5:$D$204,MATCH($C766,สินค้า!$B$5:$B$204,0)),"ไม่พบสินค้า"))</f>
        <v/>
      </c>
      <c r="G766" s="15" t="n"/>
      <c r="H766" s="15" t="n"/>
      <c r="I766" s="18">
        <f>IF(AND(ISNUMBER(G766),ISNUMBER(H766),G766&gt;0),H766/G766,"")</f>
        <v/>
      </c>
      <c r="J766" s="15" t="n"/>
      <c r="K766" s="15" t="n"/>
      <c r="L766" s="17">
        <f>IF(A766="","",TEXT(A766,"yyyy-mm"))</f>
        <v/>
      </c>
      <c r="M766" s="17">
        <f>IF(AND(A766&lt;&gt;"",J766="Pending"),TODAY()-A766,"")</f>
        <v/>
      </c>
    </row>
    <row r="767">
      <c r="A767" s="16" t="n"/>
      <c r="B767" s="15" t="n"/>
      <c r="C767" s="15" t="n"/>
      <c r="D767" s="17">
        <f>IF($C767="","",IFERROR(INDEX(สินค้า!$A$5:$A$204,MATCH($C767,สินค้า!$B$5:$B$204,0)),"ไม่พบสินค้า"))</f>
        <v/>
      </c>
      <c r="E767" s="17">
        <f>IF($C767="","",IFERROR(INDEX(สินค้า!$C$5:$C$204,MATCH($C767,สินค้า!$B$5:$B$204,0)),"ไม่พบสินค้า"))</f>
        <v/>
      </c>
      <c r="F767" s="17">
        <f>IF($C767="","",IFERROR(INDEX(สินค้า!$D$5:$D$204,MATCH($C767,สินค้า!$B$5:$B$204,0)),"ไม่พบสินค้า"))</f>
        <v/>
      </c>
      <c r="G767" s="15" t="n"/>
      <c r="H767" s="15" t="n"/>
      <c r="I767" s="18">
        <f>IF(AND(ISNUMBER(G767),ISNUMBER(H767),G767&gt;0),H767/G767,"")</f>
        <v/>
      </c>
      <c r="J767" s="15" t="n"/>
      <c r="K767" s="15" t="n"/>
      <c r="L767" s="17">
        <f>IF(A767="","",TEXT(A767,"yyyy-mm"))</f>
        <v/>
      </c>
      <c r="M767" s="17">
        <f>IF(AND(A767&lt;&gt;"",J767="Pending"),TODAY()-A767,"")</f>
        <v/>
      </c>
    </row>
    <row r="768">
      <c r="A768" s="16" t="n"/>
      <c r="B768" s="15" t="n"/>
      <c r="C768" s="15" t="n"/>
      <c r="D768" s="17">
        <f>IF($C768="","",IFERROR(INDEX(สินค้า!$A$5:$A$204,MATCH($C768,สินค้า!$B$5:$B$204,0)),"ไม่พบสินค้า"))</f>
        <v/>
      </c>
      <c r="E768" s="17">
        <f>IF($C768="","",IFERROR(INDEX(สินค้า!$C$5:$C$204,MATCH($C768,สินค้า!$B$5:$B$204,0)),"ไม่พบสินค้า"))</f>
        <v/>
      </c>
      <c r="F768" s="17">
        <f>IF($C768="","",IFERROR(INDEX(สินค้า!$D$5:$D$204,MATCH($C768,สินค้า!$B$5:$B$204,0)),"ไม่พบสินค้า"))</f>
        <v/>
      </c>
      <c r="G768" s="15" t="n"/>
      <c r="H768" s="15" t="n"/>
      <c r="I768" s="18">
        <f>IF(AND(ISNUMBER(G768),ISNUMBER(H768),G768&gt;0),H768/G768,"")</f>
        <v/>
      </c>
      <c r="J768" s="15" t="n"/>
      <c r="K768" s="15" t="n"/>
      <c r="L768" s="17">
        <f>IF(A768="","",TEXT(A768,"yyyy-mm"))</f>
        <v/>
      </c>
      <c r="M768" s="17">
        <f>IF(AND(A768&lt;&gt;"",J768="Pending"),TODAY()-A768,"")</f>
        <v/>
      </c>
    </row>
    <row r="769">
      <c r="A769" s="16" t="n"/>
      <c r="B769" s="15" t="n"/>
      <c r="C769" s="15" t="n"/>
      <c r="D769" s="17">
        <f>IF($C769="","",IFERROR(INDEX(สินค้า!$A$5:$A$204,MATCH($C769,สินค้า!$B$5:$B$204,0)),"ไม่พบสินค้า"))</f>
        <v/>
      </c>
      <c r="E769" s="17">
        <f>IF($C769="","",IFERROR(INDEX(สินค้า!$C$5:$C$204,MATCH($C769,สินค้า!$B$5:$B$204,0)),"ไม่พบสินค้า"))</f>
        <v/>
      </c>
      <c r="F769" s="17">
        <f>IF($C769="","",IFERROR(INDEX(สินค้า!$D$5:$D$204,MATCH($C769,สินค้า!$B$5:$B$204,0)),"ไม่พบสินค้า"))</f>
        <v/>
      </c>
      <c r="G769" s="15" t="n"/>
      <c r="H769" s="15" t="n"/>
      <c r="I769" s="18">
        <f>IF(AND(ISNUMBER(G769),ISNUMBER(H769),G769&gt;0),H769/G769,"")</f>
        <v/>
      </c>
      <c r="J769" s="15" t="n"/>
      <c r="K769" s="15" t="n"/>
      <c r="L769" s="17">
        <f>IF(A769="","",TEXT(A769,"yyyy-mm"))</f>
        <v/>
      </c>
      <c r="M769" s="17">
        <f>IF(AND(A769&lt;&gt;"",J769="Pending"),TODAY()-A769,"")</f>
        <v/>
      </c>
    </row>
    <row r="770">
      <c r="A770" s="16" t="n"/>
      <c r="B770" s="15" t="n"/>
      <c r="C770" s="15" t="n"/>
      <c r="D770" s="17">
        <f>IF($C770="","",IFERROR(INDEX(สินค้า!$A$5:$A$204,MATCH($C770,สินค้า!$B$5:$B$204,0)),"ไม่พบสินค้า"))</f>
        <v/>
      </c>
      <c r="E770" s="17">
        <f>IF($C770="","",IFERROR(INDEX(สินค้า!$C$5:$C$204,MATCH($C770,สินค้า!$B$5:$B$204,0)),"ไม่พบสินค้า"))</f>
        <v/>
      </c>
      <c r="F770" s="17">
        <f>IF($C770="","",IFERROR(INDEX(สินค้า!$D$5:$D$204,MATCH($C770,สินค้า!$B$5:$B$204,0)),"ไม่พบสินค้า"))</f>
        <v/>
      </c>
      <c r="G770" s="15" t="n"/>
      <c r="H770" s="15" t="n"/>
      <c r="I770" s="18">
        <f>IF(AND(ISNUMBER(G770),ISNUMBER(H770),G770&gt;0),H770/G770,"")</f>
        <v/>
      </c>
      <c r="J770" s="15" t="n"/>
      <c r="K770" s="15" t="n"/>
      <c r="L770" s="17">
        <f>IF(A770="","",TEXT(A770,"yyyy-mm"))</f>
        <v/>
      </c>
      <c r="M770" s="17">
        <f>IF(AND(A770&lt;&gt;"",J770="Pending"),TODAY()-A770,"")</f>
        <v/>
      </c>
    </row>
    <row r="771">
      <c r="A771" s="16" t="n"/>
      <c r="B771" s="15" t="n"/>
      <c r="C771" s="15" t="n"/>
      <c r="D771" s="17">
        <f>IF($C771="","",IFERROR(INDEX(สินค้า!$A$5:$A$204,MATCH($C771,สินค้า!$B$5:$B$204,0)),"ไม่พบสินค้า"))</f>
        <v/>
      </c>
      <c r="E771" s="17">
        <f>IF($C771="","",IFERROR(INDEX(สินค้า!$C$5:$C$204,MATCH($C771,สินค้า!$B$5:$B$204,0)),"ไม่พบสินค้า"))</f>
        <v/>
      </c>
      <c r="F771" s="17">
        <f>IF($C771="","",IFERROR(INDEX(สินค้า!$D$5:$D$204,MATCH($C771,สินค้า!$B$5:$B$204,0)),"ไม่พบสินค้า"))</f>
        <v/>
      </c>
      <c r="G771" s="15" t="n"/>
      <c r="H771" s="15" t="n"/>
      <c r="I771" s="18">
        <f>IF(AND(ISNUMBER(G771),ISNUMBER(H771),G771&gt;0),H771/G771,"")</f>
        <v/>
      </c>
      <c r="J771" s="15" t="n"/>
      <c r="K771" s="15" t="n"/>
      <c r="L771" s="17">
        <f>IF(A771="","",TEXT(A771,"yyyy-mm"))</f>
        <v/>
      </c>
      <c r="M771" s="17">
        <f>IF(AND(A771&lt;&gt;"",J771="Pending"),TODAY()-A771,"")</f>
        <v/>
      </c>
    </row>
    <row r="772">
      <c r="A772" s="16" t="n"/>
      <c r="B772" s="15" t="n"/>
      <c r="C772" s="15" t="n"/>
      <c r="D772" s="17">
        <f>IF($C772="","",IFERROR(INDEX(สินค้า!$A$5:$A$204,MATCH($C772,สินค้า!$B$5:$B$204,0)),"ไม่พบสินค้า"))</f>
        <v/>
      </c>
      <c r="E772" s="17">
        <f>IF($C772="","",IFERROR(INDEX(สินค้า!$C$5:$C$204,MATCH($C772,สินค้า!$B$5:$B$204,0)),"ไม่พบสินค้า"))</f>
        <v/>
      </c>
      <c r="F772" s="17">
        <f>IF($C772="","",IFERROR(INDEX(สินค้า!$D$5:$D$204,MATCH($C772,สินค้า!$B$5:$B$204,0)),"ไม่พบสินค้า"))</f>
        <v/>
      </c>
      <c r="G772" s="15" t="n"/>
      <c r="H772" s="15" t="n"/>
      <c r="I772" s="18">
        <f>IF(AND(ISNUMBER(G772),ISNUMBER(H772),G772&gt;0),H772/G772,"")</f>
        <v/>
      </c>
      <c r="J772" s="15" t="n"/>
      <c r="K772" s="15" t="n"/>
      <c r="L772" s="17">
        <f>IF(A772="","",TEXT(A772,"yyyy-mm"))</f>
        <v/>
      </c>
      <c r="M772" s="17">
        <f>IF(AND(A772&lt;&gt;"",J772="Pending"),TODAY()-A772,"")</f>
        <v/>
      </c>
    </row>
    <row r="773">
      <c r="A773" s="16" t="n"/>
      <c r="B773" s="15" t="n"/>
      <c r="C773" s="15" t="n"/>
      <c r="D773" s="17">
        <f>IF($C773="","",IFERROR(INDEX(สินค้า!$A$5:$A$204,MATCH($C773,สินค้า!$B$5:$B$204,0)),"ไม่พบสินค้า"))</f>
        <v/>
      </c>
      <c r="E773" s="17">
        <f>IF($C773="","",IFERROR(INDEX(สินค้า!$C$5:$C$204,MATCH($C773,สินค้า!$B$5:$B$204,0)),"ไม่พบสินค้า"))</f>
        <v/>
      </c>
      <c r="F773" s="17">
        <f>IF($C773="","",IFERROR(INDEX(สินค้า!$D$5:$D$204,MATCH($C773,สินค้า!$B$5:$B$204,0)),"ไม่พบสินค้า"))</f>
        <v/>
      </c>
      <c r="G773" s="15" t="n"/>
      <c r="H773" s="15" t="n"/>
      <c r="I773" s="18">
        <f>IF(AND(ISNUMBER(G773),ISNUMBER(H773),G773&gt;0),H773/G773,"")</f>
        <v/>
      </c>
      <c r="J773" s="15" t="n"/>
      <c r="K773" s="15" t="n"/>
      <c r="L773" s="17">
        <f>IF(A773="","",TEXT(A773,"yyyy-mm"))</f>
        <v/>
      </c>
      <c r="M773" s="17">
        <f>IF(AND(A773&lt;&gt;"",J773="Pending"),TODAY()-A773,"")</f>
        <v/>
      </c>
    </row>
    <row r="774">
      <c r="A774" s="16" t="n"/>
      <c r="B774" s="15" t="n"/>
      <c r="C774" s="15" t="n"/>
      <c r="D774" s="17">
        <f>IF($C774="","",IFERROR(INDEX(สินค้า!$A$5:$A$204,MATCH($C774,สินค้า!$B$5:$B$204,0)),"ไม่พบสินค้า"))</f>
        <v/>
      </c>
      <c r="E774" s="17">
        <f>IF($C774="","",IFERROR(INDEX(สินค้า!$C$5:$C$204,MATCH($C774,สินค้า!$B$5:$B$204,0)),"ไม่พบสินค้า"))</f>
        <v/>
      </c>
      <c r="F774" s="17">
        <f>IF($C774="","",IFERROR(INDEX(สินค้า!$D$5:$D$204,MATCH($C774,สินค้า!$B$5:$B$204,0)),"ไม่พบสินค้า"))</f>
        <v/>
      </c>
      <c r="G774" s="15" t="n"/>
      <c r="H774" s="15" t="n"/>
      <c r="I774" s="18">
        <f>IF(AND(ISNUMBER(G774),ISNUMBER(H774),G774&gt;0),H774/G774,"")</f>
        <v/>
      </c>
      <c r="J774" s="15" t="n"/>
      <c r="K774" s="15" t="n"/>
      <c r="L774" s="17">
        <f>IF(A774="","",TEXT(A774,"yyyy-mm"))</f>
        <v/>
      </c>
      <c r="M774" s="17">
        <f>IF(AND(A774&lt;&gt;"",J774="Pending"),TODAY()-A774,"")</f>
        <v/>
      </c>
    </row>
    <row r="775">
      <c r="A775" s="16" t="n"/>
      <c r="B775" s="15" t="n"/>
      <c r="C775" s="15" t="n"/>
      <c r="D775" s="17">
        <f>IF($C775="","",IFERROR(INDEX(สินค้า!$A$5:$A$204,MATCH($C775,สินค้า!$B$5:$B$204,0)),"ไม่พบสินค้า"))</f>
        <v/>
      </c>
      <c r="E775" s="17">
        <f>IF($C775="","",IFERROR(INDEX(สินค้า!$C$5:$C$204,MATCH($C775,สินค้า!$B$5:$B$204,0)),"ไม่พบสินค้า"))</f>
        <v/>
      </c>
      <c r="F775" s="17">
        <f>IF($C775="","",IFERROR(INDEX(สินค้า!$D$5:$D$204,MATCH($C775,สินค้า!$B$5:$B$204,0)),"ไม่พบสินค้า"))</f>
        <v/>
      </c>
      <c r="G775" s="15" t="n"/>
      <c r="H775" s="15" t="n"/>
      <c r="I775" s="18">
        <f>IF(AND(ISNUMBER(G775),ISNUMBER(H775),G775&gt;0),H775/G775,"")</f>
        <v/>
      </c>
      <c r="J775" s="15" t="n"/>
      <c r="K775" s="15" t="n"/>
      <c r="L775" s="17">
        <f>IF(A775="","",TEXT(A775,"yyyy-mm"))</f>
        <v/>
      </c>
      <c r="M775" s="17">
        <f>IF(AND(A775&lt;&gt;"",J775="Pending"),TODAY()-A775,"")</f>
        <v/>
      </c>
    </row>
    <row r="776">
      <c r="A776" s="16" t="n"/>
      <c r="B776" s="15" t="n"/>
      <c r="C776" s="15" t="n"/>
      <c r="D776" s="17">
        <f>IF($C776="","",IFERROR(INDEX(สินค้า!$A$5:$A$204,MATCH($C776,สินค้า!$B$5:$B$204,0)),"ไม่พบสินค้า"))</f>
        <v/>
      </c>
      <c r="E776" s="17">
        <f>IF($C776="","",IFERROR(INDEX(สินค้า!$C$5:$C$204,MATCH($C776,สินค้า!$B$5:$B$204,0)),"ไม่พบสินค้า"))</f>
        <v/>
      </c>
      <c r="F776" s="17">
        <f>IF($C776="","",IFERROR(INDEX(สินค้า!$D$5:$D$204,MATCH($C776,สินค้า!$B$5:$B$204,0)),"ไม่พบสินค้า"))</f>
        <v/>
      </c>
      <c r="G776" s="15" t="n"/>
      <c r="H776" s="15" t="n"/>
      <c r="I776" s="18">
        <f>IF(AND(ISNUMBER(G776),ISNUMBER(H776),G776&gt;0),H776/G776,"")</f>
        <v/>
      </c>
      <c r="J776" s="15" t="n"/>
      <c r="K776" s="15" t="n"/>
      <c r="L776" s="17">
        <f>IF(A776="","",TEXT(A776,"yyyy-mm"))</f>
        <v/>
      </c>
      <c r="M776" s="17">
        <f>IF(AND(A776&lt;&gt;"",J776="Pending"),TODAY()-A776,"")</f>
        <v/>
      </c>
    </row>
    <row r="777">
      <c r="A777" s="16" t="n"/>
      <c r="B777" s="15" t="n"/>
      <c r="C777" s="15" t="n"/>
      <c r="D777" s="17">
        <f>IF($C777="","",IFERROR(INDEX(สินค้า!$A$5:$A$204,MATCH($C777,สินค้า!$B$5:$B$204,0)),"ไม่พบสินค้า"))</f>
        <v/>
      </c>
      <c r="E777" s="17">
        <f>IF($C777="","",IFERROR(INDEX(สินค้า!$C$5:$C$204,MATCH($C777,สินค้า!$B$5:$B$204,0)),"ไม่พบสินค้า"))</f>
        <v/>
      </c>
      <c r="F777" s="17">
        <f>IF($C777="","",IFERROR(INDEX(สินค้า!$D$5:$D$204,MATCH($C777,สินค้า!$B$5:$B$204,0)),"ไม่พบสินค้า"))</f>
        <v/>
      </c>
      <c r="G777" s="15" t="n"/>
      <c r="H777" s="15" t="n"/>
      <c r="I777" s="18">
        <f>IF(AND(ISNUMBER(G777),ISNUMBER(H777),G777&gt;0),H777/G777,"")</f>
        <v/>
      </c>
      <c r="J777" s="15" t="n"/>
      <c r="K777" s="15" t="n"/>
      <c r="L777" s="17">
        <f>IF(A777="","",TEXT(A777,"yyyy-mm"))</f>
        <v/>
      </c>
      <c r="M777" s="17">
        <f>IF(AND(A777&lt;&gt;"",J777="Pending"),TODAY()-A777,"")</f>
        <v/>
      </c>
    </row>
    <row r="778">
      <c r="A778" s="16" t="n"/>
      <c r="B778" s="15" t="n"/>
      <c r="C778" s="15" t="n"/>
      <c r="D778" s="17">
        <f>IF($C778="","",IFERROR(INDEX(สินค้า!$A$5:$A$204,MATCH($C778,สินค้า!$B$5:$B$204,0)),"ไม่พบสินค้า"))</f>
        <v/>
      </c>
      <c r="E778" s="17">
        <f>IF($C778="","",IFERROR(INDEX(สินค้า!$C$5:$C$204,MATCH($C778,สินค้า!$B$5:$B$204,0)),"ไม่พบสินค้า"))</f>
        <v/>
      </c>
      <c r="F778" s="17">
        <f>IF($C778="","",IFERROR(INDEX(สินค้า!$D$5:$D$204,MATCH($C778,สินค้า!$B$5:$B$204,0)),"ไม่พบสินค้า"))</f>
        <v/>
      </c>
      <c r="G778" s="15" t="n"/>
      <c r="H778" s="15" t="n"/>
      <c r="I778" s="18">
        <f>IF(AND(ISNUMBER(G778),ISNUMBER(H778),G778&gt;0),H778/G778,"")</f>
        <v/>
      </c>
      <c r="J778" s="15" t="n"/>
      <c r="K778" s="15" t="n"/>
      <c r="L778" s="17">
        <f>IF(A778="","",TEXT(A778,"yyyy-mm"))</f>
        <v/>
      </c>
      <c r="M778" s="17">
        <f>IF(AND(A778&lt;&gt;"",J778="Pending"),TODAY()-A778,"")</f>
        <v/>
      </c>
    </row>
    <row r="779">
      <c r="A779" s="16" t="n"/>
      <c r="B779" s="15" t="n"/>
      <c r="C779" s="15" t="n"/>
      <c r="D779" s="17">
        <f>IF($C779="","",IFERROR(INDEX(สินค้า!$A$5:$A$204,MATCH($C779,สินค้า!$B$5:$B$204,0)),"ไม่พบสินค้า"))</f>
        <v/>
      </c>
      <c r="E779" s="17">
        <f>IF($C779="","",IFERROR(INDEX(สินค้า!$C$5:$C$204,MATCH($C779,สินค้า!$B$5:$B$204,0)),"ไม่พบสินค้า"))</f>
        <v/>
      </c>
      <c r="F779" s="17">
        <f>IF($C779="","",IFERROR(INDEX(สินค้า!$D$5:$D$204,MATCH($C779,สินค้า!$B$5:$B$204,0)),"ไม่พบสินค้า"))</f>
        <v/>
      </c>
      <c r="G779" s="15" t="n"/>
      <c r="H779" s="15" t="n"/>
      <c r="I779" s="18">
        <f>IF(AND(ISNUMBER(G779),ISNUMBER(H779),G779&gt;0),H779/G779,"")</f>
        <v/>
      </c>
      <c r="J779" s="15" t="n"/>
      <c r="K779" s="15" t="n"/>
      <c r="L779" s="17">
        <f>IF(A779="","",TEXT(A779,"yyyy-mm"))</f>
        <v/>
      </c>
      <c r="M779" s="17">
        <f>IF(AND(A779&lt;&gt;"",J779="Pending"),TODAY()-A779,"")</f>
        <v/>
      </c>
    </row>
    <row r="780">
      <c r="A780" s="16" t="n"/>
      <c r="B780" s="15" t="n"/>
      <c r="C780" s="15" t="n"/>
      <c r="D780" s="17">
        <f>IF($C780="","",IFERROR(INDEX(สินค้า!$A$5:$A$204,MATCH($C780,สินค้า!$B$5:$B$204,0)),"ไม่พบสินค้า"))</f>
        <v/>
      </c>
      <c r="E780" s="17">
        <f>IF($C780="","",IFERROR(INDEX(สินค้า!$C$5:$C$204,MATCH($C780,สินค้า!$B$5:$B$204,0)),"ไม่พบสินค้า"))</f>
        <v/>
      </c>
      <c r="F780" s="17">
        <f>IF($C780="","",IFERROR(INDEX(สินค้า!$D$5:$D$204,MATCH($C780,สินค้า!$B$5:$B$204,0)),"ไม่พบสินค้า"))</f>
        <v/>
      </c>
      <c r="G780" s="15" t="n"/>
      <c r="H780" s="15" t="n"/>
      <c r="I780" s="18">
        <f>IF(AND(ISNUMBER(G780),ISNUMBER(H780),G780&gt;0),H780/G780,"")</f>
        <v/>
      </c>
      <c r="J780" s="15" t="n"/>
      <c r="K780" s="15" t="n"/>
      <c r="L780" s="17">
        <f>IF(A780="","",TEXT(A780,"yyyy-mm"))</f>
        <v/>
      </c>
      <c r="M780" s="17">
        <f>IF(AND(A780&lt;&gt;"",J780="Pending"),TODAY()-A780,"")</f>
        <v/>
      </c>
    </row>
    <row r="781">
      <c r="A781" s="16" t="n"/>
      <c r="B781" s="15" t="n"/>
      <c r="C781" s="15" t="n"/>
      <c r="D781" s="17">
        <f>IF($C781="","",IFERROR(INDEX(สินค้า!$A$5:$A$204,MATCH($C781,สินค้า!$B$5:$B$204,0)),"ไม่พบสินค้า"))</f>
        <v/>
      </c>
      <c r="E781" s="17">
        <f>IF($C781="","",IFERROR(INDEX(สินค้า!$C$5:$C$204,MATCH($C781,สินค้า!$B$5:$B$204,0)),"ไม่พบสินค้า"))</f>
        <v/>
      </c>
      <c r="F781" s="17">
        <f>IF($C781="","",IFERROR(INDEX(สินค้า!$D$5:$D$204,MATCH($C781,สินค้า!$B$5:$B$204,0)),"ไม่พบสินค้า"))</f>
        <v/>
      </c>
      <c r="G781" s="15" t="n"/>
      <c r="H781" s="15" t="n"/>
      <c r="I781" s="18">
        <f>IF(AND(ISNUMBER(G781),ISNUMBER(H781),G781&gt;0),H781/G781,"")</f>
        <v/>
      </c>
      <c r="J781" s="15" t="n"/>
      <c r="K781" s="15" t="n"/>
      <c r="L781" s="17">
        <f>IF(A781="","",TEXT(A781,"yyyy-mm"))</f>
        <v/>
      </c>
      <c r="M781" s="17">
        <f>IF(AND(A781&lt;&gt;"",J781="Pending"),TODAY()-A781,"")</f>
        <v/>
      </c>
    </row>
    <row r="782">
      <c r="A782" s="16" t="n"/>
      <c r="B782" s="15" t="n"/>
      <c r="C782" s="15" t="n"/>
      <c r="D782" s="17">
        <f>IF($C782="","",IFERROR(INDEX(สินค้า!$A$5:$A$204,MATCH($C782,สินค้า!$B$5:$B$204,0)),"ไม่พบสินค้า"))</f>
        <v/>
      </c>
      <c r="E782" s="17">
        <f>IF($C782="","",IFERROR(INDEX(สินค้า!$C$5:$C$204,MATCH($C782,สินค้า!$B$5:$B$204,0)),"ไม่พบสินค้า"))</f>
        <v/>
      </c>
      <c r="F782" s="17">
        <f>IF($C782="","",IFERROR(INDEX(สินค้า!$D$5:$D$204,MATCH($C782,สินค้า!$B$5:$B$204,0)),"ไม่พบสินค้า"))</f>
        <v/>
      </c>
      <c r="G782" s="15" t="n"/>
      <c r="H782" s="15" t="n"/>
      <c r="I782" s="18">
        <f>IF(AND(ISNUMBER(G782),ISNUMBER(H782),G782&gt;0),H782/G782,"")</f>
        <v/>
      </c>
      <c r="J782" s="15" t="n"/>
      <c r="K782" s="15" t="n"/>
      <c r="L782" s="17">
        <f>IF(A782="","",TEXT(A782,"yyyy-mm"))</f>
        <v/>
      </c>
      <c r="M782" s="17">
        <f>IF(AND(A782&lt;&gt;"",J782="Pending"),TODAY()-A782,"")</f>
        <v/>
      </c>
    </row>
    <row r="783">
      <c r="A783" s="16" t="n"/>
      <c r="B783" s="15" t="n"/>
      <c r="C783" s="15" t="n"/>
      <c r="D783" s="17">
        <f>IF($C783="","",IFERROR(INDEX(สินค้า!$A$5:$A$204,MATCH($C783,สินค้า!$B$5:$B$204,0)),"ไม่พบสินค้า"))</f>
        <v/>
      </c>
      <c r="E783" s="17">
        <f>IF($C783="","",IFERROR(INDEX(สินค้า!$C$5:$C$204,MATCH($C783,สินค้า!$B$5:$B$204,0)),"ไม่พบสินค้า"))</f>
        <v/>
      </c>
      <c r="F783" s="17">
        <f>IF($C783="","",IFERROR(INDEX(สินค้า!$D$5:$D$204,MATCH($C783,สินค้า!$B$5:$B$204,0)),"ไม่พบสินค้า"))</f>
        <v/>
      </c>
      <c r="G783" s="15" t="n"/>
      <c r="H783" s="15" t="n"/>
      <c r="I783" s="18">
        <f>IF(AND(ISNUMBER(G783),ISNUMBER(H783),G783&gt;0),H783/G783,"")</f>
        <v/>
      </c>
      <c r="J783" s="15" t="n"/>
      <c r="K783" s="15" t="n"/>
      <c r="L783" s="17">
        <f>IF(A783="","",TEXT(A783,"yyyy-mm"))</f>
        <v/>
      </c>
      <c r="M783" s="17">
        <f>IF(AND(A783&lt;&gt;"",J783="Pending"),TODAY()-A783,"")</f>
        <v/>
      </c>
    </row>
    <row r="784">
      <c r="A784" s="16" t="n"/>
      <c r="B784" s="15" t="n"/>
      <c r="C784" s="15" t="n"/>
      <c r="D784" s="17">
        <f>IF($C784="","",IFERROR(INDEX(สินค้า!$A$5:$A$204,MATCH($C784,สินค้า!$B$5:$B$204,0)),"ไม่พบสินค้า"))</f>
        <v/>
      </c>
      <c r="E784" s="17">
        <f>IF($C784="","",IFERROR(INDEX(สินค้า!$C$5:$C$204,MATCH($C784,สินค้า!$B$5:$B$204,0)),"ไม่พบสินค้า"))</f>
        <v/>
      </c>
      <c r="F784" s="17">
        <f>IF($C784="","",IFERROR(INDEX(สินค้า!$D$5:$D$204,MATCH($C784,สินค้า!$B$5:$B$204,0)),"ไม่พบสินค้า"))</f>
        <v/>
      </c>
      <c r="G784" s="15" t="n"/>
      <c r="H784" s="15" t="n"/>
      <c r="I784" s="18">
        <f>IF(AND(ISNUMBER(G784),ISNUMBER(H784),G784&gt;0),H784/G784,"")</f>
        <v/>
      </c>
      <c r="J784" s="15" t="n"/>
      <c r="K784" s="15" t="n"/>
      <c r="L784" s="17">
        <f>IF(A784="","",TEXT(A784,"yyyy-mm"))</f>
        <v/>
      </c>
      <c r="M784" s="17">
        <f>IF(AND(A784&lt;&gt;"",J784="Pending"),TODAY()-A784,"")</f>
        <v/>
      </c>
    </row>
    <row r="785">
      <c r="A785" s="16" t="n"/>
      <c r="B785" s="15" t="n"/>
      <c r="C785" s="15" t="n"/>
      <c r="D785" s="17">
        <f>IF($C785="","",IFERROR(INDEX(สินค้า!$A$5:$A$204,MATCH($C785,สินค้า!$B$5:$B$204,0)),"ไม่พบสินค้า"))</f>
        <v/>
      </c>
      <c r="E785" s="17">
        <f>IF($C785="","",IFERROR(INDEX(สินค้า!$C$5:$C$204,MATCH($C785,สินค้า!$B$5:$B$204,0)),"ไม่พบสินค้า"))</f>
        <v/>
      </c>
      <c r="F785" s="17">
        <f>IF($C785="","",IFERROR(INDEX(สินค้า!$D$5:$D$204,MATCH($C785,สินค้า!$B$5:$B$204,0)),"ไม่พบสินค้า"))</f>
        <v/>
      </c>
      <c r="G785" s="15" t="n"/>
      <c r="H785" s="15" t="n"/>
      <c r="I785" s="18">
        <f>IF(AND(ISNUMBER(G785),ISNUMBER(H785),G785&gt;0),H785/G785,"")</f>
        <v/>
      </c>
      <c r="J785" s="15" t="n"/>
      <c r="K785" s="15" t="n"/>
      <c r="L785" s="17">
        <f>IF(A785="","",TEXT(A785,"yyyy-mm"))</f>
        <v/>
      </c>
      <c r="M785" s="17">
        <f>IF(AND(A785&lt;&gt;"",J785="Pending"),TODAY()-A785,"")</f>
        <v/>
      </c>
    </row>
    <row r="786">
      <c r="A786" s="16" t="n"/>
      <c r="B786" s="15" t="n"/>
      <c r="C786" s="15" t="n"/>
      <c r="D786" s="17">
        <f>IF($C786="","",IFERROR(INDEX(สินค้า!$A$5:$A$204,MATCH($C786,สินค้า!$B$5:$B$204,0)),"ไม่พบสินค้า"))</f>
        <v/>
      </c>
      <c r="E786" s="17">
        <f>IF($C786="","",IFERROR(INDEX(สินค้า!$C$5:$C$204,MATCH($C786,สินค้า!$B$5:$B$204,0)),"ไม่พบสินค้า"))</f>
        <v/>
      </c>
      <c r="F786" s="17">
        <f>IF($C786="","",IFERROR(INDEX(สินค้า!$D$5:$D$204,MATCH($C786,สินค้า!$B$5:$B$204,0)),"ไม่พบสินค้า"))</f>
        <v/>
      </c>
      <c r="G786" s="15" t="n"/>
      <c r="H786" s="15" t="n"/>
      <c r="I786" s="18">
        <f>IF(AND(ISNUMBER(G786),ISNUMBER(H786),G786&gt;0),H786/G786,"")</f>
        <v/>
      </c>
      <c r="J786" s="15" t="n"/>
      <c r="K786" s="15" t="n"/>
      <c r="L786" s="17">
        <f>IF(A786="","",TEXT(A786,"yyyy-mm"))</f>
        <v/>
      </c>
      <c r="M786" s="17">
        <f>IF(AND(A786&lt;&gt;"",J786="Pending"),TODAY()-A786,"")</f>
        <v/>
      </c>
    </row>
    <row r="787">
      <c r="A787" s="16" t="n"/>
      <c r="B787" s="15" t="n"/>
      <c r="C787" s="15" t="n"/>
      <c r="D787" s="17">
        <f>IF($C787="","",IFERROR(INDEX(สินค้า!$A$5:$A$204,MATCH($C787,สินค้า!$B$5:$B$204,0)),"ไม่พบสินค้า"))</f>
        <v/>
      </c>
      <c r="E787" s="17">
        <f>IF($C787="","",IFERROR(INDEX(สินค้า!$C$5:$C$204,MATCH($C787,สินค้า!$B$5:$B$204,0)),"ไม่พบสินค้า"))</f>
        <v/>
      </c>
      <c r="F787" s="17">
        <f>IF($C787="","",IFERROR(INDEX(สินค้า!$D$5:$D$204,MATCH($C787,สินค้า!$B$5:$B$204,0)),"ไม่พบสินค้า"))</f>
        <v/>
      </c>
      <c r="G787" s="15" t="n"/>
      <c r="H787" s="15" t="n"/>
      <c r="I787" s="18">
        <f>IF(AND(ISNUMBER(G787),ISNUMBER(H787),G787&gt;0),H787/G787,"")</f>
        <v/>
      </c>
      <c r="J787" s="15" t="n"/>
      <c r="K787" s="15" t="n"/>
      <c r="L787" s="17">
        <f>IF(A787="","",TEXT(A787,"yyyy-mm"))</f>
        <v/>
      </c>
      <c r="M787" s="17">
        <f>IF(AND(A787&lt;&gt;"",J787="Pending"),TODAY()-A787,"")</f>
        <v/>
      </c>
    </row>
    <row r="788">
      <c r="A788" s="16" t="n"/>
      <c r="B788" s="15" t="n"/>
      <c r="C788" s="15" t="n"/>
      <c r="D788" s="17">
        <f>IF($C788="","",IFERROR(INDEX(สินค้า!$A$5:$A$204,MATCH($C788,สินค้า!$B$5:$B$204,0)),"ไม่พบสินค้า"))</f>
        <v/>
      </c>
      <c r="E788" s="17">
        <f>IF($C788="","",IFERROR(INDEX(สินค้า!$C$5:$C$204,MATCH($C788,สินค้า!$B$5:$B$204,0)),"ไม่พบสินค้า"))</f>
        <v/>
      </c>
      <c r="F788" s="17">
        <f>IF($C788="","",IFERROR(INDEX(สินค้า!$D$5:$D$204,MATCH($C788,สินค้า!$B$5:$B$204,0)),"ไม่พบสินค้า"))</f>
        <v/>
      </c>
      <c r="G788" s="15" t="n"/>
      <c r="H788" s="15" t="n"/>
      <c r="I788" s="18">
        <f>IF(AND(ISNUMBER(G788),ISNUMBER(H788),G788&gt;0),H788/G788,"")</f>
        <v/>
      </c>
      <c r="J788" s="15" t="n"/>
      <c r="K788" s="15" t="n"/>
      <c r="L788" s="17">
        <f>IF(A788="","",TEXT(A788,"yyyy-mm"))</f>
        <v/>
      </c>
      <c r="M788" s="17">
        <f>IF(AND(A788&lt;&gt;"",J788="Pending"),TODAY()-A788,"")</f>
        <v/>
      </c>
    </row>
    <row r="789">
      <c r="A789" s="16" t="n"/>
      <c r="B789" s="15" t="n"/>
      <c r="C789" s="15" t="n"/>
      <c r="D789" s="17">
        <f>IF($C789="","",IFERROR(INDEX(สินค้า!$A$5:$A$204,MATCH($C789,สินค้า!$B$5:$B$204,0)),"ไม่พบสินค้า"))</f>
        <v/>
      </c>
      <c r="E789" s="17">
        <f>IF($C789="","",IFERROR(INDEX(สินค้า!$C$5:$C$204,MATCH($C789,สินค้า!$B$5:$B$204,0)),"ไม่พบสินค้า"))</f>
        <v/>
      </c>
      <c r="F789" s="17">
        <f>IF($C789="","",IFERROR(INDEX(สินค้า!$D$5:$D$204,MATCH($C789,สินค้า!$B$5:$B$204,0)),"ไม่พบสินค้า"))</f>
        <v/>
      </c>
      <c r="G789" s="15" t="n"/>
      <c r="H789" s="15" t="n"/>
      <c r="I789" s="18">
        <f>IF(AND(ISNUMBER(G789),ISNUMBER(H789),G789&gt;0),H789/G789,"")</f>
        <v/>
      </c>
      <c r="J789" s="15" t="n"/>
      <c r="K789" s="15" t="n"/>
      <c r="L789" s="17">
        <f>IF(A789="","",TEXT(A789,"yyyy-mm"))</f>
        <v/>
      </c>
      <c r="M789" s="17">
        <f>IF(AND(A789&lt;&gt;"",J789="Pending"),TODAY()-A789,"")</f>
        <v/>
      </c>
    </row>
    <row r="790">
      <c r="A790" s="16" t="n"/>
      <c r="B790" s="15" t="n"/>
      <c r="C790" s="15" t="n"/>
      <c r="D790" s="17">
        <f>IF($C790="","",IFERROR(INDEX(สินค้า!$A$5:$A$204,MATCH($C790,สินค้า!$B$5:$B$204,0)),"ไม่พบสินค้า"))</f>
        <v/>
      </c>
      <c r="E790" s="17">
        <f>IF($C790="","",IFERROR(INDEX(สินค้า!$C$5:$C$204,MATCH($C790,สินค้า!$B$5:$B$204,0)),"ไม่พบสินค้า"))</f>
        <v/>
      </c>
      <c r="F790" s="17">
        <f>IF($C790="","",IFERROR(INDEX(สินค้า!$D$5:$D$204,MATCH($C790,สินค้า!$B$5:$B$204,0)),"ไม่พบสินค้า"))</f>
        <v/>
      </c>
      <c r="G790" s="15" t="n"/>
      <c r="H790" s="15" t="n"/>
      <c r="I790" s="18">
        <f>IF(AND(ISNUMBER(G790),ISNUMBER(H790),G790&gt;0),H790/G790,"")</f>
        <v/>
      </c>
      <c r="J790" s="15" t="n"/>
      <c r="K790" s="15" t="n"/>
      <c r="L790" s="17">
        <f>IF(A790="","",TEXT(A790,"yyyy-mm"))</f>
        <v/>
      </c>
      <c r="M790" s="17">
        <f>IF(AND(A790&lt;&gt;"",J790="Pending"),TODAY()-A790,"")</f>
        <v/>
      </c>
    </row>
    <row r="791">
      <c r="A791" s="16" t="n"/>
      <c r="B791" s="15" t="n"/>
      <c r="C791" s="15" t="n"/>
      <c r="D791" s="17">
        <f>IF($C791="","",IFERROR(INDEX(สินค้า!$A$5:$A$204,MATCH($C791,สินค้า!$B$5:$B$204,0)),"ไม่พบสินค้า"))</f>
        <v/>
      </c>
      <c r="E791" s="17">
        <f>IF($C791="","",IFERROR(INDEX(สินค้า!$C$5:$C$204,MATCH($C791,สินค้า!$B$5:$B$204,0)),"ไม่พบสินค้า"))</f>
        <v/>
      </c>
      <c r="F791" s="17">
        <f>IF($C791="","",IFERROR(INDEX(สินค้า!$D$5:$D$204,MATCH($C791,สินค้า!$B$5:$B$204,0)),"ไม่พบสินค้า"))</f>
        <v/>
      </c>
      <c r="G791" s="15" t="n"/>
      <c r="H791" s="15" t="n"/>
      <c r="I791" s="18">
        <f>IF(AND(ISNUMBER(G791),ISNUMBER(H791),G791&gt;0),H791/G791,"")</f>
        <v/>
      </c>
      <c r="J791" s="15" t="n"/>
      <c r="K791" s="15" t="n"/>
      <c r="L791" s="17">
        <f>IF(A791="","",TEXT(A791,"yyyy-mm"))</f>
        <v/>
      </c>
      <c r="M791" s="17">
        <f>IF(AND(A791&lt;&gt;"",J791="Pending"),TODAY()-A791,"")</f>
        <v/>
      </c>
    </row>
    <row r="792">
      <c r="A792" s="16" t="n"/>
      <c r="B792" s="15" t="n"/>
      <c r="C792" s="15" t="n"/>
      <c r="D792" s="17">
        <f>IF($C792="","",IFERROR(INDEX(สินค้า!$A$5:$A$204,MATCH($C792,สินค้า!$B$5:$B$204,0)),"ไม่พบสินค้า"))</f>
        <v/>
      </c>
      <c r="E792" s="17">
        <f>IF($C792="","",IFERROR(INDEX(สินค้า!$C$5:$C$204,MATCH($C792,สินค้า!$B$5:$B$204,0)),"ไม่พบสินค้า"))</f>
        <v/>
      </c>
      <c r="F792" s="17">
        <f>IF($C792="","",IFERROR(INDEX(สินค้า!$D$5:$D$204,MATCH($C792,สินค้า!$B$5:$B$204,0)),"ไม่พบสินค้า"))</f>
        <v/>
      </c>
      <c r="G792" s="15" t="n"/>
      <c r="H792" s="15" t="n"/>
      <c r="I792" s="18">
        <f>IF(AND(ISNUMBER(G792),ISNUMBER(H792),G792&gt;0),H792/G792,"")</f>
        <v/>
      </c>
      <c r="J792" s="15" t="n"/>
      <c r="K792" s="15" t="n"/>
      <c r="L792" s="17">
        <f>IF(A792="","",TEXT(A792,"yyyy-mm"))</f>
        <v/>
      </c>
      <c r="M792" s="17">
        <f>IF(AND(A792&lt;&gt;"",J792="Pending"),TODAY()-A792,"")</f>
        <v/>
      </c>
    </row>
    <row r="793">
      <c r="A793" s="16" t="n"/>
      <c r="B793" s="15" t="n"/>
      <c r="C793" s="15" t="n"/>
      <c r="D793" s="17">
        <f>IF($C793="","",IFERROR(INDEX(สินค้า!$A$5:$A$204,MATCH($C793,สินค้า!$B$5:$B$204,0)),"ไม่พบสินค้า"))</f>
        <v/>
      </c>
      <c r="E793" s="17">
        <f>IF($C793="","",IFERROR(INDEX(สินค้า!$C$5:$C$204,MATCH($C793,สินค้า!$B$5:$B$204,0)),"ไม่พบสินค้า"))</f>
        <v/>
      </c>
      <c r="F793" s="17">
        <f>IF($C793="","",IFERROR(INDEX(สินค้า!$D$5:$D$204,MATCH($C793,สินค้า!$B$5:$B$204,0)),"ไม่พบสินค้า"))</f>
        <v/>
      </c>
      <c r="G793" s="15" t="n"/>
      <c r="H793" s="15" t="n"/>
      <c r="I793" s="18">
        <f>IF(AND(ISNUMBER(G793),ISNUMBER(H793),G793&gt;0),H793/G793,"")</f>
        <v/>
      </c>
      <c r="J793" s="15" t="n"/>
      <c r="K793" s="15" t="n"/>
      <c r="L793" s="17">
        <f>IF(A793="","",TEXT(A793,"yyyy-mm"))</f>
        <v/>
      </c>
      <c r="M793" s="17">
        <f>IF(AND(A793&lt;&gt;"",J793="Pending"),TODAY()-A793,"")</f>
        <v/>
      </c>
    </row>
    <row r="794">
      <c r="A794" s="16" t="n"/>
      <c r="B794" s="15" t="n"/>
      <c r="C794" s="15" t="n"/>
      <c r="D794" s="17">
        <f>IF($C794="","",IFERROR(INDEX(สินค้า!$A$5:$A$204,MATCH($C794,สินค้า!$B$5:$B$204,0)),"ไม่พบสินค้า"))</f>
        <v/>
      </c>
      <c r="E794" s="17">
        <f>IF($C794="","",IFERROR(INDEX(สินค้า!$C$5:$C$204,MATCH($C794,สินค้า!$B$5:$B$204,0)),"ไม่พบสินค้า"))</f>
        <v/>
      </c>
      <c r="F794" s="17">
        <f>IF($C794="","",IFERROR(INDEX(สินค้า!$D$5:$D$204,MATCH($C794,สินค้า!$B$5:$B$204,0)),"ไม่พบสินค้า"))</f>
        <v/>
      </c>
      <c r="G794" s="15" t="n"/>
      <c r="H794" s="15" t="n"/>
      <c r="I794" s="18">
        <f>IF(AND(ISNUMBER(G794),ISNUMBER(H794),G794&gt;0),H794/G794,"")</f>
        <v/>
      </c>
      <c r="J794" s="15" t="n"/>
      <c r="K794" s="15" t="n"/>
      <c r="L794" s="17">
        <f>IF(A794="","",TEXT(A794,"yyyy-mm"))</f>
        <v/>
      </c>
      <c r="M794" s="17">
        <f>IF(AND(A794&lt;&gt;"",J794="Pending"),TODAY()-A794,"")</f>
        <v/>
      </c>
    </row>
    <row r="795">
      <c r="A795" s="16" t="n"/>
      <c r="B795" s="15" t="n"/>
      <c r="C795" s="15" t="n"/>
      <c r="D795" s="17">
        <f>IF($C795="","",IFERROR(INDEX(สินค้า!$A$5:$A$204,MATCH($C795,สินค้า!$B$5:$B$204,0)),"ไม่พบสินค้า"))</f>
        <v/>
      </c>
      <c r="E795" s="17">
        <f>IF($C795="","",IFERROR(INDEX(สินค้า!$C$5:$C$204,MATCH($C795,สินค้า!$B$5:$B$204,0)),"ไม่พบสินค้า"))</f>
        <v/>
      </c>
      <c r="F795" s="17">
        <f>IF($C795="","",IFERROR(INDEX(สินค้า!$D$5:$D$204,MATCH($C795,สินค้า!$B$5:$B$204,0)),"ไม่พบสินค้า"))</f>
        <v/>
      </c>
      <c r="G795" s="15" t="n"/>
      <c r="H795" s="15" t="n"/>
      <c r="I795" s="18">
        <f>IF(AND(ISNUMBER(G795),ISNUMBER(H795),G795&gt;0),H795/G795,"")</f>
        <v/>
      </c>
      <c r="J795" s="15" t="n"/>
      <c r="K795" s="15" t="n"/>
      <c r="L795" s="17">
        <f>IF(A795="","",TEXT(A795,"yyyy-mm"))</f>
        <v/>
      </c>
      <c r="M795" s="17">
        <f>IF(AND(A795&lt;&gt;"",J795="Pending"),TODAY()-A795,"")</f>
        <v/>
      </c>
    </row>
    <row r="796">
      <c r="A796" s="16" t="n"/>
      <c r="B796" s="15" t="n"/>
      <c r="C796" s="15" t="n"/>
      <c r="D796" s="17">
        <f>IF($C796="","",IFERROR(INDEX(สินค้า!$A$5:$A$204,MATCH($C796,สินค้า!$B$5:$B$204,0)),"ไม่พบสินค้า"))</f>
        <v/>
      </c>
      <c r="E796" s="17">
        <f>IF($C796="","",IFERROR(INDEX(สินค้า!$C$5:$C$204,MATCH($C796,สินค้า!$B$5:$B$204,0)),"ไม่พบสินค้า"))</f>
        <v/>
      </c>
      <c r="F796" s="17">
        <f>IF($C796="","",IFERROR(INDEX(สินค้า!$D$5:$D$204,MATCH($C796,สินค้า!$B$5:$B$204,0)),"ไม่พบสินค้า"))</f>
        <v/>
      </c>
      <c r="G796" s="15" t="n"/>
      <c r="H796" s="15" t="n"/>
      <c r="I796" s="18">
        <f>IF(AND(ISNUMBER(G796),ISNUMBER(H796),G796&gt;0),H796/G796,"")</f>
        <v/>
      </c>
      <c r="J796" s="15" t="n"/>
      <c r="K796" s="15" t="n"/>
      <c r="L796" s="17">
        <f>IF(A796="","",TEXT(A796,"yyyy-mm"))</f>
        <v/>
      </c>
      <c r="M796" s="17">
        <f>IF(AND(A796&lt;&gt;"",J796="Pending"),TODAY()-A796,"")</f>
        <v/>
      </c>
    </row>
    <row r="797">
      <c r="A797" s="16" t="n"/>
      <c r="B797" s="15" t="n"/>
      <c r="C797" s="15" t="n"/>
      <c r="D797" s="17">
        <f>IF($C797="","",IFERROR(INDEX(สินค้า!$A$5:$A$204,MATCH($C797,สินค้า!$B$5:$B$204,0)),"ไม่พบสินค้า"))</f>
        <v/>
      </c>
      <c r="E797" s="17">
        <f>IF($C797="","",IFERROR(INDEX(สินค้า!$C$5:$C$204,MATCH($C797,สินค้า!$B$5:$B$204,0)),"ไม่พบสินค้า"))</f>
        <v/>
      </c>
      <c r="F797" s="17">
        <f>IF($C797="","",IFERROR(INDEX(สินค้า!$D$5:$D$204,MATCH($C797,สินค้า!$B$5:$B$204,0)),"ไม่พบสินค้า"))</f>
        <v/>
      </c>
      <c r="G797" s="15" t="n"/>
      <c r="H797" s="15" t="n"/>
      <c r="I797" s="18">
        <f>IF(AND(ISNUMBER(G797),ISNUMBER(H797),G797&gt;0),H797/G797,"")</f>
        <v/>
      </c>
      <c r="J797" s="15" t="n"/>
      <c r="K797" s="15" t="n"/>
      <c r="L797" s="17">
        <f>IF(A797="","",TEXT(A797,"yyyy-mm"))</f>
        <v/>
      </c>
      <c r="M797" s="17">
        <f>IF(AND(A797&lt;&gt;"",J797="Pending"),TODAY()-A797,"")</f>
        <v/>
      </c>
    </row>
    <row r="798">
      <c r="A798" s="16" t="n"/>
      <c r="B798" s="15" t="n"/>
      <c r="C798" s="15" t="n"/>
      <c r="D798" s="17">
        <f>IF($C798="","",IFERROR(INDEX(สินค้า!$A$5:$A$204,MATCH($C798,สินค้า!$B$5:$B$204,0)),"ไม่พบสินค้า"))</f>
        <v/>
      </c>
      <c r="E798" s="17">
        <f>IF($C798="","",IFERROR(INDEX(สินค้า!$C$5:$C$204,MATCH($C798,สินค้า!$B$5:$B$204,0)),"ไม่พบสินค้า"))</f>
        <v/>
      </c>
      <c r="F798" s="17">
        <f>IF($C798="","",IFERROR(INDEX(สินค้า!$D$5:$D$204,MATCH($C798,สินค้า!$B$5:$B$204,0)),"ไม่พบสินค้า"))</f>
        <v/>
      </c>
      <c r="G798" s="15" t="n"/>
      <c r="H798" s="15" t="n"/>
      <c r="I798" s="18">
        <f>IF(AND(ISNUMBER(G798),ISNUMBER(H798),G798&gt;0),H798/G798,"")</f>
        <v/>
      </c>
      <c r="J798" s="15" t="n"/>
      <c r="K798" s="15" t="n"/>
      <c r="L798" s="17">
        <f>IF(A798="","",TEXT(A798,"yyyy-mm"))</f>
        <v/>
      </c>
      <c r="M798" s="17">
        <f>IF(AND(A798&lt;&gt;"",J798="Pending"),TODAY()-A798,"")</f>
        <v/>
      </c>
    </row>
    <row r="799">
      <c r="A799" s="16" t="n"/>
      <c r="B799" s="15" t="n"/>
      <c r="C799" s="15" t="n"/>
      <c r="D799" s="17">
        <f>IF($C799="","",IFERROR(INDEX(สินค้า!$A$5:$A$204,MATCH($C799,สินค้า!$B$5:$B$204,0)),"ไม่พบสินค้า"))</f>
        <v/>
      </c>
      <c r="E799" s="17">
        <f>IF($C799="","",IFERROR(INDEX(สินค้า!$C$5:$C$204,MATCH($C799,สินค้า!$B$5:$B$204,0)),"ไม่พบสินค้า"))</f>
        <v/>
      </c>
      <c r="F799" s="17">
        <f>IF($C799="","",IFERROR(INDEX(สินค้า!$D$5:$D$204,MATCH($C799,สินค้า!$B$5:$B$204,0)),"ไม่พบสินค้า"))</f>
        <v/>
      </c>
      <c r="G799" s="15" t="n"/>
      <c r="H799" s="15" t="n"/>
      <c r="I799" s="18">
        <f>IF(AND(ISNUMBER(G799),ISNUMBER(H799),G799&gt;0),H799/G799,"")</f>
        <v/>
      </c>
      <c r="J799" s="15" t="n"/>
      <c r="K799" s="15" t="n"/>
      <c r="L799" s="17">
        <f>IF(A799="","",TEXT(A799,"yyyy-mm"))</f>
        <v/>
      </c>
      <c r="M799" s="17">
        <f>IF(AND(A799&lt;&gt;"",J799="Pending"),TODAY()-A799,"")</f>
        <v/>
      </c>
    </row>
    <row r="800">
      <c r="A800" s="16" t="n"/>
      <c r="B800" s="15" t="n"/>
      <c r="C800" s="15" t="n"/>
      <c r="D800" s="17">
        <f>IF($C800="","",IFERROR(INDEX(สินค้า!$A$5:$A$204,MATCH($C800,สินค้า!$B$5:$B$204,0)),"ไม่พบสินค้า"))</f>
        <v/>
      </c>
      <c r="E800" s="17">
        <f>IF($C800="","",IFERROR(INDEX(สินค้า!$C$5:$C$204,MATCH($C800,สินค้า!$B$5:$B$204,0)),"ไม่พบสินค้า"))</f>
        <v/>
      </c>
      <c r="F800" s="17">
        <f>IF($C800="","",IFERROR(INDEX(สินค้า!$D$5:$D$204,MATCH($C800,สินค้า!$B$5:$B$204,0)),"ไม่พบสินค้า"))</f>
        <v/>
      </c>
      <c r="G800" s="15" t="n"/>
      <c r="H800" s="15" t="n"/>
      <c r="I800" s="18">
        <f>IF(AND(ISNUMBER(G800),ISNUMBER(H800),G800&gt;0),H800/G800,"")</f>
        <v/>
      </c>
      <c r="J800" s="15" t="n"/>
      <c r="K800" s="15" t="n"/>
      <c r="L800" s="17">
        <f>IF(A800="","",TEXT(A800,"yyyy-mm"))</f>
        <v/>
      </c>
      <c r="M800" s="17">
        <f>IF(AND(A800&lt;&gt;"",J800="Pending"),TODAY()-A800,"")</f>
        <v/>
      </c>
    </row>
    <row r="801">
      <c r="A801" s="16" t="n"/>
      <c r="B801" s="15" t="n"/>
      <c r="C801" s="15" t="n"/>
      <c r="D801" s="17">
        <f>IF($C801="","",IFERROR(INDEX(สินค้า!$A$5:$A$204,MATCH($C801,สินค้า!$B$5:$B$204,0)),"ไม่พบสินค้า"))</f>
        <v/>
      </c>
      <c r="E801" s="17">
        <f>IF($C801="","",IFERROR(INDEX(สินค้า!$C$5:$C$204,MATCH($C801,สินค้า!$B$5:$B$204,0)),"ไม่พบสินค้า"))</f>
        <v/>
      </c>
      <c r="F801" s="17">
        <f>IF($C801="","",IFERROR(INDEX(สินค้า!$D$5:$D$204,MATCH($C801,สินค้า!$B$5:$B$204,0)),"ไม่พบสินค้า"))</f>
        <v/>
      </c>
      <c r="G801" s="15" t="n"/>
      <c r="H801" s="15" t="n"/>
      <c r="I801" s="18">
        <f>IF(AND(ISNUMBER(G801),ISNUMBER(H801),G801&gt;0),H801/G801,"")</f>
        <v/>
      </c>
      <c r="J801" s="15" t="n"/>
      <c r="K801" s="15" t="n"/>
      <c r="L801" s="17">
        <f>IF(A801="","",TEXT(A801,"yyyy-mm"))</f>
        <v/>
      </c>
      <c r="M801" s="17">
        <f>IF(AND(A801&lt;&gt;"",J801="Pending"),TODAY()-A801,"")</f>
        <v/>
      </c>
    </row>
    <row r="802">
      <c r="A802" s="16" t="n"/>
      <c r="B802" s="15" t="n"/>
      <c r="C802" s="15" t="n"/>
      <c r="D802" s="17">
        <f>IF($C802="","",IFERROR(INDEX(สินค้า!$A$5:$A$204,MATCH($C802,สินค้า!$B$5:$B$204,0)),"ไม่พบสินค้า"))</f>
        <v/>
      </c>
      <c r="E802" s="17">
        <f>IF($C802="","",IFERROR(INDEX(สินค้า!$C$5:$C$204,MATCH($C802,สินค้า!$B$5:$B$204,0)),"ไม่พบสินค้า"))</f>
        <v/>
      </c>
      <c r="F802" s="17">
        <f>IF($C802="","",IFERROR(INDEX(สินค้า!$D$5:$D$204,MATCH($C802,สินค้า!$B$5:$B$204,0)),"ไม่พบสินค้า"))</f>
        <v/>
      </c>
      <c r="G802" s="15" t="n"/>
      <c r="H802" s="15" t="n"/>
      <c r="I802" s="18">
        <f>IF(AND(ISNUMBER(G802),ISNUMBER(H802),G802&gt;0),H802/G802,"")</f>
        <v/>
      </c>
      <c r="J802" s="15" t="n"/>
      <c r="K802" s="15" t="n"/>
      <c r="L802" s="17">
        <f>IF(A802="","",TEXT(A802,"yyyy-mm"))</f>
        <v/>
      </c>
      <c r="M802" s="17">
        <f>IF(AND(A802&lt;&gt;"",J802="Pending"),TODAY()-A802,"")</f>
        <v/>
      </c>
    </row>
    <row r="803">
      <c r="A803" s="16" t="n"/>
      <c r="B803" s="15" t="n"/>
      <c r="C803" s="15" t="n"/>
      <c r="D803" s="17">
        <f>IF($C803="","",IFERROR(INDEX(สินค้า!$A$5:$A$204,MATCH($C803,สินค้า!$B$5:$B$204,0)),"ไม่พบสินค้า"))</f>
        <v/>
      </c>
      <c r="E803" s="17">
        <f>IF($C803="","",IFERROR(INDEX(สินค้า!$C$5:$C$204,MATCH($C803,สินค้า!$B$5:$B$204,0)),"ไม่พบสินค้า"))</f>
        <v/>
      </c>
      <c r="F803" s="17">
        <f>IF($C803="","",IFERROR(INDEX(สินค้า!$D$5:$D$204,MATCH($C803,สินค้า!$B$5:$B$204,0)),"ไม่พบสินค้า"))</f>
        <v/>
      </c>
      <c r="G803" s="15" t="n"/>
      <c r="H803" s="15" t="n"/>
      <c r="I803" s="18">
        <f>IF(AND(ISNUMBER(G803),ISNUMBER(H803),G803&gt;0),H803/G803,"")</f>
        <v/>
      </c>
      <c r="J803" s="15" t="n"/>
      <c r="K803" s="15" t="n"/>
      <c r="L803" s="17">
        <f>IF(A803="","",TEXT(A803,"yyyy-mm"))</f>
        <v/>
      </c>
      <c r="M803" s="17">
        <f>IF(AND(A803&lt;&gt;"",J803="Pending"),TODAY()-A803,"")</f>
        <v/>
      </c>
    </row>
    <row r="804">
      <c r="A804" s="16" t="n"/>
      <c r="B804" s="15" t="n"/>
      <c r="C804" s="15" t="n"/>
      <c r="D804" s="17">
        <f>IF($C804="","",IFERROR(INDEX(สินค้า!$A$5:$A$204,MATCH($C804,สินค้า!$B$5:$B$204,0)),"ไม่พบสินค้า"))</f>
        <v/>
      </c>
      <c r="E804" s="17">
        <f>IF($C804="","",IFERROR(INDEX(สินค้า!$C$5:$C$204,MATCH($C804,สินค้า!$B$5:$B$204,0)),"ไม่พบสินค้า"))</f>
        <v/>
      </c>
      <c r="F804" s="17">
        <f>IF($C804="","",IFERROR(INDEX(สินค้า!$D$5:$D$204,MATCH($C804,สินค้า!$B$5:$B$204,0)),"ไม่พบสินค้า"))</f>
        <v/>
      </c>
      <c r="G804" s="15" t="n"/>
      <c r="H804" s="15" t="n"/>
      <c r="I804" s="18">
        <f>IF(AND(ISNUMBER(G804),ISNUMBER(H804),G804&gt;0),H804/G804,"")</f>
        <v/>
      </c>
      <c r="J804" s="15" t="n"/>
      <c r="K804" s="15" t="n"/>
      <c r="L804" s="17">
        <f>IF(A804="","",TEXT(A804,"yyyy-mm"))</f>
        <v/>
      </c>
      <c r="M804" s="17">
        <f>IF(AND(A804&lt;&gt;"",J804="Pending"),TODAY()-A804,"")</f>
        <v/>
      </c>
    </row>
    <row r="805">
      <c r="A805" s="16" t="n"/>
      <c r="B805" s="15" t="n"/>
      <c r="C805" s="15" t="n"/>
      <c r="D805" s="17">
        <f>IF($C805="","",IFERROR(INDEX(สินค้า!$A$5:$A$204,MATCH($C805,สินค้า!$B$5:$B$204,0)),"ไม่พบสินค้า"))</f>
        <v/>
      </c>
      <c r="E805" s="17">
        <f>IF($C805="","",IFERROR(INDEX(สินค้า!$C$5:$C$204,MATCH($C805,สินค้า!$B$5:$B$204,0)),"ไม่พบสินค้า"))</f>
        <v/>
      </c>
      <c r="F805" s="17">
        <f>IF($C805="","",IFERROR(INDEX(สินค้า!$D$5:$D$204,MATCH($C805,สินค้า!$B$5:$B$204,0)),"ไม่พบสินค้า"))</f>
        <v/>
      </c>
      <c r="G805" s="15" t="n"/>
      <c r="H805" s="15" t="n"/>
      <c r="I805" s="18">
        <f>IF(AND(ISNUMBER(G805),ISNUMBER(H805),G805&gt;0),H805/G805,"")</f>
        <v/>
      </c>
      <c r="J805" s="15" t="n"/>
      <c r="K805" s="15" t="n"/>
      <c r="L805" s="17">
        <f>IF(A805="","",TEXT(A805,"yyyy-mm"))</f>
        <v/>
      </c>
      <c r="M805" s="17">
        <f>IF(AND(A805&lt;&gt;"",J805="Pending"),TODAY()-A805,"")</f>
        <v/>
      </c>
    </row>
    <row r="806">
      <c r="A806" s="16" t="n"/>
      <c r="B806" s="15" t="n"/>
      <c r="C806" s="15" t="n"/>
      <c r="D806" s="17">
        <f>IF($C806="","",IFERROR(INDEX(สินค้า!$A$5:$A$204,MATCH($C806,สินค้า!$B$5:$B$204,0)),"ไม่พบสินค้า"))</f>
        <v/>
      </c>
      <c r="E806" s="17">
        <f>IF($C806="","",IFERROR(INDEX(สินค้า!$C$5:$C$204,MATCH($C806,สินค้า!$B$5:$B$204,0)),"ไม่พบสินค้า"))</f>
        <v/>
      </c>
      <c r="F806" s="17">
        <f>IF($C806="","",IFERROR(INDEX(สินค้า!$D$5:$D$204,MATCH($C806,สินค้า!$B$5:$B$204,0)),"ไม่พบสินค้า"))</f>
        <v/>
      </c>
      <c r="G806" s="15" t="n"/>
      <c r="H806" s="15" t="n"/>
      <c r="I806" s="18">
        <f>IF(AND(ISNUMBER(G806),ISNUMBER(H806),G806&gt;0),H806/G806,"")</f>
        <v/>
      </c>
      <c r="J806" s="15" t="n"/>
      <c r="K806" s="15" t="n"/>
      <c r="L806" s="17">
        <f>IF(A806="","",TEXT(A806,"yyyy-mm"))</f>
        <v/>
      </c>
      <c r="M806" s="17">
        <f>IF(AND(A806&lt;&gt;"",J806="Pending"),TODAY()-A806,"")</f>
        <v/>
      </c>
    </row>
    <row r="807">
      <c r="A807" s="16" t="n"/>
      <c r="B807" s="15" t="n"/>
      <c r="C807" s="15" t="n"/>
      <c r="D807" s="17">
        <f>IF($C807="","",IFERROR(INDEX(สินค้า!$A$5:$A$204,MATCH($C807,สินค้า!$B$5:$B$204,0)),"ไม่พบสินค้า"))</f>
        <v/>
      </c>
      <c r="E807" s="17">
        <f>IF($C807="","",IFERROR(INDEX(สินค้า!$C$5:$C$204,MATCH($C807,สินค้า!$B$5:$B$204,0)),"ไม่พบสินค้า"))</f>
        <v/>
      </c>
      <c r="F807" s="17">
        <f>IF($C807="","",IFERROR(INDEX(สินค้า!$D$5:$D$204,MATCH($C807,สินค้า!$B$5:$B$204,0)),"ไม่พบสินค้า"))</f>
        <v/>
      </c>
      <c r="G807" s="15" t="n"/>
      <c r="H807" s="15" t="n"/>
      <c r="I807" s="18">
        <f>IF(AND(ISNUMBER(G807),ISNUMBER(H807),G807&gt;0),H807/G807,"")</f>
        <v/>
      </c>
      <c r="J807" s="15" t="n"/>
      <c r="K807" s="15" t="n"/>
      <c r="L807" s="17">
        <f>IF(A807="","",TEXT(A807,"yyyy-mm"))</f>
        <v/>
      </c>
      <c r="M807" s="17">
        <f>IF(AND(A807&lt;&gt;"",J807="Pending"),TODAY()-A807,"")</f>
        <v/>
      </c>
    </row>
    <row r="808">
      <c r="A808" s="16" t="n"/>
      <c r="B808" s="15" t="n"/>
      <c r="C808" s="15" t="n"/>
      <c r="D808" s="17">
        <f>IF($C808="","",IFERROR(INDEX(สินค้า!$A$5:$A$204,MATCH($C808,สินค้า!$B$5:$B$204,0)),"ไม่พบสินค้า"))</f>
        <v/>
      </c>
      <c r="E808" s="17">
        <f>IF($C808="","",IFERROR(INDEX(สินค้า!$C$5:$C$204,MATCH($C808,สินค้า!$B$5:$B$204,0)),"ไม่พบสินค้า"))</f>
        <v/>
      </c>
      <c r="F808" s="17">
        <f>IF($C808="","",IFERROR(INDEX(สินค้า!$D$5:$D$204,MATCH($C808,สินค้า!$B$5:$B$204,0)),"ไม่พบสินค้า"))</f>
        <v/>
      </c>
      <c r="G808" s="15" t="n"/>
      <c r="H808" s="15" t="n"/>
      <c r="I808" s="18">
        <f>IF(AND(ISNUMBER(G808),ISNUMBER(H808),G808&gt;0),H808/G808,"")</f>
        <v/>
      </c>
      <c r="J808" s="15" t="n"/>
      <c r="K808" s="15" t="n"/>
      <c r="L808" s="17">
        <f>IF(A808="","",TEXT(A808,"yyyy-mm"))</f>
        <v/>
      </c>
      <c r="M808" s="17">
        <f>IF(AND(A808&lt;&gt;"",J808="Pending"),TODAY()-A808,"")</f>
        <v/>
      </c>
    </row>
    <row r="809">
      <c r="A809" s="16" t="n"/>
      <c r="B809" s="15" t="n"/>
      <c r="C809" s="15" t="n"/>
      <c r="D809" s="17">
        <f>IF($C809="","",IFERROR(INDEX(สินค้า!$A$5:$A$204,MATCH($C809,สินค้า!$B$5:$B$204,0)),"ไม่พบสินค้า"))</f>
        <v/>
      </c>
      <c r="E809" s="17">
        <f>IF($C809="","",IFERROR(INDEX(สินค้า!$C$5:$C$204,MATCH($C809,สินค้า!$B$5:$B$204,0)),"ไม่พบสินค้า"))</f>
        <v/>
      </c>
      <c r="F809" s="17">
        <f>IF($C809="","",IFERROR(INDEX(สินค้า!$D$5:$D$204,MATCH($C809,สินค้า!$B$5:$B$204,0)),"ไม่พบสินค้า"))</f>
        <v/>
      </c>
      <c r="G809" s="15" t="n"/>
      <c r="H809" s="15" t="n"/>
      <c r="I809" s="18">
        <f>IF(AND(ISNUMBER(G809),ISNUMBER(H809),G809&gt;0),H809/G809,"")</f>
        <v/>
      </c>
      <c r="J809" s="15" t="n"/>
      <c r="K809" s="15" t="n"/>
      <c r="L809" s="17">
        <f>IF(A809="","",TEXT(A809,"yyyy-mm"))</f>
        <v/>
      </c>
      <c r="M809" s="17">
        <f>IF(AND(A809&lt;&gt;"",J809="Pending"),TODAY()-A809,"")</f>
        <v/>
      </c>
    </row>
    <row r="810">
      <c r="A810" s="16" t="n"/>
      <c r="B810" s="15" t="n"/>
      <c r="C810" s="15" t="n"/>
      <c r="D810" s="17">
        <f>IF($C810="","",IFERROR(INDEX(สินค้า!$A$5:$A$204,MATCH($C810,สินค้า!$B$5:$B$204,0)),"ไม่พบสินค้า"))</f>
        <v/>
      </c>
      <c r="E810" s="17">
        <f>IF($C810="","",IFERROR(INDEX(สินค้า!$C$5:$C$204,MATCH($C810,สินค้า!$B$5:$B$204,0)),"ไม่พบสินค้า"))</f>
        <v/>
      </c>
      <c r="F810" s="17">
        <f>IF($C810="","",IFERROR(INDEX(สินค้า!$D$5:$D$204,MATCH($C810,สินค้า!$B$5:$B$204,0)),"ไม่พบสินค้า"))</f>
        <v/>
      </c>
      <c r="G810" s="15" t="n"/>
      <c r="H810" s="15" t="n"/>
      <c r="I810" s="18">
        <f>IF(AND(ISNUMBER(G810),ISNUMBER(H810),G810&gt;0),H810/G810,"")</f>
        <v/>
      </c>
      <c r="J810" s="15" t="n"/>
      <c r="K810" s="15" t="n"/>
      <c r="L810" s="17">
        <f>IF(A810="","",TEXT(A810,"yyyy-mm"))</f>
        <v/>
      </c>
      <c r="M810" s="17">
        <f>IF(AND(A810&lt;&gt;"",J810="Pending"),TODAY()-A810,"")</f>
        <v/>
      </c>
    </row>
    <row r="811">
      <c r="A811" s="16" t="n"/>
      <c r="B811" s="15" t="n"/>
      <c r="C811" s="15" t="n"/>
      <c r="D811" s="17">
        <f>IF($C811="","",IFERROR(INDEX(สินค้า!$A$5:$A$204,MATCH($C811,สินค้า!$B$5:$B$204,0)),"ไม่พบสินค้า"))</f>
        <v/>
      </c>
      <c r="E811" s="17">
        <f>IF($C811="","",IFERROR(INDEX(สินค้า!$C$5:$C$204,MATCH($C811,สินค้า!$B$5:$B$204,0)),"ไม่พบสินค้า"))</f>
        <v/>
      </c>
      <c r="F811" s="17">
        <f>IF($C811="","",IFERROR(INDEX(สินค้า!$D$5:$D$204,MATCH($C811,สินค้า!$B$5:$B$204,0)),"ไม่พบสินค้า"))</f>
        <v/>
      </c>
      <c r="G811" s="15" t="n"/>
      <c r="H811" s="15" t="n"/>
      <c r="I811" s="18">
        <f>IF(AND(ISNUMBER(G811),ISNUMBER(H811),G811&gt;0),H811/G811,"")</f>
        <v/>
      </c>
      <c r="J811" s="15" t="n"/>
      <c r="K811" s="15" t="n"/>
      <c r="L811" s="17">
        <f>IF(A811="","",TEXT(A811,"yyyy-mm"))</f>
        <v/>
      </c>
      <c r="M811" s="17">
        <f>IF(AND(A811&lt;&gt;"",J811="Pending"),TODAY()-A811,"")</f>
        <v/>
      </c>
    </row>
    <row r="812">
      <c r="A812" s="16" t="n"/>
      <c r="B812" s="15" t="n"/>
      <c r="C812" s="15" t="n"/>
      <c r="D812" s="17">
        <f>IF($C812="","",IFERROR(INDEX(สินค้า!$A$5:$A$204,MATCH($C812,สินค้า!$B$5:$B$204,0)),"ไม่พบสินค้า"))</f>
        <v/>
      </c>
      <c r="E812" s="17">
        <f>IF($C812="","",IFERROR(INDEX(สินค้า!$C$5:$C$204,MATCH($C812,สินค้า!$B$5:$B$204,0)),"ไม่พบสินค้า"))</f>
        <v/>
      </c>
      <c r="F812" s="17">
        <f>IF($C812="","",IFERROR(INDEX(สินค้า!$D$5:$D$204,MATCH($C812,สินค้า!$B$5:$B$204,0)),"ไม่พบสินค้า"))</f>
        <v/>
      </c>
      <c r="G812" s="15" t="n"/>
      <c r="H812" s="15" t="n"/>
      <c r="I812" s="18">
        <f>IF(AND(ISNUMBER(G812),ISNUMBER(H812),G812&gt;0),H812/G812,"")</f>
        <v/>
      </c>
      <c r="J812" s="15" t="n"/>
      <c r="K812" s="15" t="n"/>
      <c r="L812" s="17">
        <f>IF(A812="","",TEXT(A812,"yyyy-mm"))</f>
        <v/>
      </c>
      <c r="M812" s="17">
        <f>IF(AND(A812&lt;&gt;"",J812="Pending"),TODAY()-A812,"")</f>
        <v/>
      </c>
    </row>
    <row r="813">
      <c r="A813" s="16" t="n"/>
      <c r="B813" s="15" t="n"/>
      <c r="C813" s="15" t="n"/>
      <c r="D813" s="17">
        <f>IF($C813="","",IFERROR(INDEX(สินค้า!$A$5:$A$204,MATCH($C813,สินค้า!$B$5:$B$204,0)),"ไม่พบสินค้า"))</f>
        <v/>
      </c>
      <c r="E813" s="17">
        <f>IF($C813="","",IFERROR(INDEX(สินค้า!$C$5:$C$204,MATCH($C813,สินค้า!$B$5:$B$204,0)),"ไม่พบสินค้า"))</f>
        <v/>
      </c>
      <c r="F813" s="17">
        <f>IF($C813="","",IFERROR(INDEX(สินค้า!$D$5:$D$204,MATCH($C813,สินค้า!$B$5:$B$204,0)),"ไม่พบสินค้า"))</f>
        <v/>
      </c>
      <c r="G813" s="15" t="n"/>
      <c r="H813" s="15" t="n"/>
      <c r="I813" s="18">
        <f>IF(AND(ISNUMBER(G813),ISNUMBER(H813),G813&gt;0),H813/G813,"")</f>
        <v/>
      </c>
      <c r="J813" s="15" t="n"/>
      <c r="K813" s="15" t="n"/>
      <c r="L813" s="17">
        <f>IF(A813="","",TEXT(A813,"yyyy-mm"))</f>
        <v/>
      </c>
      <c r="M813" s="17">
        <f>IF(AND(A813&lt;&gt;"",J813="Pending"),TODAY()-A813,"")</f>
        <v/>
      </c>
    </row>
    <row r="814">
      <c r="A814" s="16" t="n"/>
      <c r="B814" s="15" t="n"/>
      <c r="C814" s="15" t="n"/>
      <c r="D814" s="17">
        <f>IF($C814="","",IFERROR(INDEX(สินค้า!$A$5:$A$204,MATCH($C814,สินค้า!$B$5:$B$204,0)),"ไม่พบสินค้า"))</f>
        <v/>
      </c>
      <c r="E814" s="17">
        <f>IF($C814="","",IFERROR(INDEX(สินค้า!$C$5:$C$204,MATCH($C814,สินค้า!$B$5:$B$204,0)),"ไม่พบสินค้า"))</f>
        <v/>
      </c>
      <c r="F814" s="17">
        <f>IF($C814="","",IFERROR(INDEX(สินค้า!$D$5:$D$204,MATCH($C814,สินค้า!$B$5:$B$204,0)),"ไม่พบสินค้า"))</f>
        <v/>
      </c>
      <c r="G814" s="15" t="n"/>
      <c r="H814" s="15" t="n"/>
      <c r="I814" s="18">
        <f>IF(AND(ISNUMBER(G814),ISNUMBER(H814),G814&gt;0),H814/G814,"")</f>
        <v/>
      </c>
      <c r="J814" s="15" t="n"/>
      <c r="K814" s="15" t="n"/>
      <c r="L814" s="17">
        <f>IF(A814="","",TEXT(A814,"yyyy-mm"))</f>
        <v/>
      </c>
      <c r="M814" s="17">
        <f>IF(AND(A814&lt;&gt;"",J814="Pending"),TODAY()-A814,"")</f>
        <v/>
      </c>
    </row>
    <row r="815">
      <c r="A815" s="16" t="n"/>
      <c r="B815" s="15" t="n"/>
      <c r="C815" s="15" t="n"/>
      <c r="D815" s="17">
        <f>IF($C815="","",IFERROR(INDEX(สินค้า!$A$5:$A$204,MATCH($C815,สินค้า!$B$5:$B$204,0)),"ไม่พบสินค้า"))</f>
        <v/>
      </c>
      <c r="E815" s="17">
        <f>IF($C815="","",IFERROR(INDEX(สินค้า!$C$5:$C$204,MATCH($C815,สินค้า!$B$5:$B$204,0)),"ไม่พบสินค้า"))</f>
        <v/>
      </c>
      <c r="F815" s="17">
        <f>IF($C815="","",IFERROR(INDEX(สินค้า!$D$5:$D$204,MATCH($C815,สินค้า!$B$5:$B$204,0)),"ไม่พบสินค้า"))</f>
        <v/>
      </c>
      <c r="G815" s="15" t="n"/>
      <c r="H815" s="15" t="n"/>
      <c r="I815" s="18">
        <f>IF(AND(ISNUMBER(G815),ISNUMBER(H815),G815&gt;0),H815/G815,"")</f>
        <v/>
      </c>
      <c r="J815" s="15" t="n"/>
      <c r="K815" s="15" t="n"/>
      <c r="L815" s="17">
        <f>IF(A815="","",TEXT(A815,"yyyy-mm"))</f>
        <v/>
      </c>
      <c r="M815" s="17">
        <f>IF(AND(A815&lt;&gt;"",J815="Pending"),TODAY()-A815,"")</f>
        <v/>
      </c>
    </row>
    <row r="816">
      <c r="A816" s="16" t="n"/>
      <c r="B816" s="15" t="n"/>
      <c r="C816" s="15" t="n"/>
      <c r="D816" s="17">
        <f>IF($C816="","",IFERROR(INDEX(สินค้า!$A$5:$A$204,MATCH($C816,สินค้า!$B$5:$B$204,0)),"ไม่พบสินค้า"))</f>
        <v/>
      </c>
      <c r="E816" s="17">
        <f>IF($C816="","",IFERROR(INDEX(สินค้า!$C$5:$C$204,MATCH($C816,สินค้า!$B$5:$B$204,0)),"ไม่พบสินค้า"))</f>
        <v/>
      </c>
      <c r="F816" s="17">
        <f>IF($C816="","",IFERROR(INDEX(สินค้า!$D$5:$D$204,MATCH($C816,สินค้า!$B$5:$B$204,0)),"ไม่พบสินค้า"))</f>
        <v/>
      </c>
      <c r="G816" s="15" t="n"/>
      <c r="H816" s="15" t="n"/>
      <c r="I816" s="18">
        <f>IF(AND(ISNUMBER(G816),ISNUMBER(H816),G816&gt;0),H816/G816,"")</f>
        <v/>
      </c>
      <c r="J816" s="15" t="n"/>
      <c r="K816" s="15" t="n"/>
      <c r="L816" s="17">
        <f>IF(A816="","",TEXT(A816,"yyyy-mm"))</f>
        <v/>
      </c>
      <c r="M816" s="17">
        <f>IF(AND(A816&lt;&gt;"",J816="Pending"),TODAY()-A816,"")</f>
        <v/>
      </c>
    </row>
    <row r="817">
      <c r="A817" s="16" t="n"/>
      <c r="B817" s="15" t="n"/>
      <c r="C817" s="15" t="n"/>
      <c r="D817" s="17">
        <f>IF($C817="","",IFERROR(INDEX(สินค้า!$A$5:$A$204,MATCH($C817,สินค้า!$B$5:$B$204,0)),"ไม่พบสินค้า"))</f>
        <v/>
      </c>
      <c r="E817" s="17">
        <f>IF($C817="","",IFERROR(INDEX(สินค้า!$C$5:$C$204,MATCH($C817,สินค้า!$B$5:$B$204,0)),"ไม่พบสินค้า"))</f>
        <v/>
      </c>
      <c r="F817" s="17">
        <f>IF($C817="","",IFERROR(INDEX(สินค้า!$D$5:$D$204,MATCH($C817,สินค้า!$B$5:$B$204,0)),"ไม่พบสินค้า"))</f>
        <v/>
      </c>
      <c r="G817" s="15" t="n"/>
      <c r="H817" s="15" t="n"/>
      <c r="I817" s="18">
        <f>IF(AND(ISNUMBER(G817),ISNUMBER(H817),G817&gt;0),H817/G817,"")</f>
        <v/>
      </c>
      <c r="J817" s="15" t="n"/>
      <c r="K817" s="15" t="n"/>
      <c r="L817" s="17">
        <f>IF(A817="","",TEXT(A817,"yyyy-mm"))</f>
        <v/>
      </c>
      <c r="M817" s="17">
        <f>IF(AND(A817&lt;&gt;"",J817="Pending"),TODAY()-A817,"")</f>
        <v/>
      </c>
    </row>
    <row r="818">
      <c r="A818" s="16" t="n"/>
      <c r="B818" s="15" t="n"/>
      <c r="C818" s="15" t="n"/>
      <c r="D818" s="17">
        <f>IF($C818="","",IFERROR(INDEX(สินค้า!$A$5:$A$204,MATCH($C818,สินค้า!$B$5:$B$204,0)),"ไม่พบสินค้า"))</f>
        <v/>
      </c>
      <c r="E818" s="17">
        <f>IF($C818="","",IFERROR(INDEX(สินค้า!$C$5:$C$204,MATCH($C818,สินค้า!$B$5:$B$204,0)),"ไม่พบสินค้า"))</f>
        <v/>
      </c>
      <c r="F818" s="17">
        <f>IF($C818="","",IFERROR(INDEX(สินค้า!$D$5:$D$204,MATCH($C818,สินค้า!$B$5:$B$204,0)),"ไม่พบสินค้า"))</f>
        <v/>
      </c>
      <c r="G818" s="15" t="n"/>
      <c r="H818" s="15" t="n"/>
      <c r="I818" s="18">
        <f>IF(AND(ISNUMBER(G818),ISNUMBER(H818),G818&gt;0),H818/G818,"")</f>
        <v/>
      </c>
      <c r="J818" s="15" t="n"/>
      <c r="K818" s="15" t="n"/>
      <c r="L818" s="17">
        <f>IF(A818="","",TEXT(A818,"yyyy-mm"))</f>
        <v/>
      </c>
      <c r="M818" s="17">
        <f>IF(AND(A818&lt;&gt;"",J818="Pending"),TODAY()-A818,"")</f>
        <v/>
      </c>
    </row>
    <row r="819">
      <c r="A819" s="16" t="n"/>
      <c r="B819" s="15" t="n"/>
      <c r="C819" s="15" t="n"/>
      <c r="D819" s="17">
        <f>IF($C819="","",IFERROR(INDEX(สินค้า!$A$5:$A$204,MATCH($C819,สินค้า!$B$5:$B$204,0)),"ไม่พบสินค้า"))</f>
        <v/>
      </c>
      <c r="E819" s="17">
        <f>IF($C819="","",IFERROR(INDEX(สินค้า!$C$5:$C$204,MATCH($C819,สินค้า!$B$5:$B$204,0)),"ไม่พบสินค้า"))</f>
        <v/>
      </c>
      <c r="F819" s="17">
        <f>IF($C819="","",IFERROR(INDEX(สินค้า!$D$5:$D$204,MATCH($C819,สินค้า!$B$5:$B$204,0)),"ไม่พบสินค้า"))</f>
        <v/>
      </c>
      <c r="G819" s="15" t="n"/>
      <c r="H819" s="15" t="n"/>
      <c r="I819" s="18">
        <f>IF(AND(ISNUMBER(G819),ISNUMBER(H819),G819&gt;0),H819/G819,"")</f>
        <v/>
      </c>
      <c r="J819" s="15" t="n"/>
      <c r="K819" s="15" t="n"/>
      <c r="L819" s="17">
        <f>IF(A819="","",TEXT(A819,"yyyy-mm"))</f>
        <v/>
      </c>
      <c r="M819" s="17">
        <f>IF(AND(A819&lt;&gt;"",J819="Pending"),TODAY()-A819,"")</f>
        <v/>
      </c>
    </row>
    <row r="820">
      <c r="A820" s="16" t="n"/>
      <c r="B820" s="15" t="n"/>
      <c r="C820" s="15" t="n"/>
      <c r="D820" s="17">
        <f>IF($C820="","",IFERROR(INDEX(สินค้า!$A$5:$A$204,MATCH($C820,สินค้า!$B$5:$B$204,0)),"ไม่พบสินค้า"))</f>
        <v/>
      </c>
      <c r="E820" s="17">
        <f>IF($C820="","",IFERROR(INDEX(สินค้า!$C$5:$C$204,MATCH($C820,สินค้า!$B$5:$B$204,0)),"ไม่พบสินค้า"))</f>
        <v/>
      </c>
      <c r="F820" s="17">
        <f>IF($C820="","",IFERROR(INDEX(สินค้า!$D$5:$D$204,MATCH($C820,สินค้า!$B$5:$B$204,0)),"ไม่พบสินค้า"))</f>
        <v/>
      </c>
      <c r="G820" s="15" t="n"/>
      <c r="H820" s="15" t="n"/>
      <c r="I820" s="18">
        <f>IF(AND(ISNUMBER(G820),ISNUMBER(H820),G820&gt;0),H820/G820,"")</f>
        <v/>
      </c>
      <c r="J820" s="15" t="n"/>
      <c r="K820" s="15" t="n"/>
      <c r="L820" s="17">
        <f>IF(A820="","",TEXT(A820,"yyyy-mm"))</f>
        <v/>
      </c>
      <c r="M820" s="17">
        <f>IF(AND(A820&lt;&gt;"",J820="Pending"),TODAY()-A820,"")</f>
        <v/>
      </c>
    </row>
    <row r="821">
      <c r="A821" s="16" t="n"/>
      <c r="B821" s="15" t="n"/>
      <c r="C821" s="15" t="n"/>
      <c r="D821" s="17">
        <f>IF($C821="","",IFERROR(INDEX(สินค้า!$A$5:$A$204,MATCH($C821,สินค้า!$B$5:$B$204,0)),"ไม่พบสินค้า"))</f>
        <v/>
      </c>
      <c r="E821" s="17">
        <f>IF($C821="","",IFERROR(INDEX(สินค้า!$C$5:$C$204,MATCH($C821,สินค้า!$B$5:$B$204,0)),"ไม่พบสินค้า"))</f>
        <v/>
      </c>
      <c r="F821" s="17">
        <f>IF($C821="","",IFERROR(INDEX(สินค้า!$D$5:$D$204,MATCH($C821,สินค้า!$B$5:$B$204,0)),"ไม่พบสินค้า"))</f>
        <v/>
      </c>
      <c r="G821" s="15" t="n"/>
      <c r="H821" s="15" t="n"/>
      <c r="I821" s="18">
        <f>IF(AND(ISNUMBER(G821),ISNUMBER(H821),G821&gt;0),H821/G821,"")</f>
        <v/>
      </c>
      <c r="J821" s="15" t="n"/>
      <c r="K821" s="15" t="n"/>
      <c r="L821" s="17">
        <f>IF(A821="","",TEXT(A821,"yyyy-mm"))</f>
        <v/>
      </c>
      <c r="M821" s="17">
        <f>IF(AND(A821&lt;&gt;"",J821="Pending"),TODAY()-A821,"")</f>
        <v/>
      </c>
    </row>
    <row r="822">
      <c r="A822" s="16" t="n"/>
      <c r="B822" s="15" t="n"/>
      <c r="C822" s="15" t="n"/>
      <c r="D822" s="17">
        <f>IF($C822="","",IFERROR(INDEX(สินค้า!$A$5:$A$204,MATCH($C822,สินค้า!$B$5:$B$204,0)),"ไม่พบสินค้า"))</f>
        <v/>
      </c>
      <c r="E822" s="17">
        <f>IF($C822="","",IFERROR(INDEX(สินค้า!$C$5:$C$204,MATCH($C822,สินค้า!$B$5:$B$204,0)),"ไม่พบสินค้า"))</f>
        <v/>
      </c>
      <c r="F822" s="17">
        <f>IF($C822="","",IFERROR(INDEX(สินค้า!$D$5:$D$204,MATCH($C822,สินค้า!$B$5:$B$204,0)),"ไม่พบสินค้า"))</f>
        <v/>
      </c>
      <c r="G822" s="15" t="n"/>
      <c r="H822" s="15" t="n"/>
      <c r="I822" s="18">
        <f>IF(AND(ISNUMBER(G822),ISNUMBER(H822),G822&gt;0),H822/G822,"")</f>
        <v/>
      </c>
      <c r="J822" s="15" t="n"/>
      <c r="K822" s="15" t="n"/>
      <c r="L822" s="17">
        <f>IF(A822="","",TEXT(A822,"yyyy-mm"))</f>
        <v/>
      </c>
      <c r="M822" s="17">
        <f>IF(AND(A822&lt;&gt;"",J822="Pending"),TODAY()-A822,"")</f>
        <v/>
      </c>
    </row>
    <row r="823">
      <c r="A823" s="16" t="n"/>
      <c r="B823" s="15" t="n"/>
      <c r="C823" s="15" t="n"/>
      <c r="D823" s="17">
        <f>IF($C823="","",IFERROR(INDEX(สินค้า!$A$5:$A$204,MATCH($C823,สินค้า!$B$5:$B$204,0)),"ไม่พบสินค้า"))</f>
        <v/>
      </c>
      <c r="E823" s="17">
        <f>IF($C823="","",IFERROR(INDEX(สินค้า!$C$5:$C$204,MATCH($C823,สินค้า!$B$5:$B$204,0)),"ไม่พบสินค้า"))</f>
        <v/>
      </c>
      <c r="F823" s="17">
        <f>IF($C823="","",IFERROR(INDEX(สินค้า!$D$5:$D$204,MATCH($C823,สินค้า!$B$5:$B$204,0)),"ไม่พบสินค้า"))</f>
        <v/>
      </c>
      <c r="G823" s="15" t="n"/>
      <c r="H823" s="15" t="n"/>
      <c r="I823" s="18">
        <f>IF(AND(ISNUMBER(G823),ISNUMBER(H823),G823&gt;0),H823/G823,"")</f>
        <v/>
      </c>
      <c r="J823" s="15" t="n"/>
      <c r="K823" s="15" t="n"/>
      <c r="L823" s="17">
        <f>IF(A823="","",TEXT(A823,"yyyy-mm"))</f>
        <v/>
      </c>
      <c r="M823" s="17">
        <f>IF(AND(A823&lt;&gt;"",J823="Pending"),TODAY()-A823,"")</f>
        <v/>
      </c>
    </row>
    <row r="824">
      <c r="A824" s="16" t="n"/>
      <c r="B824" s="15" t="n"/>
      <c r="C824" s="15" t="n"/>
      <c r="D824" s="17">
        <f>IF($C824="","",IFERROR(INDEX(สินค้า!$A$5:$A$204,MATCH($C824,สินค้า!$B$5:$B$204,0)),"ไม่พบสินค้า"))</f>
        <v/>
      </c>
      <c r="E824" s="17">
        <f>IF($C824="","",IFERROR(INDEX(สินค้า!$C$5:$C$204,MATCH($C824,สินค้า!$B$5:$B$204,0)),"ไม่พบสินค้า"))</f>
        <v/>
      </c>
      <c r="F824" s="17">
        <f>IF($C824="","",IFERROR(INDEX(สินค้า!$D$5:$D$204,MATCH($C824,สินค้า!$B$5:$B$204,0)),"ไม่พบสินค้า"))</f>
        <v/>
      </c>
      <c r="G824" s="15" t="n"/>
      <c r="H824" s="15" t="n"/>
      <c r="I824" s="18">
        <f>IF(AND(ISNUMBER(G824),ISNUMBER(H824),G824&gt;0),H824/G824,"")</f>
        <v/>
      </c>
      <c r="J824" s="15" t="n"/>
      <c r="K824" s="15" t="n"/>
      <c r="L824" s="17">
        <f>IF(A824="","",TEXT(A824,"yyyy-mm"))</f>
        <v/>
      </c>
      <c r="M824" s="17">
        <f>IF(AND(A824&lt;&gt;"",J824="Pending"),TODAY()-A824,"")</f>
        <v/>
      </c>
    </row>
    <row r="825">
      <c r="A825" s="16" t="n"/>
      <c r="B825" s="15" t="n"/>
      <c r="C825" s="15" t="n"/>
      <c r="D825" s="17">
        <f>IF($C825="","",IFERROR(INDEX(สินค้า!$A$5:$A$204,MATCH($C825,สินค้า!$B$5:$B$204,0)),"ไม่พบสินค้า"))</f>
        <v/>
      </c>
      <c r="E825" s="17">
        <f>IF($C825="","",IFERROR(INDEX(สินค้า!$C$5:$C$204,MATCH($C825,สินค้า!$B$5:$B$204,0)),"ไม่พบสินค้า"))</f>
        <v/>
      </c>
      <c r="F825" s="17">
        <f>IF($C825="","",IFERROR(INDEX(สินค้า!$D$5:$D$204,MATCH($C825,สินค้า!$B$5:$B$204,0)),"ไม่พบสินค้า"))</f>
        <v/>
      </c>
      <c r="G825" s="15" t="n"/>
      <c r="H825" s="15" t="n"/>
      <c r="I825" s="18">
        <f>IF(AND(ISNUMBER(G825),ISNUMBER(H825),G825&gt;0),H825/G825,"")</f>
        <v/>
      </c>
      <c r="J825" s="15" t="n"/>
      <c r="K825" s="15" t="n"/>
      <c r="L825" s="17">
        <f>IF(A825="","",TEXT(A825,"yyyy-mm"))</f>
        <v/>
      </c>
      <c r="M825" s="17">
        <f>IF(AND(A825&lt;&gt;"",J825="Pending"),TODAY()-A825,"")</f>
        <v/>
      </c>
    </row>
    <row r="826">
      <c r="A826" s="16" t="n"/>
      <c r="B826" s="15" t="n"/>
      <c r="C826" s="15" t="n"/>
      <c r="D826" s="17">
        <f>IF($C826="","",IFERROR(INDEX(สินค้า!$A$5:$A$204,MATCH($C826,สินค้า!$B$5:$B$204,0)),"ไม่พบสินค้า"))</f>
        <v/>
      </c>
      <c r="E826" s="17">
        <f>IF($C826="","",IFERROR(INDEX(สินค้า!$C$5:$C$204,MATCH($C826,สินค้า!$B$5:$B$204,0)),"ไม่พบสินค้า"))</f>
        <v/>
      </c>
      <c r="F826" s="17">
        <f>IF($C826="","",IFERROR(INDEX(สินค้า!$D$5:$D$204,MATCH($C826,สินค้า!$B$5:$B$204,0)),"ไม่พบสินค้า"))</f>
        <v/>
      </c>
      <c r="G826" s="15" t="n"/>
      <c r="H826" s="15" t="n"/>
      <c r="I826" s="18">
        <f>IF(AND(ISNUMBER(G826),ISNUMBER(H826),G826&gt;0),H826/G826,"")</f>
        <v/>
      </c>
      <c r="J826" s="15" t="n"/>
      <c r="K826" s="15" t="n"/>
      <c r="L826" s="17">
        <f>IF(A826="","",TEXT(A826,"yyyy-mm"))</f>
        <v/>
      </c>
      <c r="M826" s="17">
        <f>IF(AND(A826&lt;&gt;"",J826="Pending"),TODAY()-A826,"")</f>
        <v/>
      </c>
    </row>
    <row r="827">
      <c r="A827" s="16" t="n"/>
      <c r="B827" s="15" t="n"/>
      <c r="C827" s="15" t="n"/>
      <c r="D827" s="17">
        <f>IF($C827="","",IFERROR(INDEX(สินค้า!$A$5:$A$204,MATCH($C827,สินค้า!$B$5:$B$204,0)),"ไม่พบสินค้า"))</f>
        <v/>
      </c>
      <c r="E827" s="17">
        <f>IF($C827="","",IFERROR(INDEX(สินค้า!$C$5:$C$204,MATCH($C827,สินค้า!$B$5:$B$204,0)),"ไม่พบสินค้า"))</f>
        <v/>
      </c>
      <c r="F827" s="17">
        <f>IF($C827="","",IFERROR(INDEX(สินค้า!$D$5:$D$204,MATCH($C827,สินค้า!$B$5:$B$204,0)),"ไม่พบสินค้า"))</f>
        <v/>
      </c>
      <c r="G827" s="15" t="n"/>
      <c r="H827" s="15" t="n"/>
      <c r="I827" s="18">
        <f>IF(AND(ISNUMBER(G827),ISNUMBER(H827),G827&gt;0),H827/G827,"")</f>
        <v/>
      </c>
      <c r="J827" s="15" t="n"/>
      <c r="K827" s="15" t="n"/>
      <c r="L827" s="17">
        <f>IF(A827="","",TEXT(A827,"yyyy-mm"))</f>
        <v/>
      </c>
      <c r="M827" s="17">
        <f>IF(AND(A827&lt;&gt;"",J827="Pending"),TODAY()-A827,"")</f>
        <v/>
      </c>
    </row>
    <row r="828">
      <c r="A828" s="16" t="n"/>
      <c r="B828" s="15" t="n"/>
      <c r="C828" s="15" t="n"/>
      <c r="D828" s="17">
        <f>IF($C828="","",IFERROR(INDEX(สินค้า!$A$5:$A$204,MATCH($C828,สินค้า!$B$5:$B$204,0)),"ไม่พบสินค้า"))</f>
        <v/>
      </c>
      <c r="E828" s="17">
        <f>IF($C828="","",IFERROR(INDEX(สินค้า!$C$5:$C$204,MATCH($C828,สินค้า!$B$5:$B$204,0)),"ไม่พบสินค้า"))</f>
        <v/>
      </c>
      <c r="F828" s="17">
        <f>IF($C828="","",IFERROR(INDEX(สินค้า!$D$5:$D$204,MATCH($C828,สินค้า!$B$5:$B$204,0)),"ไม่พบสินค้า"))</f>
        <v/>
      </c>
      <c r="G828" s="15" t="n"/>
      <c r="H828" s="15" t="n"/>
      <c r="I828" s="18">
        <f>IF(AND(ISNUMBER(G828),ISNUMBER(H828),G828&gt;0),H828/G828,"")</f>
        <v/>
      </c>
      <c r="J828" s="15" t="n"/>
      <c r="K828" s="15" t="n"/>
      <c r="L828" s="17">
        <f>IF(A828="","",TEXT(A828,"yyyy-mm"))</f>
        <v/>
      </c>
      <c r="M828" s="17">
        <f>IF(AND(A828&lt;&gt;"",J828="Pending"),TODAY()-A828,"")</f>
        <v/>
      </c>
    </row>
    <row r="829">
      <c r="A829" s="16" t="n"/>
      <c r="B829" s="15" t="n"/>
      <c r="C829" s="15" t="n"/>
      <c r="D829" s="17">
        <f>IF($C829="","",IFERROR(INDEX(สินค้า!$A$5:$A$204,MATCH($C829,สินค้า!$B$5:$B$204,0)),"ไม่พบสินค้า"))</f>
        <v/>
      </c>
      <c r="E829" s="17">
        <f>IF($C829="","",IFERROR(INDEX(สินค้า!$C$5:$C$204,MATCH($C829,สินค้า!$B$5:$B$204,0)),"ไม่พบสินค้า"))</f>
        <v/>
      </c>
      <c r="F829" s="17">
        <f>IF($C829="","",IFERROR(INDEX(สินค้า!$D$5:$D$204,MATCH($C829,สินค้า!$B$5:$B$204,0)),"ไม่พบสินค้า"))</f>
        <v/>
      </c>
      <c r="G829" s="15" t="n"/>
      <c r="H829" s="15" t="n"/>
      <c r="I829" s="18">
        <f>IF(AND(ISNUMBER(G829),ISNUMBER(H829),G829&gt;0),H829/G829,"")</f>
        <v/>
      </c>
      <c r="J829" s="15" t="n"/>
      <c r="K829" s="15" t="n"/>
      <c r="L829" s="17">
        <f>IF(A829="","",TEXT(A829,"yyyy-mm"))</f>
        <v/>
      </c>
      <c r="M829" s="17">
        <f>IF(AND(A829&lt;&gt;"",J829="Pending"),TODAY()-A829,"")</f>
        <v/>
      </c>
    </row>
    <row r="830">
      <c r="A830" s="16" t="n"/>
      <c r="B830" s="15" t="n"/>
      <c r="C830" s="15" t="n"/>
      <c r="D830" s="17">
        <f>IF($C830="","",IFERROR(INDEX(สินค้า!$A$5:$A$204,MATCH($C830,สินค้า!$B$5:$B$204,0)),"ไม่พบสินค้า"))</f>
        <v/>
      </c>
      <c r="E830" s="17">
        <f>IF($C830="","",IFERROR(INDEX(สินค้า!$C$5:$C$204,MATCH($C830,สินค้า!$B$5:$B$204,0)),"ไม่พบสินค้า"))</f>
        <v/>
      </c>
      <c r="F830" s="17">
        <f>IF($C830="","",IFERROR(INDEX(สินค้า!$D$5:$D$204,MATCH($C830,สินค้า!$B$5:$B$204,0)),"ไม่พบสินค้า"))</f>
        <v/>
      </c>
      <c r="G830" s="15" t="n"/>
      <c r="H830" s="15" t="n"/>
      <c r="I830" s="18">
        <f>IF(AND(ISNUMBER(G830),ISNUMBER(H830),G830&gt;0),H830/G830,"")</f>
        <v/>
      </c>
      <c r="J830" s="15" t="n"/>
      <c r="K830" s="15" t="n"/>
      <c r="L830" s="17">
        <f>IF(A830="","",TEXT(A830,"yyyy-mm"))</f>
        <v/>
      </c>
      <c r="M830" s="17">
        <f>IF(AND(A830&lt;&gt;"",J830="Pending"),TODAY()-A830,"")</f>
        <v/>
      </c>
    </row>
    <row r="831">
      <c r="A831" s="16" t="n"/>
      <c r="B831" s="15" t="n"/>
      <c r="C831" s="15" t="n"/>
      <c r="D831" s="17">
        <f>IF($C831="","",IFERROR(INDEX(สินค้า!$A$5:$A$204,MATCH($C831,สินค้า!$B$5:$B$204,0)),"ไม่พบสินค้า"))</f>
        <v/>
      </c>
      <c r="E831" s="17">
        <f>IF($C831="","",IFERROR(INDEX(สินค้า!$C$5:$C$204,MATCH($C831,สินค้า!$B$5:$B$204,0)),"ไม่พบสินค้า"))</f>
        <v/>
      </c>
      <c r="F831" s="17">
        <f>IF($C831="","",IFERROR(INDEX(สินค้า!$D$5:$D$204,MATCH($C831,สินค้า!$B$5:$B$204,0)),"ไม่พบสินค้า"))</f>
        <v/>
      </c>
      <c r="G831" s="15" t="n"/>
      <c r="H831" s="15" t="n"/>
      <c r="I831" s="18">
        <f>IF(AND(ISNUMBER(G831),ISNUMBER(H831),G831&gt;0),H831/G831,"")</f>
        <v/>
      </c>
      <c r="J831" s="15" t="n"/>
      <c r="K831" s="15" t="n"/>
      <c r="L831" s="17">
        <f>IF(A831="","",TEXT(A831,"yyyy-mm"))</f>
        <v/>
      </c>
      <c r="M831" s="17">
        <f>IF(AND(A831&lt;&gt;"",J831="Pending"),TODAY()-A831,"")</f>
        <v/>
      </c>
    </row>
    <row r="832">
      <c r="A832" s="16" t="n"/>
      <c r="B832" s="15" t="n"/>
      <c r="C832" s="15" t="n"/>
      <c r="D832" s="17">
        <f>IF($C832="","",IFERROR(INDEX(สินค้า!$A$5:$A$204,MATCH($C832,สินค้า!$B$5:$B$204,0)),"ไม่พบสินค้า"))</f>
        <v/>
      </c>
      <c r="E832" s="17">
        <f>IF($C832="","",IFERROR(INDEX(สินค้า!$C$5:$C$204,MATCH($C832,สินค้า!$B$5:$B$204,0)),"ไม่พบสินค้า"))</f>
        <v/>
      </c>
      <c r="F832" s="17">
        <f>IF($C832="","",IFERROR(INDEX(สินค้า!$D$5:$D$204,MATCH($C832,สินค้า!$B$5:$B$204,0)),"ไม่พบสินค้า"))</f>
        <v/>
      </c>
      <c r="G832" s="15" t="n"/>
      <c r="H832" s="15" t="n"/>
      <c r="I832" s="18">
        <f>IF(AND(ISNUMBER(G832),ISNUMBER(H832),G832&gt;0),H832/G832,"")</f>
        <v/>
      </c>
      <c r="J832" s="15" t="n"/>
      <c r="K832" s="15" t="n"/>
      <c r="L832" s="17">
        <f>IF(A832="","",TEXT(A832,"yyyy-mm"))</f>
        <v/>
      </c>
      <c r="M832" s="17">
        <f>IF(AND(A832&lt;&gt;"",J832="Pending"),TODAY()-A832,"")</f>
        <v/>
      </c>
    </row>
    <row r="833">
      <c r="A833" s="16" t="n"/>
      <c r="B833" s="15" t="n"/>
      <c r="C833" s="15" t="n"/>
      <c r="D833" s="17">
        <f>IF($C833="","",IFERROR(INDEX(สินค้า!$A$5:$A$204,MATCH($C833,สินค้า!$B$5:$B$204,0)),"ไม่พบสินค้า"))</f>
        <v/>
      </c>
      <c r="E833" s="17">
        <f>IF($C833="","",IFERROR(INDEX(สินค้า!$C$5:$C$204,MATCH($C833,สินค้า!$B$5:$B$204,0)),"ไม่พบสินค้า"))</f>
        <v/>
      </c>
      <c r="F833" s="17">
        <f>IF($C833="","",IFERROR(INDEX(สินค้า!$D$5:$D$204,MATCH($C833,สินค้า!$B$5:$B$204,0)),"ไม่พบสินค้า"))</f>
        <v/>
      </c>
      <c r="G833" s="15" t="n"/>
      <c r="H833" s="15" t="n"/>
      <c r="I833" s="18">
        <f>IF(AND(ISNUMBER(G833),ISNUMBER(H833),G833&gt;0),H833/G833,"")</f>
        <v/>
      </c>
      <c r="J833" s="15" t="n"/>
      <c r="K833" s="15" t="n"/>
      <c r="L833" s="17">
        <f>IF(A833="","",TEXT(A833,"yyyy-mm"))</f>
        <v/>
      </c>
      <c r="M833" s="17">
        <f>IF(AND(A833&lt;&gt;"",J833="Pending"),TODAY()-A833,"")</f>
        <v/>
      </c>
    </row>
    <row r="834">
      <c r="A834" s="16" t="n"/>
      <c r="B834" s="15" t="n"/>
      <c r="C834" s="15" t="n"/>
      <c r="D834" s="17">
        <f>IF($C834="","",IFERROR(INDEX(สินค้า!$A$5:$A$204,MATCH($C834,สินค้า!$B$5:$B$204,0)),"ไม่พบสินค้า"))</f>
        <v/>
      </c>
      <c r="E834" s="17">
        <f>IF($C834="","",IFERROR(INDEX(สินค้า!$C$5:$C$204,MATCH($C834,สินค้า!$B$5:$B$204,0)),"ไม่พบสินค้า"))</f>
        <v/>
      </c>
      <c r="F834" s="17">
        <f>IF($C834="","",IFERROR(INDEX(สินค้า!$D$5:$D$204,MATCH($C834,สินค้า!$B$5:$B$204,0)),"ไม่พบสินค้า"))</f>
        <v/>
      </c>
      <c r="G834" s="15" t="n"/>
      <c r="H834" s="15" t="n"/>
      <c r="I834" s="18">
        <f>IF(AND(ISNUMBER(G834),ISNUMBER(H834),G834&gt;0),H834/G834,"")</f>
        <v/>
      </c>
      <c r="J834" s="15" t="n"/>
      <c r="K834" s="15" t="n"/>
      <c r="L834" s="17">
        <f>IF(A834="","",TEXT(A834,"yyyy-mm"))</f>
        <v/>
      </c>
      <c r="M834" s="17">
        <f>IF(AND(A834&lt;&gt;"",J834="Pending"),TODAY()-A834,"")</f>
        <v/>
      </c>
    </row>
    <row r="835">
      <c r="A835" s="16" t="n"/>
      <c r="B835" s="15" t="n"/>
      <c r="C835" s="15" t="n"/>
      <c r="D835" s="17">
        <f>IF($C835="","",IFERROR(INDEX(สินค้า!$A$5:$A$204,MATCH($C835,สินค้า!$B$5:$B$204,0)),"ไม่พบสินค้า"))</f>
        <v/>
      </c>
      <c r="E835" s="17">
        <f>IF($C835="","",IFERROR(INDEX(สินค้า!$C$5:$C$204,MATCH($C835,สินค้า!$B$5:$B$204,0)),"ไม่พบสินค้า"))</f>
        <v/>
      </c>
      <c r="F835" s="17">
        <f>IF($C835="","",IFERROR(INDEX(สินค้า!$D$5:$D$204,MATCH($C835,สินค้า!$B$5:$B$204,0)),"ไม่พบสินค้า"))</f>
        <v/>
      </c>
      <c r="G835" s="15" t="n"/>
      <c r="H835" s="15" t="n"/>
      <c r="I835" s="18">
        <f>IF(AND(ISNUMBER(G835),ISNUMBER(H835),G835&gt;0),H835/G835,"")</f>
        <v/>
      </c>
      <c r="J835" s="15" t="n"/>
      <c r="K835" s="15" t="n"/>
      <c r="L835" s="17">
        <f>IF(A835="","",TEXT(A835,"yyyy-mm"))</f>
        <v/>
      </c>
      <c r="M835" s="17">
        <f>IF(AND(A835&lt;&gt;"",J835="Pending"),TODAY()-A835,"")</f>
        <v/>
      </c>
    </row>
    <row r="836">
      <c r="A836" s="16" t="n"/>
      <c r="B836" s="15" t="n"/>
      <c r="C836" s="15" t="n"/>
      <c r="D836" s="17">
        <f>IF($C836="","",IFERROR(INDEX(สินค้า!$A$5:$A$204,MATCH($C836,สินค้า!$B$5:$B$204,0)),"ไม่พบสินค้า"))</f>
        <v/>
      </c>
      <c r="E836" s="17">
        <f>IF($C836="","",IFERROR(INDEX(สินค้า!$C$5:$C$204,MATCH($C836,สินค้า!$B$5:$B$204,0)),"ไม่พบสินค้า"))</f>
        <v/>
      </c>
      <c r="F836" s="17">
        <f>IF($C836="","",IFERROR(INDEX(สินค้า!$D$5:$D$204,MATCH($C836,สินค้า!$B$5:$B$204,0)),"ไม่พบสินค้า"))</f>
        <v/>
      </c>
      <c r="G836" s="15" t="n"/>
      <c r="H836" s="15" t="n"/>
      <c r="I836" s="18">
        <f>IF(AND(ISNUMBER(G836),ISNUMBER(H836),G836&gt;0),H836/G836,"")</f>
        <v/>
      </c>
      <c r="J836" s="15" t="n"/>
      <c r="K836" s="15" t="n"/>
      <c r="L836" s="17">
        <f>IF(A836="","",TEXT(A836,"yyyy-mm"))</f>
        <v/>
      </c>
      <c r="M836" s="17">
        <f>IF(AND(A836&lt;&gt;"",J836="Pending"),TODAY()-A836,"")</f>
        <v/>
      </c>
    </row>
    <row r="837">
      <c r="A837" s="16" t="n"/>
      <c r="B837" s="15" t="n"/>
      <c r="C837" s="15" t="n"/>
      <c r="D837" s="17">
        <f>IF($C837="","",IFERROR(INDEX(สินค้า!$A$5:$A$204,MATCH($C837,สินค้า!$B$5:$B$204,0)),"ไม่พบสินค้า"))</f>
        <v/>
      </c>
      <c r="E837" s="17">
        <f>IF($C837="","",IFERROR(INDEX(สินค้า!$C$5:$C$204,MATCH($C837,สินค้า!$B$5:$B$204,0)),"ไม่พบสินค้า"))</f>
        <v/>
      </c>
      <c r="F837" s="17">
        <f>IF($C837="","",IFERROR(INDEX(สินค้า!$D$5:$D$204,MATCH($C837,สินค้า!$B$5:$B$204,0)),"ไม่พบสินค้า"))</f>
        <v/>
      </c>
      <c r="G837" s="15" t="n"/>
      <c r="H837" s="15" t="n"/>
      <c r="I837" s="18">
        <f>IF(AND(ISNUMBER(G837),ISNUMBER(H837),G837&gt;0),H837/G837,"")</f>
        <v/>
      </c>
      <c r="J837" s="15" t="n"/>
      <c r="K837" s="15" t="n"/>
      <c r="L837" s="17">
        <f>IF(A837="","",TEXT(A837,"yyyy-mm"))</f>
        <v/>
      </c>
      <c r="M837" s="17">
        <f>IF(AND(A837&lt;&gt;"",J837="Pending"),TODAY()-A837,"")</f>
        <v/>
      </c>
    </row>
    <row r="838">
      <c r="A838" s="16" t="n"/>
      <c r="B838" s="15" t="n"/>
      <c r="C838" s="15" t="n"/>
      <c r="D838" s="17">
        <f>IF($C838="","",IFERROR(INDEX(สินค้า!$A$5:$A$204,MATCH($C838,สินค้า!$B$5:$B$204,0)),"ไม่พบสินค้า"))</f>
        <v/>
      </c>
      <c r="E838" s="17">
        <f>IF($C838="","",IFERROR(INDEX(สินค้า!$C$5:$C$204,MATCH($C838,สินค้า!$B$5:$B$204,0)),"ไม่พบสินค้า"))</f>
        <v/>
      </c>
      <c r="F838" s="17">
        <f>IF($C838="","",IFERROR(INDEX(สินค้า!$D$5:$D$204,MATCH($C838,สินค้า!$B$5:$B$204,0)),"ไม่พบสินค้า"))</f>
        <v/>
      </c>
      <c r="G838" s="15" t="n"/>
      <c r="H838" s="15" t="n"/>
      <c r="I838" s="18">
        <f>IF(AND(ISNUMBER(G838),ISNUMBER(H838),G838&gt;0),H838/G838,"")</f>
        <v/>
      </c>
      <c r="J838" s="15" t="n"/>
      <c r="K838" s="15" t="n"/>
      <c r="L838" s="17">
        <f>IF(A838="","",TEXT(A838,"yyyy-mm"))</f>
        <v/>
      </c>
      <c r="M838" s="17">
        <f>IF(AND(A838&lt;&gt;"",J838="Pending"),TODAY()-A838,"")</f>
        <v/>
      </c>
    </row>
    <row r="839">
      <c r="A839" s="16" t="n"/>
      <c r="B839" s="15" t="n"/>
      <c r="C839" s="15" t="n"/>
      <c r="D839" s="17">
        <f>IF($C839="","",IFERROR(INDEX(สินค้า!$A$5:$A$204,MATCH($C839,สินค้า!$B$5:$B$204,0)),"ไม่พบสินค้า"))</f>
        <v/>
      </c>
      <c r="E839" s="17">
        <f>IF($C839="","",IFERROR(INDEX(สินค้า!$C$5:$C$204,MATCH($C839,สินค้า!$B$5:$B$204,0)),"ไม่พบสินค้า"))</f>
        <v/>
      </c>
      <c r="F839" s="17">
        <f>IF($C839="","",IFERROR(INDEX(สินค้า!$D$5:$D$204,MATCH($C839,สินค้า!$B$5:$B$204,0)),"ไม่พบสินค้า"))</f>
        <v/>
      </c>
      <c r="G839" s="15" t="n"/>
      <c r="H839" s="15" t="n"/>
      <c r="I839" s="18">
        <f>IF(AND(ISNUMBER(G839),ISNUMBER(H839),G839&gt;0),H839/G839,"")</f>
        <v/>
      </c>
      <c r="J839" s="15" t="n"/>
      <c r="K839" s="15" t="n"/>
      <c r="L839" s="17">
        <f>IF(A839="","",TEXT(A839,"yyyy-mm"))</f>
        <v/>
      </c>
      <c r="M839" s="17">
        <f>IF(AND(A839&lt;&gt;"",J839="Pending"),TODAY()-A839,"")</f>
        <v/>
      </c>
    </row>
    <row r="840">
      <c r="A840" s="16" t="n"/>
      <c r="B840" s="15" t="n"/>
      <c r="C840" s="15" t="n"/>
      <c r="D840" s="17">
        <f>IF($C840="","",IFERROR(INDEX(สินค้า!$A$5:$A$204,MATCH($C840,สินค้า!$B$5:$B$204,0)),"ไม่พบสินค้า"))</f>
        <v/>
      </c>
      <c r="E840" s="17">
        <f>IF($C840="","",IFERROR(INDEX(สินค้า!$C$5:$C$204,MATCH($C840,สินค้า!$B$5:$B$204,0)),"ไม่พบสินค้า"))</f>
        <v/>
      </c>
      <c r="F840" s="17">
        <f>IF($C840="","",IFERROR(INDEX(สินค้า!$D$5:$D$204,MATCH($C840,สินค้า!$B$5:$B$204,0)),"ไม่พบสินค้า"))</f>
        <v/>
      </c>
      <c r="G840" s="15" t="n"/>
      <c r="H840" s="15" t="n"/>
      <c r="I840" s="18">
        <f>IF(AND(ISNUMBER(G840),ISNUMBER(H840),G840&gt;0),H840/G840,"")</f>
        <v/>
      </c>
      <c r="J840" s="15" t="n"/>
      <c r="K840" s="15" t="n"/>
      <c r="L840" s="17">
        <f>IF(A840="","",TEXT(A840,"yyyy-mm"))</f>
        <v/>
      </c>
      <c r="M840" s="17">
        <f>IF(AND(A840&lt;&gt;"",J840="Pending"),TODAY()-A840,"")</f>
        <v/>
      </c>
    </row>
    <row r="841">
      <c r="A841" s="16" t="n"/>
      <c r="B841" s="15" t="n"/>
      <c r="C841" s="15" t="n"/>
      <c r="D841" s="17">
        <f>IF($C841="","",IFERROR(INDEX(สินค้า!$A$5:$A$204,MATCH($C841,สินค้า!$B$5:$B$204,0)),"ไม่พบสินค้า"))</f>
        <v/>
      </c>
      <c r="E841" s="17">
        <f>IF($C841="","",IFERROR(INDEX(สินค้า!$C$5:$C$204,MATCH($C841,สินค้า!$B$5:$B$204,0)),"ไม่พบสินค้า"))</f>
        <v/>
      </c>
      <c r="F841" s="17">
        <f>IF($C841="","",IFERROR(INDEX(สินค้า!$D$5:$D$204,MATCH($C841,สินค้า!$B$5:$B$204,0)),"ไม่พบสินค้า"))</f>
        <v/>
      </c>
      <c r="G841" s="15" t="n"/>
      <c r="H841" s="15" t="n"/>
      <c r="I841" s="18">
        <f>IF(AND(ISNUMBER(G841),ISNUMBER(H841),G841&gt;0),H841/G841,"")</f>
        <v/>
      </c>
      <c r="J841" s="15" t="n"/>
      <c r="K841" s="15" t="n"/>
      <c r="L841" s="17">
        <f>IF(A841="","",TEXT(A841,"yyyy-mm"))</f>
        <v/>
      </c>
      <c r="M841" s="17">
        <f>IF(AND(A841&lt;&gt;"",J841="Pending"),TODAY()-A841,"")</f>
        <v/>
      </c>
    </row>
    <row r="842">
      <c r="A842" s="16" t="n"/>
      <c r="B842" s="15" t="n"/>
      <c r="C842" s="15" t="n"/>
      <c r="D842" s="17">
        <f>IF($C842="","",IFERROR(INDEX(สินค้า!$A$5:$A$204,MATCH($C842,สินค้า!$B$5:$B$204,0)),"ไม่พบสินค้า"))</f>
        <v/>
      </c>
      <c r="E842" s="17">
        <f>IF($C842="","",IFERROR(INDEX(สินค้า!$C$5:$C$204,MATCH($C842,สินค้า!$B$5:$B$204,0)),"ไม่พบสินค้า"))</f>
        <v/>
      </c>
      <c r="F842" s="17">
        <f>IF($C842="","",IFERROR(INDEX(สินค้า!$D$5:$D$204,MATCH($C842,สินค้า!$B$5:$B$204,0)),"ไม่พบสินค้า"))</f>
        <v/>
      </c>
      <c r="G842" s="15" t="n"/>
      <c r="H842" s="15" t="n"/>
      <c r="I842" s="18">
        <f>IF(AND(ISNUMBER(G842),ISNUMBER(H842),G842&gt;0),H842/G842,"")</f>
        <v/>
      </c>
      <c r="J842" s="15" t="n"/>
      <c r="K842" s="15" t="n"/>
      <c r="L842" s="17">
        <f>IF(A842="","",TEXT(A842,"yyyy-mm"))</f>
        <v/>
      </c>
      <c r="M842" s="17">
        <f>IF(AND(A842&lt;&gt;"",J842="Pending"),TODAY()-A842,"")</f>
        <v/>
      </c>
    </row>
    <row r="843">
      <c r="A843" s="16" t="n"/>
      <c r="B843" s="15" t="n"/>
      <c r="C843" s="15" t="n"/>
      <c r="D843" s="17">
        <f>IF($C843="","",IFERROR(INDEX(สินค้า!$A$5:$A$204,MATCH($C843,สินค้า!$B$5:$B$204,0)),"ไม่พบสินค้า"))</f>
        <v/>
      </c>
      <c r="E843" s="17">
        <f>IF($C843="","",IFERROR(INDEX(สินค้า!$C$5:$C$204,MATCH($C843,สินค้า!$B$5:$B$204,0)),"ไม่พบสินค้า"))</f>
        <v/>
      </c>
      <c r="F843" s="17">
        <f>IF($C843="","",IFERROR(INDEX(สินค้า!$D$5:$D$204,MATCH($C843,สินค้า!$B$5:$B$204,0)),"ไม่พบสินค้า"))</f>
        <v/>
      </c>
      <c r="G843" s="15" t="n"/>
      <c r="H843" s="15" t="n"/>
      <c r="I843" s="18">
        <f>IF(AND(ISNUMBER(G843),ISNUMBER(H843),G843&gt;0),H843/G843,"")</f>
        <v/>
      </c>
      <c r="J843" s="15" t="n"/>
      <c r="K843" s="15" t="n"/>
      <c r="L843" s="17">
        <f>IF(A843="","",TEXT(A843,"yyyy-mm"))</f>
        <v/>
      </c>
      <c r="M843" s="17">
        <f>IF(AND(A843&lt;&gt;"",J843="Pending"),TODAY()-A843,"")</f>
        <v/>
      </c>
    </row>
    <row r="844">
      <c r="A844" s="16" t="n"/>
      <c r="B844" s="15" t="n"/>
      <c r="C844" s="15" t="n"/>
      <c r="D844" s="17">
        <f>IF($C844="","",IFERROR(INDEX(สินค้า!$A$5:$A$204,MATCH($C844,สินค้า!$B$5:$B$204,0)),"ไม่พบสินค้า"))</f>
        <v/>
      </c>
      <c r="E844" s="17">
        <f>IF($C844="","",IFERROR(INDEX(สินค้า!$C$5:$C$204,MATCH($C844,สินค้า!$B$5:$B$204,0)),"ไม่พบสินค้า"))</f>
        <v/>
      </c>
      <c r="F844" s="17">
        <f>IF($C844="","",IFERROR(INDEX(สินค้า!$D$5:$D$204,MATCH($C844,สินค้า!$B$5:$B$204,0)),"ไม่พบสินค้า"))</f>
        <v/>
      </c>
      <c r="G844" s="15" t="n"/>
      <c r="H844" s="15" t="n"/>
      <c r="I844" s="18">
        <f>IF(AND(ISNUMBER(G844),ISNUMBER(H844),G844&gt;0),H844/G844,"")</f>
        <v/>
      </c>
      <c r="J844" s="15" t="n"/>
      <c r="K844" s="15" t="n"/>
      <c r="L844" s="17">
        <f>IF(A844="","",TEXT(A844,"yyyy-mm"))</f>
        <v/>
      </c>
      <c r="M844" s="17">
        <f>IF(AND(A844&lt;&gt;"",J844="Pending"),TODAY()-A844,"")</f>
        <v/>
      </c>
    </row>
    <row r="845">
      <c r="A845" s="16" t="n"/>
      <c r="B845" s="15" t="n"/>
      <c r="C845" s="15" t="n"/>
      <c r="D845" s="17">
        <f>IF($C845="","",IFERROR(INDEX(สินค้า!$A$5:$A$204,MATCH($C845,สินค้า!$B$5:$B$204,0)),"ไม่พบสินค้า"))</f>
        <v/>
      </c>
      <c r="E845" s="17">
        <f>IF($C845="","",IFERROR(INDEX(สินค้า!$C$5:$C$204,MATCH($C845,สินค้า!$B$5:$B$204,0)),"ไม่พบสินค้า"))</f>
        <v/>
      </c>
      <c r="F845" s="17">
        <f>IF($C845="","",IFERROR(INDEX(สินค้า!$D$5:$D$204,MATCH($C845,สินค้า!$B$5:$B$204,0)),"ไม่พบสินค้า"))</f>
        <v/>
      </c>
      <c r="G845" s="15" t="n"/>
      <c r="H845" s="15" t="n"/>
      <c r="I845" s="18">
        <f>IF(AND(ISNUMBER(G845),ISNUMBER(H845),G845&gt;0),H845/G845,"")</f>
        <v/>
      </c>
      <c r="J845" s="15" t="n"/>
      <c r="K845" s="15" t="n"/>
      <c r="L845" s="17">
        <f>IF(A845="","",TEXT(A845,"yyyy-mm"))</f>
        <v/>
      </c>
      <c r="M845" s="17">
        <f>IF(AND(A845&lt;&gt;"",J845="Pending"),TODAY()-A845,"")</f>
        <v/>
      </c>
    </row>
    <row r="846">
      <c r="A846" s="16" t="n"/>
      <c r="B846" s="15" t="n"/>
      <c r="C846" s="15" t="n"/>
      <c r="D846" s="17">
        <f>IF($C846="","",IFERROR(INDEX(สินค้า!$A$5:$A$204,MATCH($C846,สินค้า!$B$5:$B$204,0)),"ไม่พบสินค้า"))</f>
        <v/>
      </c>
      <c r="E846" s="17">
        <f>IF($C846="","",IFERROR(INDEX(สินค้า!$C$5:$C$204,MATCH($C846,สินค้า!$B$5:$B$204,0)),"ไม่พบสินค้า"))</f>
        <v/>
      </c>
      <c r="F846" s="17">
        <f>IF($C846="","",IFERROR(INDEX(สินค้า!$D$5:$D$204,MATCH($C846,สินค้า!$B$5:$B$204,0)),"ไม่พบสินค้า"))</f>
        <v/>
      </c>
      <c r="G846" s="15" t="n"/>
      <c r="H846" s="15" t="n"/>
      <c r="I846" s="18">
        <f>IF(AND(ISNUMBER(G846),ISNUMBER(H846),G846&gt;0),H846/G846,"")</f>
        <v/>
      </c>
      <c r="J846" s="15" t="n"/>
      <c r="K846" s="15" t="n"/>
      <c r="L846" s="17">
        <f>IF(A846="","",TEXT(A846,"yyyy-mm"))</f>
        <v/>
      </c>
      <c r="M846" s="17">
        <f>IF(AND(A846&lt;&gt;"",J846="Pending"),TODAY()-A846,"")</f>
        <v/>
      </c>
    </row>
    <row r="847">
      <c r="A847" s="16" t="n"/>
      <c r="B847" s="15" t="n"/>
      <c r="C847" s="15" t="n"/>
      <c r="D847" s="17">
        <f>IF($C847="","",IFERROR(INDEX(สินค้า!$A$5:$A$204,MATCH($C847,สินค้า!$B$5:$B$204,0)),"ไม่พบสินค้า"))</f>
        <v/>
      </c>
      <c r="E847" s="17">
        <f>IF($C847="","",IFERROR(INDEX(สินค้า!$C$5:$C$204,MATCH($C847,สินค้า!$B$5:$B$204,0)),"ไม่พบสินค้า"))</f>
        <v/>
      </c>
      <c r="F847" s="17">
        <f>IF($C847="","",IFERROR(INDEX(สินค้า!$D$5:$D$204,MATCH($C847,สินค้า!$B$5:$B$204,0)),"ไม่พบสินค้า"))</f>
        <v/>
      </c>
      <c r="G847" s="15" t="n"/>
      <c r="H847" s="15" t="n"/>
      <c r="I847" s="18">
        <f>IF(AND(ISNUMBER(G847),ISNUMBER(H847),G847&gt;0),H847/G847,"")</f>
        <v/>
      </c>
      <c r="J847" s="15" t="n"/>
      <c r="K847" s="15" t="n"/>
      <c r="L847" s="17">
        <f>IF(A847="","",TEXT(A847,"yyyy-mm"))</f>
        <v/>
      </c>
      <c r="M847" s="17">
        <f>IF(AND(A847&lt;&gt;"",J847="Pending"),TODAY()-A847,"")</f>
        <v/>
      </c>
    </row>
    <row r="848">
      <c r="A848" s="16" t="n"/>
      <c r="B848" s="15" t="n"/>
      <c r="C848" s="15" t="n"/>
      <c r="D848" s="17">
        <f>IF($C848="","",IFERROR(INDEX(สินค้า!$A$5:$A$204,MATCH($C848,สินค้า!$B$5:$B$204,0)),"ไม่พบสินค้า"))</f>
        <v/>
      </c>
      <c r="E848" s="17">
        <f>IF($C848="","",IFERROR(INDEX(สินค้า!$C$5:$C$204,MATCH($C848,สินค้า!$B$5:$B$204,0)),"ไม่พบสินค้า"))</f>
        <v/>
      </c>
      <c r="F848" s="17">
        <f>IF($C848="","",IFERROR(INDEX(สินค้า!$D$5:$D$204,MATCH($C848,สินค้า!$B$5:$B$204,0)),"ไม่พบสินค้า"))</f>
        <v/>
      </c>
      <c r="G848" s="15" t="n"/>
      <c r="H848" s="15" t="n"/>
      <c r="I848" s="18">
        <f>IF(AND(ISNUMBER(G848),ISNUMBER(H848),G848&gt;0),H848/G848,"")</f>
        <v/>
      </c>
      <c r="J848" s="15" t="n"/>
      <c r="K848" s="15" t="n"/>
      <c r="L848" s="17">
        <f>IF(A848="","",TEXT(A848,"yyyy-mm"))</f>
        <v/>
      </c>
      <c r="M848" s="17">
        <f>IF(AND(A848&lt;&gt;"",J848="Pending"),TODAY()-A848,"")</f>
        <v/>
      </c>
    </row>
    <row r="849">
      <c r="A849" s="16" t="n"/>
      <c r="B849" s="15" t="n"/>
      <c r="C849" s="15" t="n"/>
      <c r="D849" s="17">
        <f>IF($C849="","",IFERROR(INDEX(สินค้า!$A$5:$A$204,MATCH($C849,สินค้า!$B$5:$B$204,0)),"ไม่พบสินค้า"))</f>
        <v/>
      </c>
      <c r="E849" s="17">
        <f>IF($C849="","",IFERROR(INDEX(สินค้า!$C$5:$C$204,MATCH($C849,สินค้า!$B$5:$B$204,0)),"ไม่พบสินค้า"))</f>
        <v/>
      </c>
      <c r="F849" s="17">
        <f>IF($C849="","",IFERROR(INDEX(สินค้า!$D$5:$D$204,MATCH($C849,สินค้า!$B$5:$B$204,0)),"ไม่พบสินค้า"))</f>
        <v/>
      </c>
      <c r="G849" s="15" t="n"/>
      <c r="H849" s="15" t="n"/>
      <c r="I849" s="18">
        <f>IF(AND(ISNUMBER(G849),ISNUMBER(H849),G849&gt;0),H849/G849,"")</f>
        <v/>
      </c>
      <c r="J849" s="15" t="n"/>
      <c r="K849" s="15" t="n"/>
      <c r="L849" s="17">
        <f>IF(A849="","",TEXT(A849,"yyyy-mm"))</f>
        <v/>
      </c>
      <c r="M849" s="17">
        <f>IF(AND(A849&lt;&gt;"",J849="Pending"),TODAY()-A849,"")</f>
        <v/>
      </c>
    </row>
    <row r="850">
      <c r="A850" s="16" t="n"/>
      <c r="B850" s="15" t="n"/>
      <c r="C850" s="15" t="n"/>
      <c r="D850" s="17">
        <f>IF($C850="","",IFERROR(INDEX(สินค้า!$A$5:$A$204,MATCH($C850,สินค้า!$B$5:$B$204,0)),"ไม่พบสินค้า"))</f>
        <v/>
      </c>
      <c r="E850" s="17">
        <f>IF($C850="","",IFERROR(INDEX(สินค้า!$C$5:$C$204,MATCH($C850,สินค้า!$B$5:$B$204,0)),"ไม่พบสินค้า"))</f>
        <v/>
      </c>
      <c r="F850" s="17">
        <f>IF($C850="","",IFERROR(INDEX(สินค้า!$D$5:$D$204,MATCH($C850,สินค้า!$B$5:$B$204,0)),"ไม่พบสินค้า"))</f>
        <v/>
      </c>
      <c r="G850" s="15" t="n"/>
      <c r="H850" s="15" t="n"/>
      <c r="I850" s="18">
        <f>IF(AND(ISNUMBER(G850),ISNUMBER(H850),G850&gt;0),H850/G850,"")</f>
        <v/>
      </c>
      <c r="J850" s="15" t="n"/>
      <c r="K850" s="15" t="n"/>
      <c r="L850" s="17">
        <f>IF(A850="","",TEXT(A850,"yyyy-mm"))</f>
        <v/>
      </c>
      <c r="M850" s="17">
        <f>IF(AND(A850&lt;&gt;"",J850="Pending"),TODAY()-A850,"")</f>
        <v/>
      </c>
    </row>
    <row r="851">
      <c r="A851" s="16" t="n"/>
      <c r="B851" s="15" t="n"/>
      <c r="C851" s="15" t="n"/>
      <c r="D851" s="17">
        <f>IF($C851="","",IFERROR(INDEX(สินค้า!$A$5:$A$204,MATCH($C851,สินค้า!$B$5:$B$204,0)),"ไม่พบสินค้า"))</f>
        <v/>
      </c>
      <c r="E851" s="17">
        <f>IF($C851="","",IFERROR(INDEX(สินค้า!$C$5:$C$204,MATCH($C851,สินค้า!$B$5:$B$204,0)),"ไม่พบสินค้า"))</f>
        <v/>
      </c>
      <c r="F851" s="17">
        <f>IF($C851="","",IFERROR(INDEX(สินค้า!$D$5:$D$204,MATCH($C851,สินค้า!$B$5:$B$204,0)),"ไม่พบสินค้า"))</f>
        <v/>
      </c>
      <c r="G851" s="15" t="n"/>
      <c r="H851" s="15" t="n"/>
      <c r="I851" s="18">
        <f>IF(AND(ISNUMBER(G851),ISNUMBER(H851),G851&gt;0),H851/G851,"")</f>
        <v/>
      </c>
      <c r="J851" s="15" t="n"/>
      <c r="K851" s="15" t="n"/>
      <c r="L851" s="17">
        <f>IF(A851="","",TEXT(A851,"yyyy-mm"))</f>
        <v/>
      </c>
      <c r="M851" s="17">
        <f>IF(AND(A851&lt;&gt;"",J851="Pending"),TODAY()-A851,"")</f>
        <v/>
      </c>
    </row>
    <row r="852">
      <c r="A852" s="16" t="n"/>
      <c r="B852" s="15" t="n"/>
      <c r="C852" s="15" t="n"/>
      <c r="D852" s="17">
        <f>IF($C852="","",IFERROR(INDEX(สินค้า!$A$5:$A$204,MATCH($C852,สินค้า!$B$5:$B$204,0)),"ไม่พบสินค้า"))</f>
        <v/>
      </c>
      <c r="E852" s="17">
        <f>IF($C852="","",IFERROR(INDEX(สินค้า!$C$5:$C$204,MATCH($C852,สินค้า!$B$5:$B$204,0)),"ไม่พบสินค้า"))</f>
        <v/>
      </c>
      <c r="F852" s="17">
        <f>IF($C852="","",IFERROR(INDEX(สินค้า!$D$5:$D$204,MATCH($C852,สินค้า!$B$5:$B$204,0)),"ไม่พบสินค้า"))</f>
        <v/>
      </c>
      <c r="G852" s="15" t="n"/>
      <c r="H852" s="15" t="n"/>
      <c r="I852" s="18">
        <f>IF(AND(ISNUMBER(G852),ISNUMBER(H852),G852&gt;0),H852/G852,"")</f>
        <v/>
      </c>
      <c r="J852" s="15" t="n"/>
      <c r="K852" s="15" t="n"/>
      <c r="L852" s="17">
        <f>IF(A852="","",TEXT(A852,"yyyy-mm"))</f>
        <v/>
      </c>
      <c r="M852" s="17">
        <f>IF(AND(A852&lt;&gt;"",J852="Pending"),TODAY()-A852,"")</f>
        <v/>
      </c>
    </row>
    <row r="853">
      <c r="A853" s="16" t="n"/>
      <c r="B853" s="15" t="n"/>
      <c r="C853" s="15" t="n"/>
      <c r="D853" s="17">
        <f>IF($C853="","",IFERROR(INDEX(สินค้า!$A$5:$A$204,MATCH($C853,สินค้า!$B$5:$B$204,0)),"ไม่พบสินค้า"))</f>
        <v/>
      </c>
      <c r="E853" s="17">
        <f>IF($C853="","",IFERROR(INDEX(สินค้า!$C$5:$C$204,MATCH($C853,สินค้า!$B$5:$B$204,0)),"ไม่พบสินค้า"))</f>
        <v/>
      </c>
      <c r="F853" s="17">
        <f>IF($C853="","",IFERROR(INDEX(สินค้า!$D$5:$D$204,MATCH($C853,สินค้า!$B$5:$B$204,0)),"ไม่พบสินค้า"))</f>
        <v/>
      </c>
      <c r="G853" s="15" t="n"/>
      <c r="H853" s="15" t="n"/>
      <c r="I853" s="18">
        <f>IF(AND(ISNUMBER(G853),ISNUMBER(H853),G853&gt;0),H853/G853,"")</f>
        <v/>
      </c>
      <c r="J853" s="15" t="n"/>
      <c r="K853" s="15" t="n"/>
      <c r="L853" s="17">
        <f>IF(A853="","",TEXT(A853,"yyyy-mm"))</f>
        <v/>
      </c>
      <c r="M853" s="17">
        <f>IF(AND(A853&lt;&gt;"",J853="Pending"),TODAY()-A853,"")</f>
        <v/>
      </c>
    </row>
    <row r="854">
      <c r="A854" s="16" t="n"/>
      <c r="B854" s="15" t="n"/>
      <c r="C854" s="15" t="n"/>
      <c r="D854" s="17">
        <f>IF($C854="","",IFERROR(INDEX(สินค้า!$A$5:$A$204,MATCH($C854,สินค้า!$B$5:$B$204,0)),"ไม่พบสินค้า"))</f>
        <v/>
      </c>
      <c r="E854" s="17">
        <f>IF($C854="","",IFERROR(INDEX(สินค้า!$C$5:$C$204,MATCH($C854,สินค้า!$B$5:$B$204,0)),"ไม่พบสินค้า"))</f>
        <v/>
      </c>
      <c r="F854" s="17">
        <f>IF($C854="","",IFERROR(INDEX(สินค้า!$D$5:$D$204,MATCH($C854,สินค้า!$B$5:$B$204,0)),"ไม่พบสินค้า"))</f>
        <v/>
      </c>
      <c r="G854" s="15" t="n"/>
      <c r="H854" s="15" t="n"/>
      <c r="I854" s="18">
        <f>IF(AND(ISNUMBER(G854),ISNUMBER(H854),G854&gt;0),H854/G854,"")</f>
        <v/>
      </c>
      <c r="J854" s="15" t="n"/>
      <c r="K854" s="15" t="n"/>
      <c r="L854" s="17">
        <f>IF(A854="","",TEXT(A854,"yyyy-mm"))</f>
        <v/>
      </c>
      <c r="M854" s="17">
        <f>IF(AND(A854&lt;&gt;"",J854="Pending"),TODAY()-A854,"")</f>
        <v/>
      </c>
    </row>
    <row r="855">
      <c r="A855" s="16" t="n"/>
      <c r="B855" s="15" t="n"/>
      <c r="C855" s="15" t="n"/>
      <c r="D855" s="17">
        <f>IF($C855="","",IFERROR(INDEX(สินค้า!$A$5:$A$204,MATCH($C855,สินค้า!$B$5:$B$204,0)),"ไม่พบสินค้า"))</f>
        <v/>
      </c>
      <c r="E855" s="17">
        <f>IF($C855="","",IFERROR(INDEX(สินค้า!$C$5:$C$204,MATCH($C855,สินค้า!$B$5:$B$204,0)),"ไม่พบสินค้า"))</f>
        <v/>
      </c>
      <c r="F855" s="17">
        <f>IF($C855="","",IFERROR(INDEX(สินค้า!$D$5:$D$204,MATCH($C855,สินค้า!$B$5:$B$204,0)),"ไม่พบสินค้า"))</f>
        <v/>
      </c>
      <c r="G855" s="15" t="n"/>
      <c r="H855" s="15" t="n"/>
      <c r="I855" s="18">
        <f>IF(AND(ISNUMBER(G855),ISNUMBER(H855),G855&gt;0),H855/G855,"")</f>
        <v/>
      </c>
      <c r="J855" s="15" t="n"/>
      <c r="K855" s="15" t="n"/>
      <c r="L855" s="17">
        <f>IF(A855="","",TEXT(A855,"yyyy-mm"))</f>
        <v/>
      </c>
      <c r="M855" s="17">
        <f>IF(AND(A855&lt;&gt;"",J855="Pending"),TODAY()-A855,"")</f>
        <v/>
      </c>
    </row>
    <row r="856">
      <c r="A856" s="16" t="n"/>
      <c r="B856" s="15" t="n"/>
      <c r="C856" s="15" t="n"/>
      <c r="D856" s="17">
        <f>IF($C856="","",IFERROR(INDEX(สินค้า!$A$5:$A$204,MATCH($C856,สินค้า!$B$5:$B$204,0)),"ไม่พบสินค้า"))</f>
        <v/>
      </c>
      <c r="E856" s="17">
        <f>IF($C856="","",IFERROR(INDEX(สินค้า!$C$5:$C$204,MATCH($C856,สินค้า!$B$5:$B$204,0)),"ไม่พบสินค้า"))</f>
        <v/>
      </c>
      <c r="F856" s="17">
        <f>IF($C856="","",IFERROR(INDEX(สินค้า!$D$5:$D$204,MATCH($C856,สินค้า!$B$5:$B$204,0)),"ไม่พบสินค้า"))</f>
        <v/>
      </c>
      <c r="G856" s="15" t="n"/>
      <c r="H856" s="15" t="n"/>
      <c r="I856" s="18">
        <f>IF(AND(ISNUMBER(G856),ISNUMBER(H856),G856&gt;0),H856/G856,"")</f>
        <v/>
      </c>
      <c r="J856" s="15" t="n"/>
      <c r="K856" s="15" t="n"/>
      <c r="L856" s="17">
        <f>IF(A856="","",TEXT(A856,"yyyy-mm"))</f>
        <v/>
      </c>
      <c r="M856" s="17">
        <f>IF(AND(A856&lt;&gt;"",J856="Pending"),TODAY()-A856,"")</f>
        <v/>
      </c>
    </row>
    <row r="857">
      <c r="A857" s="16" t="n"/>
      <c r="B857" s="15" t="n"/>
      <c r="C857" s="15" t="n"/>
      <c r="D857" s="17">
        <f>IF($C857="","",IFERROR(INDEX(สินค้า!$A$5:$A$204,MATCH($C857,สินค้า!$B$5:$B$204,0)),"ไม่พบสินค้า"))</f>
        <v/>
      </c>
      <c r="E857" s="17">
        <f>IF($C857="","",IFERROR(INDEX(สินค้า!$C$5:$C$204,MATCH($C857,สินค้า!$B$5:$B$204,0)),"ไม่พบสินค้า"))</f>
        <v/>
      </c>
      <c r="F857" s="17">
        <f>IF($C857="","",IFERROR(INDEX(สินค้า!$D$5:$D$204,MATCH($C857,สินค้า!$B$5:$B$204,0)),"ไม่พบสินค้า"))</f>
        <v/>
      </c>
      <c r="G857" s="15" t="n"/>
      <c r="H857" s="15" t="n"/>
      <c r="I857" s="18">
        <f>IF(AND(ISNUMBER(G857),ISNUMBER(H857),G857&gt;0),H857/G857,"")</f>
        <v/>
      </c>
      <c r="J857" s="15" t="n"/>
      <c r="K857" s="15" t="n"/>
      <c r="L857" s="17">
        <f>IF(A857="","",TEXT(A857,"yyyy-mm"))</f>
        <v/>
      </c>
      <c r="M857" s="17">
        <f>IF(AND(A857&lt;&gt;"",J857="Pending"),TODAY()-A857,"")</f>
        <v/>
      </c>
    </row>
    <row r="858">
      <c r="A858" s="16" t="n"/>
      <c r="B858" s="15" t="n"/>
      <c r="C858" s="15" t="n"/>
      <c r="D858" s="17">
        <f>IF($C858="","",IFERROR(INDEX(สินค้า!$A$5:$A$204,MATCH($C858,สินค้า!$B$5:$B$204,0)),"ไม่พบสินค้า"))</f>
        <v/>
      </c>
      <c r="E858" s="17">
        <f>IF($C858="","",IFERROR(INDEX(สินค้า!$C$5:$C$204,MATCH($C858,สินค้า!$B$5:$B$204,0)),"ไม่พบสินค้า"))</f>
        <v/>
      </c>
      <c r="F858" s="17">
        <f>IF($C858="","",IFERROR(INDEX(สินค้า!$D$5:$D$204,MATCH($C858,สินค้า!$B$5:$B$204,0)),"ไม่พบสินค้า"))</f>
        <v/>
      </c>
      <c r="G858" s="15" t="n"/>
      <c r="H858" s="15" t="n"/>
      <c r="I858" s="18">
        <f>IF(AND(ISNUMBER(G858),ISNUMBER(H858),G858&gt;0),H858/G858,"")</f>
        <v/>
      </c>
      <c r="J858" s="15" t="n"/>
      <c r="K858" s="15" t="n"/>
      <c r="L858" s="17">
        <f>IF(A858="","",TEXT(A858,"yyyy-mm"))</f>
        <v/>
      </c>
      <c r="M858" s="17">
        <f>IF(AND(A858&lt;&gt;"",J858="Pending"),TODAY()-A858,"")</f>
        <v/>
      </c>
    </row>
    <row r="859">
      <c r="A859" s="16" t="n"/>
      <c r="B859" s="15" t="n"/>
      <c r="C859" s="15" t="n"/>
      <c r="D859" s="17">
        <f>IF($C859="","",IFERROR(INDEX(สินค้า!$A$5:$A$204,MATCH($C859,สินค้า!$B$5:$B$204,0)),"ไม่พบสินค้า"))</f>
        <v/>
      </c>
      <c r="E859" s="17">
        <f>IF($C859="","",IFERROR(INDEX(สินค้า!$C$5:$C$204,MATCH($C859,สินค้า!$B$5:$B$204,0)),"ไม่พบสินค้า"))</f>
        <v/>
      </c>
      <c r="F859" s="17">
        <f>IF($C859="","",IFERROR(INDEX(สินค้า!$D$5:$D$204,MATCH($C859,สินค้า!$B$5:$B$204,0)),"ไม่พบสินค้า"))</f>
        <v/>
      </c>
      <c r="G859" s="15" t="n"/>
      <c r="H859" s="15" t="n"/>
      <c r="I859" s="18">
        <f>IF(AND(ISNUMBER(G859),ISNUMBER(H859),G859&gt;0),H859/G859,"")</f>
        <v/>
      </c>
      <c r="J859" s="15" t="n"/>
      <c r="K859" s="15" t="n"/>
      <c r="L859" s="17">
        <f>IF(A859="","",TEXT(A859,"yyyy-mm"))</f>
        <v/>
      </c>
      <c r="M859" s="17">
        <f>IF(AND(A859&lt;&gt;"",J859="Pending"),TODAY()-A859,"")</f>
        <v/>
      </c>
    </row>
    <row r="860">
      <c r="A860" s="16" t="n"/>
      <c r="B860" s="15" t="n"/>
      <c r="C860" s="15" t="n"/>
      <c r="D860" s="17">
        <f>IF($C860="","",IFERROR(INDEX(สินค้า!$A$5:$A$204,MATCH($C860,สินค้า!$B$5:$B$204,0)),"ไม่พบสินค้า"))</f>
        <v/>
      </c>
      <c r="E860" s="17">
        <f>IF($C860="","",IFERROR(INDEX(สินค้า!$C$5:$C$204,MATCH($C860,สินค้า!$B$5:$B$204,0)),"ไม่พบสินค้า"))</f>
        <v/>
      </c>
      <c r="F860" s="17">
        <f>IF($C860="","",IFERROR(INDEX(สินค้า!$D$5:$D$204,MATCH($C860,สินค้า!$B$5:$B$204,0)),"ไม่พบสินค้า"))</f>
        <v/>
      </c>
      <c r="G860" s="15" t="n"/>
      <c r="H860" s="15" t="n"/>
      <c r="I860" s="18">
        <f>IF(AND(ISNUMBER(G860),ISNUMBER(H860),G860&gt;0),H860/G860,"")</f>
        <v/>
      </c>
      <c r="J860" s="15" t="n"/>
      <c r="K860" s="15" t="n"/>
      <c r="L860" s="17">
        <f>IF(A860="","",TEXT(A860,"yyyy-mm"))</f>
        <v/>
      </c>
      <c r="M860" s="17">
        <f>IF(AND(A860&lt;&gt;"",J860="Pending"),TODAY()-A860,"")</f>
        <v/>
      </c>
    </row>
    <row r="861">
      <c r="A861" s="16" t="n"/>
      <c r="B861" s="15" t="n"/>
      <c r="C861" s="15" t="n"/>
      <c r="D861" s="17">
        <f>IF($C861="","",IFERROR(INDEX(สินค้า!$A$5:$A$204,MATCH($C861,สินค้า!$B$5:$B$204,0)),"ไม่พบสินค้า"))</f>
        <v/>
      </c>
      <c r="E861" s="17">
        <f>IF($C861="","",IFERROR(INDEX(สินค้า!$C$5:$C$204,MATCH($C861,สินค้า!$B$5:$B$204,0)),"ไม่พบสินค้า"))</f>
        <v/>
      </c>
      <c r="F861" s="17">
        <f>IF($C861="","",IFERROR(INDEX(สินค้า!$D$5:$D$204,MATCH($C861,สินค้า!$B$5:$B$204,0)),"ไม่พบสินค้า"))</f>
        <v/>
      </c>
      <c r="G861" s="15" t="n"/>
      <c r="H861" s="15" t="n"/>
      <c r="I861" s="18">
        <f>IF(AND(ISNUMBER(G861),ISNUMBER(H861),G861&gt;0),H861/G861,"")</f>
        <v/>
      </c>
      <c r="J861" s="15" t="n"/>
      <c r="K861" s="15" t="n"/>
      <c r="L861" s="17">
        <f>IF(A861="","",TEXT(A861,"yyyy-mm"))</f>
        <v/>
      </c>
      <c r="M861" s="17">
        <f>IF(AND(A861&lt;&gt;"",J861="Pending"),TODAY()-A861,"")</f>
        <v/>
      </c>
    </row>
    <row r="862">
      <c r="A862" s="16" t="n"/>
      <c r="B862" s="15" t="n"/>
      <c r="C862" s="15" t="n"/>
      <c r="D862" s="17">
        <f>IF($C862="","",IFERROR(INDEX(สินค้า!$A$5:$A$204,MATCH($C862,สินค้า!$B$5:$B$204,0)),"ไม่พบสินค้า"))</f>
        <v/>
      </c>
      <c r="E862" s="17">
        <f>IF($C862="","",IFERROR(INDEX(สินค้า!$C$5:$C$204,MATCH($C862,สินค้า!$B$5:$B$204,0)),"ไม่พบสินค้า"))</f>
        <v/>
      </c>
      <c r="F862" s="17">
        <f>IF($C862="","",IFERROR(INDEX(สินค้า!$D$5:$D$204,MATCH($C862,สินค้า!$B$5:$B$204,0)),"ไม่พบสินค้า"))</f>
        <v/>
      </c>
      <c r="G862" s="15" t="n"/>
      <c r="H862" s="15" t="n"/>
      <c r="I862" s="18">
        <f>IF(AND(ISNUMBER(G862),ISNUMBER(H862),G862&gt;0),H862/G862,"")</f>
        <v/>
      </c>
      <c r="J862" s="15" t="n"/>
      <c r="K862" s="15" t="n"/>
      <c r="L862" s="17">
        <f>IF(A862="","",TEXT(A862,"yyyy-mm"))</f>
        <v/>
      </c>
      <c r="M862" s="17">
        <f>IF(AND(A862&lt;&gt;"",J862="Pending"),TODAY()-A862,"")</f>
        <v/>
      </c>
    </row>
    <row r="863">
      <c r="A863" s="16" t="n"/>
      <c r="B863" s="15" t="n"/>
      <c r="C863" s="15" t="n"/>
      <c r="D863" s="17">
        <f>IF($C863="","",IFERROR(INDEX(สินค้า!$A$5:$A$204,MATCH($C863,สินค้า!$B$5:$B$204,0)),"ไม่พบสินค้า"))</f>
        <v/>
      </c>
      <c r="E863" s="17">
        <f>IF($C863="","",IFERROR(INDEX(สินค้า!$C$5:$C$204,MATCH($C863,สินค้า!$B$5:$B$204,0)),"ไม่พบสินค้า"))</f>
        <v/>
      </c>
      <c r="F863" s="17">
        <f>IF($C863="","",IFERROR(INDEX(สินค้า!$D$5:$D$204,MATCH($C863,สินค้า!$B$5:$B$204,0)),"ไม่พบสินค้า"))</f>
        <v/>
      </c>
      <c r="G863" s="15" t="n"/>
      <c r="H863" s="15" t="n"/>
      <c r="I863" s="18">
        <f>IF(AND(ISNUMBER(G863),ISNUMBER(H863),G863&gt;0),H863/G863,"")</f>
        <v/>
      </c>
      <c r="J863" s="15" t="n"/>
      <c r="K863" s="15" t="n"/>
      <c r="L863" s="17">
        <f>IF(A863="","",TEXT(A863,"yyyy-mm"))</f>
        <v/>
      </c>
      <c r="M863" s="17">
        <f>IF(AND(A863&lt;&gt;"",J863="Pending"),TODAY()-A863,"")</f>
        <v/>
      </c>
    </row>
    <row r="864">
      <c r="A864" s="16" t="n"/>
      <c r="B864" s="15" t="n"/>
      <c r="C864" s="15" t="n"/>
      <c r="D864" s="17">
        <f>IF($C864="","",IFERROR(INDEX(สินค้า!$A$5:$A$204,MATCH($C864,สินค้า!$B$5:$B$204,0)),"ไม่พบสินค้า"))</f>
        <v/>
      </c>
      <c r="E864" s="17">
        <f>IF($C864="","",IFERROR(INDEX(สินค้า!$C$5:$C$204,MATCH($C864,สินค้า!$B$5:$B$204,0)),"ไม่พบสินค้า"))</f>
        <v/>
      </c>
      <c r="F864" s="17">
        <f>IF($C864="","",IFERROR(INDEX(สินค้า!$D$5:$D$204,MATCH($C864,สินค้า!$B$5:$B$204,0)),"ไม่พบสินค้า"))</f>
        <v/>
      </c>
      <c r="G864" s="15" t="n"/>
      <c r="H864" s="15" t="n"/>
      <c r="I864" s="18">
        <f>IF(AND(ISNUMBER(G864),ISNUMBER(H864),G864&gt;0),H864/G864,"")</f>
        <v/>
      </c>
      <c r="J864" s="15" t="n"/>
      <c r="K864" s="15" t="n"/>
      <c r="L864" s="17">
        <f>IF(A864="","",TEXT(A864,"yyyy-mm"))</f>
        <v/>
      </c>
      <c r="M864" s="17">
        <f>IF(AND(A864&lt;&gt;"",J864="Pending"),TODAY()-A864,"")</f>
        <v/>
      </c>
    </row>
    <row r="865">
      <c r="A865" s="16" t="n"/>
      <c r="B865" s="15" t="n"/>
      <c r="C865" s="15" t="n"/>
      <c r="D865" s="17">
        <f>IF($C865="","",IFERROR(INDEX(สินค้า!$A$5:$A$204,MATCH($C865,สินค้า!$B$5:$B$204,0)),"ไม่พบสินค้า"))</f>
        <v/>
      </c>
      <c r="E865" s="17">
        <f>IF($C865="","",IFERROR(INDEX(สินค้า!$C$5:$C$204,MATCH($C865,สินค้า!$B$5:$B$204,0)),"ไม่พบสินค้า"))</f>
        <v/>
      </c>
      <c r="F865" s="17">
        <f>IF($C865="","",IFERROR(INDEX(สินค้า!$D$5:$D$204,MATCH($C865,สินค้า!$B$5:$B$204,0)),"ไม่พบสินค้า"))</f>
        <v/>
      </c>
      <c r="G865" s="15" t="n"/>
      <c r="H865" s="15" t="n"/>
      <c r="I865" s="18">
        <f>IF(AND(ISNUMBER(G865),ISNUMBER(H865),G865&gt;0),H865/G865,"")</f>
        <v/>
      </c>
      <c r="J865" s="15" t="n"/>
      <c r="K865" s="15" t="n"/>
      <c r="L865" s="17">
        <f>IF(A865="","",TEXT(A865,"yyyy-mm"))</f>
        <v/>
      </c>
      <c r="M865" s="17">
        <f>IF(AND(A865&lt;&gt;"",J865="Pending"),TODAY()-A865,"")</f>
        <v/>
      </c>
    </row>
    <row r="866">
      <c r="A866" s="16" t="n"/>
      <c r="B866" s="15" t="n"/>
      <c r="C866" s="15" t="n"/>
      <c r="D866" s="17">
        <f>IF($C866="","",IFERROR(INDEX(สินค้า!$A$5:$A$204,MATCH($C866,สินค้า!$B$5:$B$204,0)),"ไม่พบสินค้า"))</f>
        <v/>
      </c>
      <c r="E866" s="17">
        <f>IF($C866="","",IFERROR(INDEX(สินค้า!$C$5:$C$204,MATCH($C866,สินค้า!$B$5:$B$204,0)),"ไม่พบสินค้า"))</f>
        <v/>
      </c>
      <c r="F866" s="17">
        <f>IF($C866="","",IFERROR(INDEX(สินค้า!$D$5:$D$204,MATCH($C866,สินค้า!$B$5:$B$204,0)),"ไม่พบสินค้า"))</f>
        <v/>
      </c>
      <c r="G866" s="15" t="n"/>
      <c r="H866" s="15" t="n"/>
      <c r="I866" s="18">
        <f>IF(AND(ISNUMBER(G866),ISNUMBER(H866),G866&gt;0),H866/G866,"")</f>
        <v/>
      </c>
      <c r="J866" s="15" t="n"/>
      <c r="K866" s="15" t="n"/>
      <c r="L866" s="17">
        <f>IF(A866="","",TEXT(A866,"yyyy-mm"))</f>
        <v/>
      </c>
      <c r="M866" s="17">
        <f>IF(AND(A866&lt;&gt;"",J866="Pending"),TODAY()-A866,"")</f>
        <v/>
      </c>
    </row>
    <row r="867">
      <c r="A867" s="16" t="n"/>
      <c r="B867" s="15" t="n"/>
      <c r="C867" s="15" t="n"/>
      <c r="D867" s="17">
        <f>IF($C867="","",IFERROR(INDEX(สินค้า!$A$5:$A$204,MATCH($C867,สินค้า!$B$5:$B$204,0)),"ไม่พบสินค้า"))</f>
        <v/>
      </c>
      <c r="E867" s="17">
        <f>IF($C867="","",IFERROR(INDEX(สินค้า!$C$5:$C$204,MATCH($C867,สินค้า!$B$5:$B$204,0)),"ไม่พบสินค้า"))</f>
        <v/>
      </c>
      <c r="F867" s="17">
        <f>IF($C867="","",IFERROR(INDEX(สินค้า!$D$5:$D$204,MATCH($C867,สินค้า!$B$5:$B$204,0)),"ไม่พบสินค้า"))</f>
        <v/>
      </c>
      <c r="G867" s="15" t="n"/>
      <c r="H867" s="15" t="n"/>
      <c r="I867" s="18">
        <f>IF(AND(ISNUMBER(G867),ISNUMBER(H867),G867&gt;0),H867/G867,"")</f>
        <v/>
      </c>
      <c r="J867" s="15" t="n"/>
      <c r="K867" s="15" t="n"/>
      <c r="L867" s="17">
        <f>IF(A867="","",TEXT(A867,"yyyy-mm"))</f>
        <v/>
      </c>
      <c r="M867" s="17">
        <f>IF(AND(A867&lt;&gt;"",J867="Pending"),TODAY()-A867,"")</f>
        <v/>
      </c>
    </row>
    <row r="868">
      <c r="A868" s="16" t="n"/>
      <c r="B868" s="15" t="n"/>
      <c r="C868" s="15" t="n"/>
      <c r="D868" s="17">
        <f>IF($C868="","",IFERROR(INDEX(สินค้า!$A$5:$A$204,MATCH($C868,สินค้า!$B$5:$B$204,0)),"ไม่พบสินค้า"))</f>
        <v/>
      </c>
      <c r="E868" s="17">
        <f>IF($C868="","",IFERROR(INDEX(สินค้า!$C$5:$C$204,MATCH($C868,สินค้า!$B$5:$B$204,0)),"ไม่พบสินค้า"))</f>
        <v/>
      </c>
      <c r="F868" s="17">
        <f>IF($C868="","",IFERROR(INDEX(สินค้า!$D$5:$D$204,MATCH($C868,สินค้า!$B$5:$B$204,0)),"ไม่พบสินค้า"))</f>
        <v/>
      </c>
      <c r="G868" s="15" t="n"/>
      <c r="H868" s="15" t="n"/>
      <c r="I868" s="18">
        <f>IF(AND(ISNUMBER(G868),ISNUMBER(H868),G868&gt;0),H868/G868,"")</f>
        <v/>
      </c>
      <c r="J868" s="15" t="n"/>
      <c r="K868" s="15" t="n"/>
      <c r="L868" s="17">
        <f>IF(A868="","",TEXT(A868,"yyyy-mm"))</f>
        <v/>
      </c>
      <c r="M868" s="17">
        <f>IF(AND(A868&lt;&gt;"",J868="Pending"),TODAY()-A868,"")</f>
        <v/>
      </c>
    </row>
    <row r="869">
      <c r="A869" s="16" t="n"/>
      <c r="B869" s="15" t="n"/>
      <c r="C869" s="15" t="n"/>
      <c r="D869" s="17">
        <f>IF($C869="","",IFERROR(INDEX(สินค้า!$A$5:$A$204,MATCH($C869,สินค้า!$B$5:$B$204,0)),"ไม่พบสินค้า"))</f>
        <v/>
      </c>
      <c r="E869" s="17">
        <f>IF($C869="","",IFERROR(INDEX(สินค้า!$C$5:$C$204,MATCH($C869,สินค้า!$B$5:$B$204,0)),"ไม่พบสินค้า"))</f>
        <v/>
      </c>
      <c r="F869" s="17">
        <f>IF($C869="","",IFERROR(INDEX(สินค้า!$D$5:$D$204,MATCH($C869,สินค้า!$B$5:$B$204,0)),"ไม่พบสินค้า"))</f>
        <v/>
      </c>
      <c r="G869" s="15" t="n"/>
      <c r="H869" s="15" t="n"/>
      <c r="I869" s="18">
        <f>IF(AND(ISNUMBER(G869),ISNUMBER(H869),G869&gt;0),H869/G869,"")</f>
        <v/>
      </c>
      <c r="J869" s="15" t="n"/>
      <c r="K869" s="15" t="n"/>
      <c r="L869" s="17">
        <f>IF(A869="","",TEXT(A869,"yyyy-mm"))</f>
        <v/>
      </c>
      <c r="M869" s="17">
        <f>IF(AND(A869&lt;&gt;"",J869="Pending"),TODAY()-A869,"")</f>
        <v/>
      </c>
    </row>
    <row r="870">
      <c r="A870" s="16" t="n"/>
      <c r="B870" s="15" t="n"/>
      <c r="C870" s="15" t="n"/>
      <c r="D870" s="17">
        <f>IF($C870="","",IFERROR(INDEX(สินค้า!$A$5:$A$204,MATCH($C870,สินค้า!$B$5:$B$204,0)),"ไม่พบสินค้า"))</f>
        <v/>
      </c>
      <c r="E870" s="17">
        <f>IF($C870="","",IFERROR(INDEX(สินค้า!$C$5:$C$204,MATCH($C870,สินค้า!$B$5:$B$204,0)),"ไม่พบสินค้า"))</f>
        <v/>
      </c>
      <c r="F870" s="17">
        <f>IF($C870="","",IFERROR(INDEX(สินค้า!$D$5:$D$204,MATCH($C870,สินค้า!$B$5:$B$204,0)),"ไม่พบสินค้า"))</f>
        <v/>
      </c>
      <c r="G870" s="15" t="n"/>
      <c r="H870" s="15" t="n"/>
      <c r="I870" s="18">
        <f>IF(AND(ISNUMBER(G870),ISNUMBER(H870),G870&gt;0),H870/G870,"")</f>
        <v/>
      </c>
      <c r="J870" s="15" t="n"/>
      <c r="K870" s="15" t="n"/>
      <c r="L870" s="17">
        <f>IF(A870="","",TEXT(A870,"yyyy-mm"))</f>
        <v/>
      </c>
      <c r="M870" s="17">
        <f>IF(AND(A870&lt;&gt;"",J870="Pending"),TODAY()-A870,"")</f>
        <v/>
      </c>
    </row>
    <row r="871">
      <c r="A871" s="16" t="n"/>
      <c r="B871" s="15" t="n"/>
      <c r="C871" s="15" t="n"/>
      <c r="D871" s="17">
        <f>IF($C871="","",IFERROR(INDEX(สินค้า!$A$5:$A$204,MATCH($C871,สินค้า!$B$5:$B$204,0)),"ไม่พบสินค้า"))</f>
        <v/>
      </c>
      <c r="E871" s="17">
        <f>IF($C871="","",IFERROR(INDEX(สินค้า!$C$5:$C$204,MATCH($C871,สินค้า!$B$5:$B$204,0)),"ไม่พบสินค้า"))</f>
        <v/>
      </c>
      <c r="F871" s="17">
        <f>IF($C871="","",IFERROR(INDEX(สินค้า!$D$5:$D$204,MATCH($C871,สินค้า!$B$5:$B$204,0)),"ไม่พบสินค้า"))</f>
        <v/>
      </c>
      <c r="G871" s="15" t="n"/>
      <c r="H871" s="15" t="n"/>
      <c r="I871" s="18">
        <f>IF(AND(ISNUMBER(G871),ISNUMBER(H871),G871&gt;0),H871/G871,"")</f>
        <v/>
      </c>
      <c r="J871" s="15" t="n"/>
      <c r="K871" s="15" t="n"/>
      <c r="L871" s="17">
        <f>IF(A871="","",TEXT(A871,"yyyy-mm"))</f>
        <v/>
      </c>
      <c r="M871" s="17">
        <f>IF(AND(A871&lt;&gt;"",J871="Pending"),TODAY()-A871,"")</f>
        <v/>
      </c>
    </row>
    <row r="872">
      <c r="A872" s="16" t="n"/>
      <c r="B872" s="15" t="n"/>
      <c r="C872" s="15" t="n"/>
      <c r="D872" s="17">
        <f>IF($C872="","",IFERROR(INDEX(สินค้า!$A$5:$A$204,MATCH($C872,สินค้า!$B$5:$B$204,0)),"ไม่พบสินค้า"))</f>
        <v/>
      </c>
      <c r="E872" s="17">
        <f>IF($C872="","",IFERROR(INDEX(สินค้า!$C$5:$C$204,MATCH($C872,สินค้า!$B$5:$B$204,0)),"ไม่พบสินค้า"))</f>
        <v/>
      </c>
      <c r="F872" s="17">
        <f>IF($C872="","",IFERROR(INDEX(สินค้า!$D$5:$D$204,MATCH($C872,สินค้า!$B$5:$B$204,0)),"ไม่พบสินค้า"))</f>
        <v/>
      </c>
      <c r="G872" s="15" t="n"/>
      <c r="H872" s="15" t="n"/>
      <c r="I872" s="18">
        <f>IF(AND(ISNUMBER(G872),ISNUMBER(H872),G872&gt;0),H872/G872,"")</f>
        <v/>
      </c>
      <c r="J872" s="15" t="n"/>
      <c r="K872" s="15" t="n"/>
      <c r="L872" s="17">
        <f>IF(A872="","",TEXT(A872,"yyyy-mm"))</f>
        <v/>
      </c>
      <c r="M872" s="17">
        <f>IF(AND(A872&lt;&gt;"",J872="Pending"),TODAY()-A872,"")</f>
        <v/>
      </c>
    </row>
    <row r="873">
      <c r="A873" s="16" t="n"/>
      <c r="B873" s="15" t="n"/>
      <c r="C873" s="15" t="n"/>
      <c r="D873" s="17">
        <f>IF($C873="","",IFERROR(INDEX(สินค้า!$A$5:$A$204,MATCH($C873,สินค้า!$B$5:$B$204,0)),"ไม่พบสินค้า"))</f>
        <v/>
      </c>
      <c r="E873" s="17">
        <f>IF($C873="","",IFERROR(INDEX(สินค้า!$C$5:$C$204,MATCH($C873,สินค้า!$B$5:$B$204,0)),"ไม่พบสินค้า"))</f>
        <v/>
      </c>
      <c r="F873" s="17">
        <f>IF($C873="","",IFERROR(INDEX(สินค้า!$D$5:$D$204,MATCH($C873,สินค้า!$B$5:$B$204,0)),"ไม่พบสินค้า"))</f>
        <v/>
      </c>
      <c r="G873" s="15" t="n"/>
      <c r="H873" s="15" t="n"/>
      <c r="I873" s="18">
        <f>IF(AND(ISNUMBER(G873),ISNUMBER(H873),G873&gt;0),H873/G873,"")</f>
        <v/>
      </c>
      <c r="J873" s="15" t="n"/>
      <c r="K873" s="15" t="n"/>
      <c r="L873" s="17">
        <f>IF(A873="","",TEXT(A873,"yyyy-mm"))</f>
        <v/>
      </c>
      <c r="M873" s="17">
        <f>IF(AND(A873&lt;&gt;"",J873="Pending"),TODAY()-A873,"")</f>
        <v/>
      </c>
    </row>
    <row r="874">
      <c r="A874" s="16" t="n"/>
      <c r="B874" s="15" t="n"/>
      <c r="C874" s="15" t="n"/>
      <c r="D874" s="17">
        <f>IF($C874="","",IFERROR(INDEX(สินค้า!$A$5:$A$204,MATCH($C874,สินค้า!$B$5:$B$204,0)),"ไม่พบสินค้า"))</f>
        <v/>
      </c>
      <c r="E874" s="17">
        <f>IF($C874="","",IFERROR(INDEX(สินค้า!$C$5:$C$204,MATCH($C874,สินค้า!$B$5:$B$204,0)),"ไม่พบสินค้า"))</f>
        <v/>
      </c>
      <c r="F874" s="17">
        <f>IF($C874="","",IFERROR(INDEX(สินค้า!$D$5:$D$204,MATCH($C874,สินค้า!$B$5:$B$204,0)),"ไม่พบสินค้า"))</f>
        <v/>
      </c>
      <c r="G874" s="15" t="n"/>
      <c r="H874" s="15" t="n"/>
      <c r="I874" s="18">
        <f>IF(AND(ISNUMBER(G874),ISNUMBER(H874),G874&gt;0),H874/G874,"")</f>
        <v/>
      </c>
      <c r="J874" s="15" t="n"/>
      <c r="K874" s="15" t="n"/>
      <c r="L874" s="17">
        <f>IF(A874="","",TEXT(A874,"yyyy-mm"))</f>
        <v/>
      </c>
      <c r="M874" s="17">
        <f>IF(AND(A874&lt;&gt;"",J874="Pending"),TODAY()-A874,"")</f>
        <v/>
      </c>
    </row>
    <row r="875">
      <c r="A875" s="16" t="n"/>
      <c r="B875" s="15" t="n"/>
      <c r="C875" s="15" t="n"/>
      <c r="D875" s="17">
        <f>IF($C875="","",IFERROR(INDEX(สินค้า!$A$5:$A$204,MATCH($C875,สินค้า!$B$5:$B$204,0)),"ไม่พบสินค้า"))</f>
        <v/>
      </c>
      <c r="E875" s="17">
        <f>IF($C875="","",IFERROR(INDEX(สินค้า!$C$5:$C$204,MATCH($C875,สินค้า!$B$5:$B$204,0)),"ไม่พบสินค้า"))</f>
        <v/>
      </c>
      <c r="F875" s="17">
        <f>IF($C875="","",IFERROR(INDEX(สินค้า!$D$5:$D$204,MATCH($C875,สินค้า!$B$5:$B$204,0)),"ไม่พบสินค้า"))</f>
        <v/>
      </c>
      <c r="G875" s="15" t="n"/>
      <c r="H875" s="15" t="n"/>
      <c r="I875" s="18">
        <f>IF(AND(ISNUMBER(G875),ISNUMBER(H875),G875&gt;0),H875/G875,"")</f>
        <v/>
      </c>
      <c r="J875" s="15" t="n"/>
      <c r="K875" s="15" t="n"/>
      <c r="L875" s="17">
        <f>IF(A875="","",TEXT(A875,"yyyy-mm"))</f>
        <v/>
      </c>
      <c r="M875" s="17">
        <f>IF(AND(A875&lt;&gt;"",J875="Pending"),TODAY()-A875,"")</f>
        <v/>
      </c>
    </row>
    <row r="876">
      <c r="A876" s="16" t="n"/>
      <c r="B876" s="15" t="n"/>
      <c r="C876" s="15" t="n"/>
      <c r="D876" s="17">
        <f>IF($C876="","",IFERROR(INDEX(สินค้า!$A$5:$A$204,MATCH($C876,สินค้า!$B$5:$B$204,0)),"ไม่พบสินค้า"))</f>
        <v/>
      </c>
      <c r="E876" s="17">
        <f>IF($C876="","",IFERROR(INDEX(สินค้า!$C$5:$C$204,MATCH($C876,สินค้า!$B$5:$B$204,0)),"ไม่พบสินค้า"))</f>
        <v/>
      </c>
      <c r="F876" s="17">
        <f>IF($C876="","",IFERROR(INDEX(สินค้า!$D$5:$D$204,MATCH($C876,สินค้า!$B$5:$B$204,0)),"ไม่พบสินค้า"))</f>
        <v/>
      </c>
      <c r="G876" s="15" t="n"/>
      <c r="H876" s="15" t="n"/>
      <c r="I876" s="18">
        <f>IF(AND(ISNUMBER(G876),ISNUMBER(H876),G876&gt;0),H876/G876,"")</f>
        <v/>
      </c>
      <c r="J876" s="15" t="n"/>
      <c r="K876" s="15" t="n"/>
      <c r="L876" s="17">
        <f>IF(A876="","",TEXT(A876,"yyyy-mm"))</f>
        <v/>
      </c>
      <c r="M876" s="17">
        <f>IF(AND(A876&lt;&gt;"",J876="Pending"),TODAY()-A876,"")</f>
        <v/>
      </c>
    </row>
    <row r="877">
      <c r="A877" s="16" t="n"/>
      <c r="B877" s="15" t="n"/>
      <c r="C877" s="15" t="n"/>
      <c r="D877" s="17">
        <f>IF($C877="","",IFERROR(INDEX(สินค้า!$A$5:$A$204,MATCH($C877,สินค้า!$B$5:$B$204,0)),"ไม่พบสินค้า"))</f>
        <v/>
      </c>
      <c r="E877" s="17">
        <f>IF($C877="","",IFERROR(INDEX(สินค้า!$C$5:$C$204,MATCH($C877,สินค้า!$B$5:$B$204,0)),"ไม่พบสินค้า"))</f>
        <v/>
      </c>
      <c r="F877" s="17">
        <f>IF($C877="","",IFERROR(INDEX(สินค้า!$D$5:$D$204,MATCH($C877,สินค้า!$B$5:$B$204,0)),"ไม่พบสินค้า"))</f>
        <v/>
      </c>
      <c r="G877" s="15" t="n"/>
      <c r="H877" s="15" t="n"/>
      <c r="I877" s="18">
        <f>IF(AND(ISNUMBER(G877),ISNUMBER(H877),G877&gt;0),H877/G877,"")</f>
        <v/>
      </c>
      <c r="J877" s="15" t="n"/>
      <c r="K877" s="15" t="n"/>
      <c r="L877" s="17">
        <f>IF(A877="","",TEXT(A877,"yyyy-mm"))</f>
        <v/>
      </c>
      <c r="M877" s="17">
        <f>IF(AND(A877&lt;&gt;"",J877="Pending"),TODAY()-A877,"")</f>
        <v/>
      </c>
    </row>
    <row r="878">
      <c r="A878" s="16" t="n"/>
      <c r="B878" s="15" t="n"/>
      <c r="C878" s="15" t="n"/>
      <c r="D878" s="17">
        <f>IF($C878="","",IFERROR(INDEX(สินค้า!$A$5:$A$204,MATCH($C878,สินค้า!$B$5:$B$204,0)),"ไม่พบสินค้า"))</f>
        <v/>
      </c>
      <c r="E878" s="17">
        <f>IF($C878="","",IFERROR(INDEX(สินค้า!$C$5:$C$204,MATCH($C878,สินค้า!$B$5:$B$204,0)),"ไม่พบสินค้า"))</f>
        <v/>
      </c>
      <c r="F878" s="17">
        <f>IF($C878="","",IFERROR(INDEX(สินค้า!$D$5:$D$204,MATCH($C878,สินค้า!$B$5:$B$204,0)),"ไม่พบสินค้า"))</f>
        <v/>
      </c>
      <c r="G878" s="15" t="n"/>
      <c r="H878" s="15" t="n"/>
      <c r="I878" s="18">
        <f>IF(AND(ISNUMBER(G878),ISNUMBER(H878),G878&gt;0),H878/G878,"")</f>
        <v/>
      </c>
      <c r="J878" s="15" t="n"/>
      <c r="K878" s="15" t="n"/>
      <c r="L878" s="17">
        <f>IF(A878="","",TEXT(A878,"yyyy-mm"))</f>
        <v/>
      </c>
      <c r="M878" s="17">
        <f>IF(AND(A878&lt;&gt;"",J878="Pending"),TODAY()-A878,"")</f>
        <v/>
      </c>
    </row>
    <row r="879">
      <c r="A879" s="16" t="n"/>
      <c r="B879" s="15" t="n"/>
      <c r="C879" s="15" t="n"/>
      <c r="D879" s="17">
        <f>IF($C879="","",IFERROR(INDEX(สินค้า!$A$5:$A$204,MATCH($C879,สินค้า!$B$5:$B$204,0)),"ไม่พบสินค้า"))</f>
        <v/>
      </c>
      <c r="E879" s="17">
        <f>IF($C879="","",IFERROR(INDEX(สินค้า!$C$5:$C$204,MATCH($C879,สินค้า!$B$5:$B$204,0)),"ไม่พบสินค้า"))</f>
        <v/>
      </c>
      <c r="F879" s="17">
        <f>IF($C879="","",IFERROR(INDEX(สินค้า!$D$5:$D$204,MATCH($C879,สินค้า!$B$5:$B$204,0)),"ไม่พบสินค้า"))</f>
        <v/>
      </c>
      <c r="G879" s="15" t="n"/>
      <c r="H879" s="15" t="n"/>
      <c r="I879" s="18">
        <f>IF(AND(ISNUMBER(G879),ISNUMBER(H879),G879&gt;0),H879/G879,"")</f>
        <v/>
      </c>
      <c r="J879" s="15" t="n"/>
      <c r="K879" s="15" t="n"/>
      <c r="L879" s="17">
        <f>IF(A879="","",TEXT(A879,"yyyy-mm"))</f>
        <v/>
      </c>
      <c r="M879" s="17">
        <f>IF(AND(A879&lt;&gt;"",J879="Pending"),TODAY()-A879,"")</f>
        <v/>
      </c>
    </row>
    <row r="880">
      <c r="A880" s="16" t="n"/>
      <c r="B880" s="15" t="n"/>
      <c r="C880" s="15" t="n"/>
      <c r="D880" s="17">
        <f>IF($C880="","",IFERROR(INDEX(สินค้า!$A$5:$A$204,MATCH($C880,สินค้า!$B$5:$B$204,0)),"ไม่พบสินค้า"))</f>
        <v/>
      </c>
      <c r="E880" s="17">
        <f>IF($C880="","",IFERROR(INDEX(สินค้า!$C$5:$C$204,MATCH($C880,สินค้า!$B$5:$B$204,0)),"ไม่พบสินค้า"))</f>
        <v/>
      </c>
      <c r="F880" s="17">
        <f>IF($C880="","",IFERROR(INDEX(สินค้า!$D$5:$D$204,MATCH($C880,สินค้า!$B$5:$B$204,0)),"ไม่พบสินค้า"))</f>
        <v/>
      </c>
      <c r="G880" s="15" t="n"/>
      <c r="H880" s="15" t="n"/>
      <c r="I880" s="18">
        <f>IF(AND(ISNUMBER(G880),ISNUMBER(H880),G880&gt;0),H880/G880,"")</f>
        <v/>
      </c>
      <c r="J880" s="15" t="n"/>
      <c r="K880" s="15" t="n"/>
      <c r="L880" s="17">
        <f>IF(A880="","",TEXT(A880,"yyyy-mm"))</f>
        <v/>
      </c>
      <c r="M880" s="17">
        <f>IF(AND(A880&lt;&gt;"",J880="Pending"),TODAY()-A880,"")</f>
        <v/>
      </c>
    </row>
    <row r="881">
      <c r="A881" s="16" t="n"/>
      <c r="B881" s="15" t="n"/>
      <c r="C881" s="15" t="n"/>
      <c r="D881" s="17">
        <f>IF($C881="","",IFERROR(INDEX(สินค้า!$A$5:$A$204,MATCH($C881,สินค้า!$B$5:$B$204,0)),"ไม่พบสินค้า"))</f>
        <v/>
      </c>
      <c r="E881" s="17">
        <f>IF($C881="","",IFERROR(INDEX(สินค้า!$C$5:$C$204,MATCH($C881,สินค้า!$B$5:$B$204,0)),"ไม่พบสินค้า"))</f>
        <v/>
      </c>
      <c r="F881" s="17">
        <f>IF($C881="","",IFERROR(INDEX(สินค้า!$D$5:$D$204,MATCH($C881,สินค้า!$B$5:$B$204,0)),"ไม่พบสินค้า"))</f>
        <v/>
      </c>
      <c r="G881" s="15" t="n"/>
      <c r="H881" s="15" t="n"/>
      <c r="I881" s="18">
        <f>IF(AND(ISNUMBER(G881),ISNUMBER(H881),G881&gt;0),H881/G881,"")</f>
        <v/>
      </c>
      <c r="J881" s="15" t="n"/>
      <c r="K881" s="15" t="n"/>
      <c r="L881" s="17">
        <f>IF(A881="","",TEXT(A881,"yyyy-mm"))</f>
        <v/>
      </c>
      <c r="M881" s="17">
        <f>IF(AND(A881&lt;&gt;"",J881="Pending"),TODAY()-A881,"")</f>
        <v/>
      </c>
    </row>
    <row r="882">
      <c r="A882" s="16" t="n"/>
      <c r="B882" s="15" t="n"/>
      <c r="C882" s="15" t="n"/>
      <c r="D882" s="17">
        <f>IF($C882="","",IFERROR(INDEX(สินค้า!$A$5:$A$204,MATCH($C882,สินค้า!$B$5:$B$204,0)),"ไม่พบสินค้า"))</f>
        <v/>
      </c>
      <c r="E882" s="17">
        <f>IF($C882="","",IFERROR(INDEX(สินค้า!$C$5:$C$204,MATCH($C882,สินค้า!$B$5:$B$204,0)),"ไม่พบสินค้า"))</f>
        <v/>
      </c>
      <c r="F882" s="17">
        <f>IF($C882="","",IFERROR(INDEX(สินค้า!$D$5:$D$204,MATCH($C882,สินค้า!$B$5:$B$204,0)),"ไม่พบสินค้า"))</f>
        <v/>
      </c>
      <c r="G882" s="15" t="n"/>
      <c r="H882" s="15" t="n"/>
      <c r="I882" s="18">
        <f>IF(AND(ISNUMBER(G882),ISNUMBER(H882),G882&gt;0),H882/G882,"")</f>
        <v/>
      </c>
      <c r="J882" s="15" t="n"/>
      <c r="K882" s="15" t="n"/>
      <c r="L882" s="17">
        <f>IF(A882="","",TEXT(A882,"yyyy-mm"))</f>
        <v/>
      </c>
      <c r="M882" s="17">
        <f>IF(AND(A882&lt;&gt;"",J882="Pending"),TODAY()-A882,"")</f>
        <v/>
      </c>
    </row>
    <row r="883">
      <c r="A883" s="16" t="n"/>
      <c r="B883" s="15" t="n"/>
      <c r="C883" s="15" t="n"/>
      <c r="D883" s="17">
        <f>IF($C883="","",IFERROR(INDEX(สินค้า!$A$5:$A$204,MATCH($C883,สินค้า!$B$5:$B$204,0)),"ไม่พบสินค้า"))</f>
        <v/>
      </c>
      <c r="E883" s="17">
        <f>IF($C883="","",IFERROR(INDEX(สินค้า!$C$5:$C$204,MATCH($C883,สินค้า!$B$5:$B$204,0)),"ไม่พบสินค้า"))</f>
        <v/>
      </c>
      <c r="F883" s="17">
        <f>IF($C883="","",IFERROR(INDEX(สินค้า!$D$5:$D$204,MATCH($C883,สินค้า!$B$5:$B$204,0)),"ไม่พบสินค้า"))</f>
        <v/>
      </c>
      <c r="G883" s="15" t="n"/>
      <c r="H883" s="15" t="n"/>
      <c r="I883" s="18">
        <f>IF(AND(ISNUMBER(G883),ISNUMBER(H883),G883&gt;0),H883/G883,"")</f>
        <v/>
      </c>
      <c r="J883" s="15" t="n"/>
      <c r="K883" s="15" t="n"/>
      <c r="L883" s="17">
        <f>IF(A883="","",TEXT(A883,"yyyy-mm"))</f>
        <v/>
      </c>
      <c r="M883" s="17">
        <f>IF(AND(A883&lt;&gt;"",J883="Pending"),TODAY()-A883,"")</f>
        <v/>
      </c>
    </row>
    <row r="884">
      <c r="A884" s="16" t="n"/>
      <c r="B884" s="15" t="n"/>
      <c r="C884" s="15" t="n"/>
      <c r="D884" s="17">
        <f>IF($C884="","",IFERROR(INDEX(สินค้า!$A$5:$A$204,MATCH($C884,สินค้า!$B$5:$B$204,0)),"ไม่พบสินค้า"))</f>
        <v/>
      </c>
      <c r="E884" s="17">
        <f>IF($C884="","",IFERROR(INDEX(สินค้า!$C$5:$C$204,MATCH($C884,สินค้า!$B$5:$B$204,0)),"ไม่พบสินค้า"))</f>
        <v/>
      </c>
      <c r="F884" s="17">
        <f>IF($C884="","",IFERROR(INDEX(สินค้า!$D$5:$D$204,MATCH($C884,สินค้า!$B$5:$B$204,0)),"ไม่พบสินค้า"))</f>
        <v/>
      </c>
      <c r="G884" s="15" t="n"/>
      <c r="H884" s="15" t="n"/>
      <c r="I884" s="18">
        <f>IF(AND(ISNUMBER(G884),ISNUMBER(H884),G884&gt;0),H884/G884,"")</f>
        <v/>
      </c>
      <c r="J884" s="15" t="n"/>
      <c r="K884" s="15" t="n"/>
      <c r="L884" s="17">
        <f>IF(A884="","",TEXT(A884,"yyyy-mm"))</f>
        <v/>
      </c>
      <c r="M884" s="17">
        <f>IF(AND(A884&lt;&gt;"",J884="Pending"),TODAY()-A884,"")</f>
        <v/>
      </c>
    </row>
    <row r="885">
      <c r="A885" s="16" t="n"/>
      <c r="B885" s="15" t="n"/>
      <c r="C885" s="15" t="n"/>
      <c r="D885" s="17">
        <f>IF($C885="","",IFERROR(INDEX(สินค้า!$A$5:$A$204,MATCH($C885,สินค้า!$B$5:$B$204,0)),"ไม่พบสินค้า"))</f>
        <v/>
      </c>
      <c r="E885" s="17">
        <f>IF($C885="","",IFERROR(INDEX(สินค้า!$C$5:$C$204,MATCH($C885,สินค้า!$B$5:$B$204,0)),"ไม่พบสินค้า"))</f>
        <v/>
      </c>
      <c r="F885" s="17">
        <f>IF($C885="","",IFERROR(INDEX(สินค้า!$D$5:$D$204,MATCH($C885,สินค้า!$B$5:$B$204,0)),"ไม่พบสินค้า"))</f>
        <v/>
      </c>
      <c r="G885" s="15" t="n"/>
      <c r="H885" s="15" t="n"/>
      <c r="I885" s="18">
        <f>IF(AND(ISNUMBER(G885),ISNUMBER(H885),G885&gt;0),H885/G885,"")</f>
        <v/>
      </c>
      <c r="J885" s="15" t="n"/>
      <c r="K885" s="15" t="n"/>
      <c r="L885" s="17">
        <f>IF(A885="","",TEXT(A885,"yyyy-mm"))</f>
        <v/>
      </c>
      <c r="M885" s="17">
        <f>IF(AND(A885&lt;&gt;"",J885="Pending"),TODAY()-A885,"")</f>
        <v/>
      </c>
    </row>
    <row r="886">
      <c r="A886" s="16" t="n"/>
      <c r="B886" s="15" t="n"/>
      <c r="C886" s="15" t="n"/>
      <c r="D886" s="17">
        <f>IF($C886="","",IFERROR(INDEX(สินค้า!$A$5:$A$204,MATCH($C886,สินค้า!$B$5:$B$204,0)),"ไม่พบสินค้า"))</f>
        <v/>
      </c>
      <c r="E886" s="17">
        <f>IF($C886="","",IFERROR(INDEX(สินค้า!$C$5:$C$204,MATCH($C886,สินค้า!$B$5:$B$204,0)),"ไม่พบสินค้า"))</f>
        <v/>
      </c>
      <c r="F886" s="17">
        <f>IF($C886="","",IFERROR(INDEX(สินค้า!$D$5:$D$204,MATCH($C886,สินค้า!$B$5:$B$204,0)),"ไม่พบสินค้า"))</f>
        <v/>
      </c>
      <c r="G886" s="15" t="n"/>
      <c r="H886" s="15" t="n"/>
      <c r="I886" s="18">
        <f>IF(AND(ISNUMBER(G886),ISNUMBER(H886),G886&gt;0),H886/G886,"")</f>
        <v/>
      </c>
      <c r="J886" s="15" t="n"/>
      <c r="K886" s="15" t="n"/>
      <c r="L886" s="17">
        <f>IF(A886="","",TEXT(A886,"yyyy-mm"))</f>
        <v/>
      </c>
      <c r="M886" s="17">
        <f>IF(AND(A886&lt;&gt;"",J886="Pending"),TODAY()-A886,"")</f>
        <v/>
      </c>
    </row>
    <row r="887">
      <c r="A887" s="16" t="n"/>
      <c r="B887" s="15" t="n"/>
      <c r="C887" s="15" t="n"/>
      <c r="D887" s="17">
        <f>IF($C887="","",IFERROR(INDEX(สินค้า!$A$5:$A$204,MATCH($C887,สินค้า!$B$5:$B$204,0)),"ไม่พบสินค้า"))</f>
        <v/>
      </c>
      <c r="E887" s="17">
        <f>IF($C887="","",IFERROR(INDEX(สินค้า!$C$5:$C$204,MATCH($C887,สินค้า!$B$5:$B$204,0)),"ไม่พบสินค้า"))</f>
        <v/>
      </c>
      <c r="F887" s="17">
        <f>IF($C887="","",IFERROR(INDEX(สินค้า!$D$5:$D$204,MATCH($C887,สินค้า!$B$5:$B$204,0)),"ไม่พบสินค้า"))</f>
        <v/>
      </c>
      <c r="G887" s="15" t="n"/>
      <c r="H887" s="15" t="n"/>
      <c r="I887" s="18">
        <f>IF(AND(ISNUMBER(G887),ISNUMBER(H887),G887&gt;0),H887/G887,"")</f>
        <v/>
      </c>
      <c r="J887" s="15" t="n"/>
      <c r="K887" s="15" t="n"/>
      <c r="L887" s="17">
        <f>IF(A887="","",TEXT(A887,"yyyy-mm"))</f>
        <v/>
      </c>
      <c r="M887" s="17">
        <f>IF(AND(A887&lt;&gt;"",J887="Pending"),TODAY()-A887,"")</f>
        <v/>
      </c>
    </row>
    <row r="888">
      <c r="A888" s="16" t="n"/>
      <c r="B888" s="15" t="n"/>
      <c r="C888" s="15" t="n"/>
      <c r="D888" s="17">
        <f>IF($C888="","",IFERROR(INDEX(สินค้า!$A$5:$A$204,MATCH($C888,สินค้า!$B$5:$B$204,0)),"ไม่พบสินค้า"))</f>
        <v/>
      </c>
      <c r="E888" s="17">
        <f>IF($C888="","",IFERROR(INDEX(สินค้า!$C$5:$C$204,MATCH($C888,สินค้า!$B$5:$B$204,0)),"ไม่พบสินค้า"))</f>
        <v/>
      </c>
      <c r="F888" s="17">
        <f>IF($C888="","",IFERROR(INDEX(สินค้า!$D$5:$D$204,MATCH($C888,สินค้า!$B$5:$B$204,0)),"ไม่พบสินค้า"))</f>
        <v/>
      </c>
      <c r="G888" s="15" t="n"/>
      <c r="H888" s="15" t="n"/>
      <c r="I888" s="18">
        <f>IF(AND(ISNUMBER(G888),ISNUMBER(H888),G888&gt;0),H888/G888,"")</f>
        <v/>
      </c>
      <c r="J888" s="15" t="n"/>
      <c r="K888" s="15" t="n"/>
      <c r="L888" s="17">
        <f>IF(A888="","",TEXT(A888,"yyyy-mm"))</f>
        <v/>
      </c>
      <c r="M888" s="17">
        <f>IF(AND(A888&lt;&gt;"",J888="Pending"),TODAY()-A888,"")</f>
        <v/>
      </c>
    </row>
    <row r="889">
      <c r="A889" s="16" t="n"/>
      <c r="B889" s="15" t="n"/>
      <c r="C889" s="15" t="n"/>
      <c r="D889" s="17">
        <f>IF($C889="","",IFERROR(INDEX(สินค้า!$A$5:$A$204,MATCH($C889,สินค้า!$B$5:$B$204,0)),"ไม่พบสินค้า"))</f>
        <v/>
      </c>
      <c r="E889" s="17">
        <f>IF($C889="","",IFERROR(INDEX(สินค้า!$C$5:$C$204,MATCH($C889,สินค้า!$B$5:$B$204,0)),"ไม่พบสินค้า"))</f>
        <v/>
      </c>
      <c r="F889" s="17">
        <f>IF($C889="","",IFERROR(INDEX(สินค้า!$D$5:$D$204,MATCH($C889,สินค้า!$B$5:$B$204,0)),"ไม่พบสินค้า"))</f>
        <v/>
      </c>
      <c r="G889" s="15" t="n"/>
      <c r="H889" s="15" t="n"/>
      <c r="I889" s="18">
        <f>IF(AND(ISNUMBER(G889),ISNUMBER(H889),G889&gt;0),H889/G889,"")</f>
        <v/>
      </c>
      <c r="J889" s="15" t="n"/>
      <c r="K889" s="15" t="n"/>
      <c r="L889" s="17">
        <f>IF(A889="","",TEXT(A889,"yyyy-mm"))</f>
        <v/>
      </c>
      <c r="M889" s="17">
        <f>IF(AND(A889&lt;&gt;"",J889="Pending"),TODAY()-A889,"")</f>
        <v/>
      </c>
    </row>
    <row r="890">
      <c r="A890" s="16" t="n"/>
      <c r="B890" s="15" t="n"/>
      <c r="C890" s="15" t="n"/>
      <c r="D890" s="17">
        <f>IF($C890="","",IFERROR(INDEX(สินค้า!$A$5:$A$204,MATCH($C890,สินค้า!$B$5:$B$204,0)),"ไม่พบสินค้า"))</f>
        <v/>
      </c>
      <c r="E890" s="17">
        <f>IF($C890="","",IFERROR(INDEX(สินค้า!$C$5:$C$204,MATCH($C890,สินค้า!$B$5:$B$204,0)),"ไม่พบสินค้า"))</f>
        <v/>
      </c>
      <c r="F890" s="17">
        <f>IF($C890="","",IFERROR(INDEX(สินค้า!$D$5:$D$204,MATCH($C890,สินค้า!$B$5:$B$204,0)),"ไม่พบสินค้า"))</f>
        <v/>
      </c>
      <c r="G890" s="15" t="n"/>
      <c r="H890" s="15" t="n"/>
      <c r="I890" s="18">
        <f>IF(AND(ISNUMBER(G890),ISNUMBER(H890),G890&gt;0),H890/G890,"")</f>
        <v/>
      </c>
      <c r="J890" s="15" t="n"/>
      <c r="K890" s="15" t="n"/>
      <c r="L890" s="17">
        <f>IF(A890="","",TEXT(A890,"yyyy-mm"))</f>
        <v/>
      </c>
      <c r="M890" s="17">
        <f>IF(AND(A890&lt;&gt;"",J890="Pending"),TODAY()-A890,"")</f>
        <v/>
      </c>
    </row>
    <row r="891">
      <c r="A891" s="16" t="n"/>
      <c r="B891" s="15" t="n"/>
      <c r="C891" s="15" t="n"/>
      <c r="D891" s="17">
        <f>IF($C891="","",IFERROR(INDEX(สินค้า!$A$5:$A$204,MATCH($C891,สินค้า!$B$5:$B$204,0)),"ไม่พบสินค้า"))</f>
        <v/>
      </c>
      <c r="E891" s="17">
        <f>IF($C891="","",IFERROR(INDEX(สินค้า!$C$5:$C$204,MATCH($C891,สินค้า!$B$5:$B$204,0)),"ไม่พบสินค้า"))</f>
        <v/>
      </c>
      <c r="F891" s="17">
        <f>IF($C891="","",IFERROR(INDEX(สินค้า!$D$5:$D$204,MATCH($C891,สินค้า!$B$5:$B$204,0)),"ไม่พบสินค้า"))</f>
        <v/>
      </c>
      <c r="G891" s="15" t="n"/>
      <c r="H891" s="15" t="n"/>
      <c r="I891" s="18">
        <f>IF(AND(ISNUMBER(G891),ISNUMBER(H891),G891&gt;0),H891/G891,"")</f>
        <v/>
      </c>
      <c r="J891" s="15" t="n"/>
      <c r="K891" s="15" t="n"/>
      <c r="L891" s="17">
        <f>IF(A891="","",TEXT(A891,"yyyy-mm"))</f>
        <v/>
      </c>
      <c r="M891" s="17">
        <f>IF(AND(A891&lt;&gt;"",J891="Pending"),TODAY()-A891,"")</f>
        <v/>
      </c>
    </row>
    <row r="892">
      <c r="A892" s="16" t="n"/>
      <c r="B892" s="15" t="n"/>
      <c r="C892" s="15" t="n"/>
      <c r="D892" s="17">
        <f>IF($C892="","",IFERROR(INDEX(สินค้า!$A$5:$A$204,MATCH($C892,สินค้า!$B$5:$B$204,0)),"ไม่พบสินค้า"))</f>
        <v/>
      </c>
      <c r="E892" s="17">
        <f>IF($C892="","",IFERROR(INDEX(สินค้า!$C$5:$C$204,MATCH($C892,สินค้า!$B$5:$B$204,0)),"ไม่พบสินค้า"))</f>
        <v/>
      </c>
      <c r="F892" s="17">
        <f>IF($C892="","",IFERROR(INDEX(สินค้า!$D$5:$D$204,MATCH($C892,สินค้า!$B$5:$B$204,0)),"ไม่พบสินค้า"))</f>
        <v/>
      </c>
      <c r="G892" s="15" t="n"/>
      <c r="H892" s="15" t="n"/>
      <c r="I892" s="18">
        <f>IF(AND(ISNUMBER(G892),ISNUMBER(H892),G892&gt;0),H892/G892,"")</f>
        <v/>
      </c>
      <c r="J892" s="15" t="n"/>
      <c r="K892" s="15" t="n"/>
      <c r="L892" s="17">
        <f>IF(A892="","",TEXT(A892,"yyyy-mm"))</f>
        <v/>
      </c>
      <c r="M892" s="17">
        <f>IF(AND(A892&lt;&gt;"",J892="Pending"),TODAY()-A892,"")</f>
        <v/>
      </c>
    </row>
    <row r="893">
      <c r="A893" s="16" t="n"/>
      <c r="B893" s="15" t="n"/>
      <c r="C893" s="15" t="n"/>
      <c r="D893" s="17">
        <f>IF($C893="","",IFERROR(INDEX(สินค้า!$A$5:$A$204,MATCH($C893,สินค้า!$B$5:$B$204,0)),"ไม่พบสินค้า"))</f>
        <v/>
      </c>
      <c r="E893" s="17">
        <f>IF($C893="","",IFERROR(INDEX(สินค้า!$C$5:$C$204,MATCH($C893,สินค้า!$B$5:$B$204,0)),"ไม่พบสินค้า"))</f>
        <v/>
      </c>
      <c r="F893" s="17">
        <f>IF($C893="","",IFERROR(INDEX(สินค้า!$D$5:$D$204,MATCH($C893,สินค้า!$B$5:$B$204,0)),"ไม่พบสินค้า"))</f>
        <v/>
      </c>
      <c r="G893" s="15" t="n"/>
      <c r="H893" s="15" t="n"/>
      <c r="I893" s="18">
        <f>IF(AND(ISNUMBER(G893),ISNUMBER(H893),G893&gt;0),H893/G893,"")</f>
        <v/>
      </c>
      <c r="J893" s="15" t="n"/>
      <c r="K893" s="15" t="n"/>
      <c r="L893" s="17">
        <f>IF(A893="","",TEXT(A893,"yyyy-mm"))</f>
        <v/>
      </c>
      <c r="M893" s="17">
        <f>IF(AND(A893&lt;&gt;"",J893="Pending"),TODAY()-A893,"")</f>
        <v/>
      </c>
    </row>
    <row r="894">
      <c r="A894" s="16" t="n"/>
      <c r="B894" s="15" t="n"/>
      <c r="C894" s="15" t="n"/>
      <c r="D894" s="17">
        <f>IF($C894="","",IFERROR(INDEX(สินค้า!$A$5:$A$204,MATCH($C894,สินค้า!$B$5:$B$204,0)),"ไม่พบสินค้า"))</f>
        <v/>
      </c>
      <c r="E894" s="17">
        <f>IF($C894="","",IFERROR(INDEX(สินค้า!$C$5:$C$204,MATCH($C894,สินค้า!$B$5:$B$204,0)),"ไม่พบสินค้า"))</f>
        <v/>
      </c>
      <c r="F894" s="17">
        <f>IF($C894="","",IFERROR(INDEX(สินค้า!$D$5:$D$204,MATCH($C894,สินค้า!$B$5:$B$204,0)),"ไม่พบสินค้า"))</f>
        <v/>
      </c>
      <c r="G894" s="15" t="n"/>
      <c r="H894" s="15" t="n"/>
      <c r="I894" s="18">
        <f>IF(AND(ISNUMBER(G894),ISNUMBER(H894),G894&gt;0),H894/G894,"")</f>
        <v/>
      </c>
      <c r="J894" s="15" t="n"/>
      <c r="K894" s="15" t="n"/>
      <c r="L894" s="17">
        <f>IF(A894="","",TEXT(A894,"yyyy-mm"))</f>
        <v/>
      </c>
      <c r="M894" s="17">
        <f>IF(AND(A894&lt;&gt;"",J894="Pending"),TODAY()-A894,"")</f>
        <v/>
      </c>
    </row>
    <row r="895">
      <c r="A895" s="16" t="n"/>
      <c r="B895" s="15" t="n"/>
      <c r="C895" s="15" t="n"/>
      <c r="D895" s="17">
        <f>IF($C895="","",IFERROR(INDEX(สินค้า!$A$5:$A$204,MATCH($C895,สินค้า!$B$5:$B$204,0)),"ไม่พบสินค้า"))</f>
        <v/>
      </c>
      <c r="E895" s="17">
        <f>IF($C895="","",IFERROR(INDEX(สินค้า!$C$5:$C$204,MATCH($C895,สินค้า!$B$5:$B$204,0)),"ไม่พบสินค้า"))</f>
        <v/>
      </c>
      <c r="F895" s="17">
        <f>IF($C895="","",IFERROR(INDEX(สินค้า!$D$5:$D$204,MATCH($C895,สินค้า!$B$5:$B$204,0)),"ไม่พบสินค้า"))</f>
        <v/>
      </c>
      <c r="G895" s="15" t="n"/>
      <c r="H895" s="15" t="n"/>
      <c r="I895" s="18">
        <f>IF(AND(ISNUMBER(G895),ISNUMBER(H895),G895&gt;0),H895/G895,"")</f>
        <v/>
      </c>
      <c r="J895" s="15" t="n"/>
      <c r="K895" s="15" t="n"/>
      <c r="L895" s="17">
        <f>IF(A895="","",TEXT(A895,"yyyy-mm"))</f>
        <v/>
      </c>
      <c r="M895" s="17">
        <f>IF(AND(A895&lt;&gt;"",J895="Pending"),TODAY()-A895,"")</f>
        <v/>
      </c>
    </row>
    <row r="896">
      <c r="A896" s="16" t="n"/>
      <c r="B896" s="15" t="n"/>
      <c r="C896" s="15" t="n"/>
      <c r="D896" s="17">
        <f>IF($C896="","",IFERROR(INDEX(สินค้า!$A$5:$A$204,MATCH($C896,สินค้า!$B$5:$B$204,0)),"ไม่พบสินค้า"))</f>
        <v/>
      </c>
      <c r="E896" s="17">
        <f>IF($C896="","",IFERROR(INDEX(สินค้า!$C$5:$C$204,MATCH($C896,สินค้า!$B$5:$B$204,0)),"ไม่พบสินค้า"))</f>
        <v/>
      </c>
      <c r="F896" s="17">
        <f>IF($C896="","",IFERROR(INDEX(สินค้า!$D$5:$D$204,MATCH($C896,สินค้า!$B$5:$B$204,0)),"ไม่พบสินค้า"))</f>
        <v/>
      </c>
      <c r="G896" s="15" t="n"/>
      <c r="H896" s="15" t="n"/>
      <c r="I896" s="18">
        <f>IF(AND(ISNUMBER(G896),ISNUMBER(H896),G896&gt;0),H896/G896,"")</f>
        <v/>
      </c>
      <c r="J896" s="15" t="n"/>
      <c r="K896" s="15" t="n"/>
      <c r="L896" s="17">
        <f>IF(A896="","",TEXT(A896,"yyyy-mm"))</f>
        <v/>
      </c>
      <c r="M896" s="17">
        <f>IF(AND(A896&lt;&gt;"",J896="Pending"),TODAY()-A896,"")</f>
        <v/>
      </c>
    </row>
    <row r="897">
      <c r="A897" s="16" t="n"/>
      <c r="B897" s="15" t="n"/>
      <c r="C897" s="15" t="n"/>
      <c r="D897" s="17">
        <f>IF($C897="","",IFERROR(INDEX(สินค้า!$A$5:$A$204,MATCH($C897,สินค้า!$B$5:$B$204,0)),"ไม่พบสินค้า"))</f>
        <v/>
      </c>
      <c r="E897" s="17">
        <f>IF($C897="","",IFERROR(INDEX(สินค้า!$C$5:$C$204,MATCH($C897,สินค้า!$B$5:$B$204,0)),"ไม่พบสินค้า"))</f>
        <v/>
      </c>
      <c r="F897" s="17">
        <f>IF($C897="","",IFERROR(INDEX(สินค้า!$D$5:$D$204,MATCH($C897,สินค้า!$B$5:$B$204,0)),"ไม่พบสินค้า"))</f>
        <v/>
      </c>
      <c r="G897" s="15" t="n"/>
      <c r="H897" s="15" t="n"/>
      <c r="I897" s="18">
        <f>IF(AND(ISNUMBER(G897),ISNUMBER(H897),G897&gt;0),H897/G897,"")</f>
        <v/>
      </c>
      <c r="J897" s="15" t="n"/>
      <c r="K897" s="15" t="n"/>
      <c r="L897" s="17">
        <f>IF(A897="","",TEXT(A897,"yyyy-mm"))</f>
        <v/>
      </c>
      <c r="M897" s="17">
        <f>IF(AND(A897&lt;&gt;"",J897="Pending"),TODAY()-A897,"")</f>
        <v/>
      </c>
    </row>
    <row r="898">
      <c r="A898" s="16" t="n"/>
      <c r="B898" s="15" t="n"/>
      <c r="C898" s="15" t="n"/>
      <c r="D898" s="17">
        <f>IF($C898="","",IFERROR(INDEX(สินค้า!$A$5:$A$204,MATCH($C898,สินค้า!$B$5:$B$204,0)),"ไม่พบสินค้า"))</f>
        <v/>
      </c>
      <c r="E898" s="17">
        <f>IF($C898="","",IFERROR(INDEX(สินค้า!$C$5:$C$204,MATCH($C898,สินค้า!$B$5:$B$204,0)),"ไม่พบสินค้า"))</f>
        <v/>
      </c>
      <c r="F898" s="17">
        <f>IF($C898="","",IFERROR(INDEX(สินค้า!$D$5:$D$204,MATCH($C898,สินค้า!$B$5:$B$204,0)),"ไม่พบสินค้า"))</f>
        <v/>
      </c>
      <c r="G898" s="15" t="n"/>
      <c r="H898" s="15" t="n"/>
      <c r="I898" s="18">
        <f>IF(AND(ISNUMBER(G898),ISNUMBER(H898),G898&gt;0),H898/G898,"")</f>
        <v/>
      </c>
      <c r="J898" s="15" t="n"/>
      <c r="K898" s="15" t="n"/>
      <c r="L898" s="17">
        <f>IF(A898="","",TEXT(A898,"yyyy-mm"))</f>
        <v/>
      </c>
      <c r="M898" s="17">
        <f>IF(AND(A898&lt;&gt;"",J898="Pending"),TODAY()-A898,"")</f>
        <v/>
      </c>
    </row>
    <row r="899">
      <c r="A899" s="16" t="n"/>
      <c r="B899" s="15" t="n"/>
      <c r="C899" s="15" t="n"/>
      <c r="D899" s="17">
        <f>IF($C899="","",IFERROR(INDEX(สินค้า!$A$5:$A$204,MATCH($C899,สินค้า!$B$5:$B$204,0)),"ไม่พบสินค้า"))</f>
        <v/>
      </c>
      <c r="E899" s="17">
        <f>IF($C899="","",IFERROR(INDEX(สินค้า!$C$5:$C$204,MATCH($C899,สินค้า!$B$5:$B$204,0)),"ไม่พบสินค้า"))</f>
        <v/>
      </c>
      <c r="F899" s="17">
        <f>IF($C899="","",IFERROR(INDEX(สินค้า!$D$5:$D$204,MATCH($C899,สินค้า!$B$5:$B$204,0)),"ไม่พบสินค้า"))</f>
        <v/>
      </c>
      <c r="G899" s="15" t="n"/>
      <c r="H899" s="15" t="n"/>
      <c r="I899" s="18">
        <f>IF(AND(ISNUMBER(G899),ISNUMBER(H899),G899&gt;0),H899/G899,"")</f>
        <v/>
      </c>
      <c r="J899" s="15" t="n"/>
      <c r="K899" s="15" t="n"/>
      <c r="L899" s="17">
        <f>IF(A899="","",TEXT(A899,"yyyy-mm"))</f>
        <v/>
      </c>
      <c r="M899" s="17">
        <f>IF(AND(A899&lt;&gt;"",J899="Pending"),TODAY()-A899,"")</f>
        <v/>
      </c>
    </row>
    <row r="900">
      <c r="A900" s="16" t="n"/>
      <c r="B900" s="15" t="n"/>
      <c r="C900" s="15" t="n"/>
      <c r="D900" s="17">
        <f>IF($C900="","",IFERROR(INDEX(สินค้า!$A$5:$A$204,MATCH($C900,สินค้า!$B$5:$B$204,0)),"ไม่พบสินค้า"))</f>
        <v/>
      </c>
      <c r="E900" s="17">
        <f>IF($C900="","",IFERROR(INDEX(สินค้า!$C$5:$C$204,MATCH($C900,สินค้า!$B$5:$B$204,0)),"ไม่พบสินค้า"))</f>
        <v/>
      </c>
      <c r="F900" s="17">
        <f>IF($C900="","",IFERROR(INDEX(สินค้า!$D$5:$D$204,MATCH($C900,สินค้า!$B$5:$B$204,0)),"ไม่พบสินค้า"))</f>
        <v/>
      </c>
      <c r="G900" s="15" t="n"/>
      <c r="H900" s="15" t="n"/>
      <c r="I900" s="18">
        <f>IF(AND(ISNUMBER(G900),ISNUMBER(H900),G900&gt;0),H900/G900,"")</f>
        <v/>
      </c>
      <c r="J900" s="15" t="n"/>
      <c r="K900" s="15" t="n"/>
      <c r="L900" s="17">
        <f>IF(A900="","",TEXT(A900,"yyyy-mm"))</f>
        <v/>
      </c>
      <c r="M900" s="17">
        <f>IF(AND(A900&lt;&gt;"",J900="Pending"),TODAY()-A900,"")</f>
        <v/>
      </c>
    </row>
    <row r="901">
      <c r="A901" s="16" t="n"/>
      <c r="B901" s="15" t="n"/>
      <c r="C901" s="15" t="n"/>
      <c r="D901" s="17">
        <f>IF($C901="","",IFERROR(INDEX(สินค้า!$A$5:$A$204,MATCH($C901,สินค้า!$B$5:$B$204,0)),"ไม่พบสินค้า"))</f>
        <v/>
      </c>
      <c r="E901" s="17">
        <f>IF($C901="","",IFERROR(INDEX(สินค้า!$C$5:$C$204,MATCH($C901,สินค้า!$B$5:$B$204,0)),"ไม่พบสินค้า"))</f>
        <v/>
      </c>
      <c r="F901" s="17">
        <f>IF($C901="","",IFERROR(INDEX(สินค้า!$D$5:$D$204,MATCH($C901,สินค้า!$B$5:$B$204,0)),"ไม่พบสินค้า"))</f>
        <v/>
      </c>
      <c r="G901" s="15" t="n"/>
      <c r="H901" s="15" t="n"/>
      <c r="I901" s="18">
        <f>IF(AND(ISNUMBER(G901),ISNUMBER(H901),G901&gt;0),H901/G901,"")</f>
        <v/>
      </c>
      <c r="J901" s="15" t="n"/>
      <c r="K901" s="15" t="n"/>
      <c r="L901" s="17">
        <f>IF(A901="","",TEXT(A901,"yyyy-mm"))</f>
        <v/>
      </c>
      <c r="M901" s="17">
        <f>IF(AND(A901&lt;&gt;"",J901="Pending"),TODAY()-A901,"")</f>
        <v/>
      </c>
    </row>
    <row r="902">
      <c r="A902" s="16" t="n"/>
      <c r="B902" s="15" t="n"/>
      <c r="C902" s="15" t="n"/>
      <c r="D902" s="17">
        <f>IF($C902="","",IFERROR(INDEX(สินค้า!$A$5:$A$204,MATCH($C902,สินค้า!$B$5:$B$204,0)),"ไม่พบสินค้า"))</f>
        <v/>
      </c>
      <c r="E902" s="17">
        <f>IF($C902="","",IFERROR(INDEX(สินค้า!$C$5:$C$204,MATCH($C902,สินค้า!$B$5:$B$204,0)),"ไม่พบสินค้า"))</f>
        <v/>
      </c>
      <c r="F902" s="17">
        <f>IF($C902="","",IFERROR(INDEX(สินค้า!$D$5:$D$204,MATCH($C902,สินค้า!$B$5:$B$204,0)),"ไม่พบสินค้า"))</f>
        <v/>
      </c>
      <c r="G902" s="15" t="n"/>
      <c r="H902" s="15" t="n"/>
      <c r="I902" s="18">
        <f>IF(AND(ISNUMBER(G902),ISNUMBER(H902),G902&gt;0),H902/G902,"")</f>
        <v/>
      </c>
      <c r="J902" s="15" t="n"/>
      <c r="K902" s="15" t="n"/>
      <c r="L902" s="17">
        <f>IF(A902="","",TEXT(A902,"yyyy-mm"))</f>
        <v/>
      </c>
      <c r="M902" s="17">
        <f>IF(AND(A902&lt;&gt;"",J902="Pending"),TODAY()-A902,"")</f>
        <v/>
      </c>
    </row>
    <row r="903">
      <c r="A903" s="16" t="n"/>
      <c r="B903" s="15" t="n"/>
      <c r="C903" s="15" t="n"/>
      <c r="D903" s="17">
        <f>IF($C903="","",IFERROR(INDEX(สินค้า!$A$5:$A$204,MATCH($C903,สินค้า!$B$5:$B$204,0)),"ไม่พบสินค้า"))</f>
        <v/>
      </c>
      <c r="E903" s="17">
        <f>IF($C903="","",IFERROR(INDEX(สินค้า!$C$5:$C$204,MATCH($C903,สินค้า!$B$5:$B$204,0)),"ไม่พบสินค้า"))</f>
        <v/>
      </c>
      <c r="F903" s="17">
        <f>IF($C903="","",IFERROR(INDEX(สินค้า!$D$5:$D$204,MATCH($C903,สินค้า!$B$5:$B$204,0)),"ไม่พบสินค้า"))</f>
        <v/>
      </c>
      <c r="G903" s="15" t="n"/>
      <c r="H903" s="15" t="n"/>
      <c r="I903" s="18">
        <f>IF(AND(ISNUMBER(G903),ISNUMBER(H903),G903&gt;0),H903/G903,"")</f>
        <v/>
      </c>
      <c r="J903" s="15" t="n"/>
      <c r="K903" s="15" t="n"/>
      <c r="L903" s="17">
        <f>IF(A903="","",TEXT(A903,"yyyy-mm"))</f>
        <v/>
      </c>
      <c r="M903" s="17">
        <f>IF(AND(A903&lt;&gt;"",J903="Pending"),TODAY()-A903,"")</f>
        <v/>
      </c>
    </row>
    <row r="904">
      <c r="A904" s="16" t="n"/>
      <c r="B904" s="15" t="n"/>
      <c r="C904" s="15" t="n"/>
      <c r="D904" s="17">
        <f>IF($C904="","",IFERROR(INDEX(สินค้า!$A$5:$A$204,MATCH($C904,สินค้า!$B$5:$B$204,0)),"ไม่พบสินค้า"))</f>
        <v/>
      </c>
      <c r="E904" s="17">
        <f>IF($C904="","",IFERROR(INDEX(สินค้า!$C$5:$C$204,MATCH($C904,สินค้า!$B$5:$B$204,0)),"ไม่พบสินค้า"))</f>
        <v/>
      </c>
      <c r="F904" s="17">
        <f>IF($C904="","",IFERROR(INDEX(สินค้า!$D$5:$D$204,MATCH($C904,สินค้า!$B$5:$B$204,0)),"ไม่พบสินค้า"))</f>
        <v/>
      </c>
      <c r="G904" s="15" t="n"/>
      <c r="H904" s="15" t="n"/>
      <c r="I904" s="18">
        <f>IF(AND(ISNUMBER(G904),ISNUMBER(H904),G904&gt;0),H904/G904,"")</f>
        <v/>
      </c>
      <c r="J904" s="15" t="n"/>
      <c r="K904" s="15" t="n"/>
      <c r="L904" s="17">
        <f>IF(A904="","",TEXT(A904,"yyyy-mm"))</f>
        <v/>
      </c>
      <c r="M904" s="17">
        <f>IF(AND(A904&lt;&gt;"",J904="Pending"),TODAY()-A904,"")</f>
        <v/>
      </c>
    </row>
    <row r="905">
      <c r="A905" s="16" t="n"/>
      <c r="B905" s="15" t="n"/>
      <c r="C905" s="15" t="n"/>
      <c r="D905" s="17">
        <f>IF($C905="","",IFERROR(INDEX(สินค้า!$A$5:$A$204,MATCH($C905,สินค้า!$B$5:$B$204,0)),"ไม่พบสินค้า"))</f>
        <v/>
      </c>
      <c r="E905" s="17">
        <f>IF($C905="","",IFERROR(INDEX(สินค้า!$C$5:$C$204,MATCH($C905,สินค้า!$B$5:$B$204,0)),"ไม่พบสินค้า"))</f>
        <v/>
      </c>
      <c r="F905" s="17">
        <f>IF($C905="","",IFERROR(INDEX(สินค้า!$D$5:$D$204,MATCH($C905,สินค้า!$B$5:$B$204,0)),"ไม่พบสินค้า"))</f>
        <v/>
      </c>
      <c r="G905" s="15" t="n"/>
      <c r="H905" s="15" t="n"/>
      <c r="I905" s="18">
        <f>IF(AND(ISNUMBER(G905),ISNUMBER(H905),G905&gt;0),H905/G905,"")</f>
        <v/>
      </c>
      <c r="J905" s="15" t="n"/>
      <c r="K905" s="15" t="n"/>
      <c r="L905" s="17">
        <f>IF(A905="","",TEXT(A905,"yyyy-mm"))</f>
        <v/>
      </c>
      <c r="M905" s="17">
        <f>IF(AND(A905&lt;&gt;"",J905="Pending"),TODAY()-A905,"")</f>
        <v/>
      </c>
    </row>
    <row r="906">
      <c r="A906" s="16" t="n"/>
      <c r="B906" s="15" t="n"/>
      <c r="C906" s="15" t="n"/>
      <c r="D906" s="17">
        <f>IF($C906="","",IFERROR(INDEX(สินค้า!$A$5:$A$204,MATCH($C906,สินค้า!$B$5:$B$204,0)),"ไม่พบสินค้า"))</f>
        <v/>
      </c>
      <c r="E906" s="17">
        <f>IF($C906="","",IFERROR(INDEX(สินค้า!$C$5:$C$204,MATCH($C906,สินค้า!$B$5:$B$204,0)),"ไม่พบสินค้า"))</f>
        <v/>
      </c>
      <c r="F906" s="17">
        <f>IF($C906="","",IFERROR(INDEX(สินค้า!$D$5:$D$204,MATCH($C906,สินค้า!$B$5:$B$204,0)),"ไม่พบสินค้า"))</f>
        <v/>
      </c>
      <c r="G906" s="15" t="n"/>
      <c r="H906" s="15" t="n"/>
      <c r="I906" s="18">
        <f>IF(AND(ISNUMBER(G906),ISNUMBER(H906),G906&gt;0),H906/G906,"")</f>
        <v/>
      </c>
      <c r="J906" s="15" t="n"/>
      <c r="K906" s="15" t="n"/>
      <c r="L906" s="17">
        <f>IF(A906="","",TEXT(A906,"yyyy-mm"))</f>
        <v/>
      </c>
      <c r="M906" s="17">
        <f>IF(AND(A906&lt;&gt;"",J906="Pending"),TODAY()-A906,"")</f>
        <v/>
      </c>
    </row>
    <row r="907">
      <c r="A907" s="16" t="n"/>
      <c r="B907" s="15" t="n"/>
      <c r="C907" s="15" t="n"/>
      <c r="D907" s="17">
        <f>IF($C907="","",IFERROR(INDEX(สินค้า!$A$5:$A$204,MATCH($C907,สินค้า!$B$5:$B$204,0)),"ไม่พบสินค้า"))</f>
        <v/>
      </c>
      <c r="E907" s="17">
        <f>IF($C907="","",IFERROR(INDEX(สินค้า!$C$5:$C$204,MATCH($C907,สินค้า!$B$5:$B$204,0)),"ไม่พบสินค้า"))</f>
        <v/>
      </c>
      <c r="F907" s="17">
        <f>IF($C907="","",IFERROR(INDEX(สินค้า!$D$5:$D$204,MATCH($C907,สินค้า!$B$5:$B$204,0)),"ไม่พบสินค้า"))</f>
        <v/>
      </c>
      <c r="G907" s="15" t="n"/>
      <c r="H907" s="15" t="n"/>
      <c r="I907" s="18">
        <f>IF(AND(ISNUMBER(G907),ISNUMBER(H907),G907&gt;0),H907/G907,"")</f>
        <v/>
      </c>
      <c r="J907" s="15" t="n"/>
      <c r="K907" s="15" t="n"/>
      <c r="L907" s="17">
        <f>IF(A907="","",TEXT(A907,"yyyy-mm"))</f>
        <v/>
      </c>
      <c r="M907" s="17">
        <f>IF(AND(A907&lt;&gt;"",J907="Pending"),TODAY()-A907,"")</f>
        <v/>
      </c>
    </row>
    <row r="908">
      <c r="A908" s="16" t="n"/>
      <c r="B908" s="15" t="n"/>
      <c r="C908" s="15" t="n"/>
      <c r="D908" s="17">
        <f>IF($C908="","",IFERROR(INDEX(สินค้า!$A$5:$A$204,MATCH($C908,สินค้า!$B$5:$B$204,0)),"ไม่พบสินค้า"))</f>
        <v/>
      </c>
      <c r="E908" s="17">
        <f>IF($C908="","",IFERROR(INDEX(สินค้า!$C$5:$C$204,MATCH($C908,สินค้า!$B$5:$B$204,0)),"ไม่พบสินค้า"))</f>
        <v/>
      </c>
      <c r="F908" s="17">
        <f>IF($C908="","",IFERROR(INDEX(สินค้า!$D$5:$D$204,MATCH($C908,สินค้า!$B$5:$B$204,0)),"ไม่พบสินค้า"))</f>
        <v/>
      </c>
      <c r="G908" s="15" t="n"/>
      <c r="H908" s="15" t="n"/>
      <c r="I908" s="18">
        <f>IF(AND(ISNUMBER(G908),ISNUMBER(H908),G908&gt;0),H908/G908,"")</f>
        <v/>
      </c>
      <c r="J908" s="15" t="n"/>
      <c r="K908" s="15" t="n"/>
      <c r="L908" s="17">
        <f>IF(A908="","",TEXT(A908,"yyyy-mm"))</f>
        <v/>
      </c>
      <c r="M908" s="17">
        <f>IF(AND(A908&lt;&gt;"",J908="Pending"),TODAY()-A908,"")</f>
        <v/>
      </c>
    </row>
    <row r="909">
      <c r="A909" s="16" t="n"/>
      <c r="B909" s="15" t="n"/>
      <c r="C909" s="15" t="n"/>
      <c r="D909" s="17">
        <f>IF($C909="","",IFERROR(INDEX(สินค้า!$A$5:$A$204,MATCH($C909,สินค้า!$B$5:$B$204,0)),"ไม่พบสินค้า"))</f>
        <v/>
      </c>
      <c r="E909" s="17">
        <f>IF($C909="","",IFERROR(INDEX(สินค้า!$C$5:$C$204,MATCH($C909,สินค้า!$B$5:$B$204,0)),"ไม่พบสินค้า"))</f>
        <v/>
      </c>
      <c r="F909" s="17">
        <f>IF($C909="","",IFERROR(INDEX(สินค้า!$D$5:$D$204,MATCH($C909,สินค้า!$B$5:$B$204,0)),"ไม่พบสินค้า"))</f>
        <v/>
      </c>
      <c r="G909" s="15" t="n"/>
      <c r="H909" s="15" t="n"/>
      <c r="I909" s="18">
        <f>IF(AND(ISNUMBER(G909),ISNUMBER(H909),G909&gt;0),H909/G909,"")</f>
        <v/>
      </c>
      <c r="J909" s="15" t="n"/>
      <c r="K909" s="15" t="n"/>
      <c r="L909" s="17">
        <f>IF(A909="","",TEXT(A909,"yyyy-mm"))</f>
        <v/>
      </c>
      <c r="M909" s="17">
        <f>IF(AND(A909&lt;&gt;"",J909="Pending"),TODAY()-A909,"")</f>
        <v/>
      </c>
    </row>
    <row r="910">
      <c r="A910" s="16" t="n"/>
      <c r="B910" s="15" t="n"/>
      <c r="C910" s="15" t="n"/>
      <c r="D910" s="17">
        <f>IF($C910="","",IFERROR(INDEX(สินค้า!$A$5:$A$204,MATCH($C910,สินค้า!$B$5:$B$204,0)),"ไม่พบสินค้า"))</f>
        <v/>
      </c>
      <c r="E910" s="17">
        <f>IF($C910="","",IFERROR(INDEX(สินค้า!$C$5:$C$204,MATCH($C910,สินค้า!$B$5:$B$204,0)),"ไม่พบสินค้า"))</f>
        <v/>
      </c>
      <c r="F910" s="17">
        <f>IF($C910="","",IFERROR(INDEX(สินค้า!$D$5:$D$204,MATCH($C910,สินค้า!$B$5:$B$204,0)),"ไม่พบสินค้า"))</f>
        <v/>
      </c>
      <c r="G910" s="15" t="n"/>
      <c r="H910" s="15" t="n"/>
      <c r="I910" s="18">
        <f>IF(AND(ISNUMBER(G910),ISNUMBER(H910),G910&gt;0),H910/G910,"")</f>
        <v/>
      </c>
      <c r="J910" s="15" t="n"/>
      <c r="K910" s="15" t="n"/>
      <c r="L910" s="17">
        <f>IF(A910="","",TEXT(A910,"yyyy-mm"))</f>
        <v/>
      </c>
      <c r="M910" s="17">
        <f>IF(AND(A910&lt;&gt;"",J910="Pending"),TODAY()-A910,"")</f>
        <v/>
      </c>
    </row>
    <row r="911">
      <c r="A911" s="16" t="n"/>
      <c r="B911" s="15" t="n"/>
      <c r="C911" s="15" t="n"/>
      <c r="D911" s="17">
        <f>IF($C911="","",IFERROR(INDEX(สินค้า!$A$5:$A$204,MATCH($C911,สินค้า!$B$5:$B$204,0)),"ไม่พบสินค้า"))</f>
        <v/>
      </c>
      <c r="E911" s="17">
        <f>IF($C911="","",IFERROR(INDEX(สินค้า!$C$5:$C$204,MATCH($C911,สินค้า!$B$5:$B$204,0)),"ไม่พบสินค้า"))</f>
        <v/>
      </c>
      <c r="F911" s="17">
        <f>IF($C911="","",IFERROR(INDEX(สินค้า!$D$5:$D$204,MATCH($C911,สินค้า!$B$5:$B$204,0)),"ไม่พบสินค้า"))</f>
        <v/>
      </c>
      <c r="G911" s="15" t="n"/>
      <c r="H911" s="15" t="n"/>
      <c r="I911" s="18">
        <f>IF(AND(ISNUMBER(G911),ISNUMBER(H911),G911&gt;0),H911/G911,"")</f>
        <v/>
      </c>
      <c r="J911" s="15" t="n"/>
      <c r="K911" s="15" t="n"/>
      <c r="L911" s="17">
        <f>IF(A911="","",TEXT(A911,"yyyy-mm"))</f>
        <v/>
      </c>
      <c r="M911" s="17">
        <f>IF(AND(A911&lt;&gt;"",J911="Pending"),TODAY()-A911,"")</f>
        <v/>
      </c>
    </row>
    <row r="912">
      <c r="A912" s="16" t="n"/>
      <c r="B912" s="15" t="n"/>
      <c r="C912" s="15" t="n"/>
      <c r="D912" s="17">
        <f>IF($C912="","",IFERROR(INDEX(สินค้า!$A$5:$A$204,MATCH($C912,สินค้า!$B$5:$B$204,0)),"ไม่พบสินค้า"))</f>
        <v/>
      </c>
      <c r="E912" s="17">
        <f>IF($C912="","",IFERROR(INDEX(สินค้า!$C$5:$C$204,MATCH($C912,สินค้า!$B$5:$B$204,0)),"ไม่พบสินค้า"))</f>
        <v/>
      </c>
      <c r="F912" s="17">
        <f>IF($C912="","",IFERROR(INDEX(สินค้า!$D$5:$D$204,MATCH($C912,สินค้า!$B$5:$B$204,0)),"ไม่พบสินค้า"))</f>
        <v/>
      </c>
      <c r="G912" s="15" t="n"/>
      <c r="H912" s="15" t="n"/>
      <c r="I912" s="18">
        <f>IF(AND(ISNUMBER(G912),ISNUMBER(H912),G912&gt;0),H912/G912,"")</f>
        <v/>
      </c>
      <c r="J912" s="15" t="n"/>
      <c r="K912" s="15" t="n"/>
      <c r="L912" s="17">
        <f>IF(A912="","",TEXT(A912,"yyyy-mm"))</f>
        <v/>
      </c>
      <c r="M912" s="17">
        <f>IF(AND(A912&lt;&gt;"",J912="Pending"),TODAY()-A912,"")</f>
        <v/>
      </c>
    </row>
    <row r="913">
      <c r="A913" s="16" t="n"/>
      <c r="B913" s="15" t="n"/>
      <c r="C913" s="15" t="n"/>
      <c r="D913" s="17">
        <f>IF($C913="","",IFERROR(INDEX(สินค้า!$A$5:$A$204,MATCH($C913,สินค้า!$B$5:$B$204,0)),"ไม่พบสินค้า"))</f>
        <v/>
      </c>
      <c r="E913" s="17">
        <f>IF($C913="","",IFERROR(INDEX(สินค้า!$C$5:$C$204,MATCH($C913,สินค้า!$B$5:$B$204,0)),"ไม่พบสินค้า"))</f>
        <v/>
      </c>
      <c r="F913" s="17">
        <f>IF($C913="","",IFERROR(INDEX(สินค้า!$D$5:$D$204,MATCH($C913,สินค้า!$B$5:$B$204,0)),"ไม่พบสินค้า"))</f>
        <v/>
      </c>
      <c r="G913" s="15" t="n"/>
      <c r="H913" s="15" t="n"/>
      <c r="I913" s="18">
        <f>IF(AND(ISNUMBER(G913),ISNUMBER(H913),G913&gt;0),H913/G913,"")</f>
        <v/>
      </c>
      <c r="J913" s="15" t="n"/>
      <c r="K913" s="15" t="n"/>
      <c r="L913" s="17">
        <f>IF(A913="","",TEXT(A913,"yyyy-mm"))</f>
        <v/>
      </c>
      <c r="M913" s="17">
        <f>IF(AND(A913&lt;&gt;"",J913="Pending"),TODAY()-A913,"")</f>
        <v/>
      </c>
    </row>
    <row r="914">
      <c r="A914" s="16" t="n"/>
      <c r="B914" s="15" t="n"/>
      <c r="C914" s="15" t="n"/>
      <c r="D914" s="17">
        <f>IF($C914="","",IFERROR(INDEX(สินค้า!$A$5:$A$204,MATCH($C914,สินค้า!$B$5:$B$204,0)),"ไม่พบสินค้า"))</f>
        <v/>
      </c>
      <c r="E914" s="17">
        <f>IF($C914="","",IFERROR(INDEX(สินค้า!$C$5:$C$204,MATCH($C914,สินค้า!$B$5:$B$204,0)),"ไม่พบสินค้า"))</f>
        <v/>
      </c>
      <c r="F914" s="17">
        <f>IF($C914="","",IFERROR(INDEX(สินค้า!$D$5:$D$204,MATCH($C914,สินค้า!$B$5:$B$204,0)),"ไม่พบสินค้า"))</f>
        <v/>
      </c>
      <c r="G914" s="15" t="n"/>
      <c r="H914" s="15" t="n"/>
      <c r="I914" s="18">
        <f>IF(AND(ISNUMBER(G914),ISNUMBER(H914),G914&gt;0),H914/G914,"")</f>
        <v/>
      </c>
      <c r="J914" s="15" t="n"/>
      <c r="K914" s="15" t="n"/>
      <c r="L914" s="17">
        <f>IF(A914="","",TEXT(A914,"yyyy-mm"))</f>
        <v/>
      </c>
      <c r="M914" s="17">
        <f>IF(AND(A914&lt;&gt;"",J914="Pending"),TODAY()-A914,"")</f>
        <v/>
      </c>
    </row>
    <row r="915">
      <c r="A915" s="16" t="n"/>
      <c r="B915" s="15" t="n"/>
      <c r="C915" s="15" t="n"/>
      <c r="D915" s="17">
        <f>IF($C915="","",IFERROR(INDEX(สินค้า!$A$5:$A$204,MATCH($C915,สินค้า!$B$5:$B$204,0)),"ไม่พบสินค้า"))</f>
        <v/>
      </c>
      <c r="E915" s="17">
        <f>IF($C915="","",IFERROR(INDEX(สินค้า!$C$5:$C$204,MATCH($C915,สินค้า!$B$5:$B$204,0)),"ไม่พบสินค้า"))</f>
        <v/>
      </c>
      <c r="F915" s="17">
        <f>IF($C915="","",IFERROR(INDEX(สินค้า!$D$5:$D$204,MATCH($C915,สินค้า!$B$5:$B$204,0)),"ไม่พบสินค้า"))</f>
        <v/>
      </c>
      <c r="G915" s="15" t="n"/>
      <c r="H915" s="15" t="n"/>
      <c r="I915" s="18">
        <f>IF(AND(ISNUMBER(G915),ISNUMBER(H915),G915&gt;0),H915/G915,"")</f>
        <v/>
      </c>
      <c r="J915" s="15" t="n"/>
      <c r="K915" s="15" t="n"/>
      <c r="L915" s="17">
        <f>IF(A915="","",TEXT(A915,"yyyy-mm"))</f>
        <v/>
      </c>
      <c r="M915" s="17">
        <f>IF(AND(A915&lt;&gt;"",J915="Pending"),TODAY()-A915,"")</f>
        <v/>
      </c>
    </row>
    <row r="916">
      <c r="A916" s="16" t="n"/>
      <c r="B916" s="15" t="n"/>
      <c r="C916" s="15" t="n"/>
      <c r="D916" s="17">
        <f>IF($C916="","",IFERROR(INDEX(สินค้า!$A$5:$A$204,MATCH($C916,สินค้า!$B$5:$B$204,0)),"ไม่พบสินค้า"))</f>
        <v/>
      </c>
      <c r="E916" s="17">
        <f>IF($C916="","",IFERROR(INDEX(สินค้า!$C$5:$C$204,MATCH($C916,สินค้า!$B$5:$B$204,0)),"ไม่พบสินค้า"))</f>
        <v/>
      </c>
      <c r="F916" s="17">
        <f>IF($C916="","",IFERROR(INDEX(สินค้า!$D$5:$D$204,MATCH($C916,สินค้า!$B$5:$B$204,0)),"ไม่พบสินค้า"))</f>
        <v/>
      </c>
      <c r="G916" s="15" t="n"/>
      <c r="H916" s="15" t="n"/>
      <c r="I916" s="18">
        <f>IF(AND(ISNUMBER(G916),ISNUMBER(H916),G916&gt;0),H916/G916,"")</f>
        <v/>
      </c>
      <c r="J916" s="15" t="n"/>
      <c r="K916" s="15" t="n"/>
      <c r="L916" s="17">
        <f>IF(A916="","",TEXT(A916,"yyyy-mm"))</f>
        <v/>
      </c>
      <c r="M916" s="17">
        <f>IF(AND(A916&lt;&gt;"",J916="Pending"),TODAY()-A916,"")</f>
        <v/>
      </c>
    </row>
    <row r="917">
      <c r="A917" s="16" t="n"/>
      <c r="B917" s="15" t="n"/>
      <c r="C917" s="15" t="n"/>
      <c r="D917" s="17">
        <f>IF($C917="","",IFERROR(INDEX(สินค้า!$A$5:$A$204,MATCH($C917,สินค้า!$B$5:$B$204,0)),"ไม่พบสินค้า"))</f>
        <v/>
      </c>
      <c r="E917" s="17">
        <f>IF($C917="","",IFERROR(INDEX(สินค้า!$C$5:$C$204,MATCH($C917,สินค้า!$B$5:$B$204,0)),"ไม่พบสินค้า"))</f>
        <v/>
      </c>
      <c r="F917" s="17">
        <f>IF($C917="","",IFERROR(INDEX(สินค้า!$D$5:$D$204,MATCH($C917,สินค้า!$B$5:$B$204,0)),"ไม่พบสินค้า"))</f>
        <v/>
      </c>
      <c r="G917" s="15" t="n"/>
      <c r="H917" s="15" t="n"/>
      <c r="I917" s="18">
        <f>IF(AND(ISNUMBER(G917),ISNUMBER(H917),G917&gt;0),H917/G917,"")</f>
        <v/>
      </c>
      <c r="J917" s="15" t="n"/>
      <c r="K917" s="15" t="n"/>
      <c r="L917" s="17">
        <f>IF(A917="","",TEXT(A917,"yyyy-mm"))</f>
        <v/>
      </c>
      <c r="M917" s="17">
        <f>IF(AND(A917&lt;&gt;"",J917="Pending"),TODAY()-A917,"")</f>
        <v/>
      </c>
    </row>
    <row r="918">
      <c r="A918" s="16" t="n"/>
      <c r="B918" s="15" t="n"/>
      <c r="C918" s="15" t="n"/>
      <c r="D918" s="17">
        <f>IF($C918="","",IFERROR(INDEX(สินค้า!$A$5:$A$204,MATCH($C918,สินค้า!$B$5:$B$204,0)),"ไม่พบสินค้า"))</f>
        <v/>
      </c>
      <c r="E918" s="17">
        <f>IF($C918="","",IFERROR(INDEX(สินค้า!$C$5:$C$204,MATCH($C918,สินค้า!$B$5:$B$204,0)),"ไม่พบสินค้า"))</f>
        <v/>
      </c>
      <c r="F918" s="17">
        <f>IF($C918="","",IFERROR(INDEX(สินค้า!$D$5:$D$204,MATCH($C918,สินค้า!$B$5:$B$204,0)),"ไม่พบสินค้า"))</f>
        <v/>
      </c>
      <c r="G918" s="15" t="n"/>
      <c r="H918" s="15" t="n"/>
      <c r="I918" s="18">
        <f>IF(AND(ISNUMBER(G918),ISNUMBER(H918),G918&gt;0),H918/G918,"")</f>
        <v/>
      </c>
      <c r="J918" s="15" t="n"/>
      <c r="K918" s="15" t="n"/>
      <c r="L918" s="17">
        <f>IF(A918="","",TEXT(A918,"yyyy-mm"))</f>
        <v/>
      </c>
      <c r="M918" s="17">
        <f>IF(AND(A918&lt;&gt;"",J918="Pending"),TODAY()-A918,"")</f>
        <v/>
      </c>
    </row>
    <row r="919">
      <c r="A919" s="16" t="n"/>
      <c r="B919" s="15" t="n"/>
      <c r="C919" s="15" t="n"/>
      <c r="D919" s="17">
        <f>IF($C919="","",IFERROR(INDEX(สินค้า!$A$5:$A$204,MATCH($C919,สินค้า!$B$5:$B$204,0)),"ไม่พบสินค้า"))</f>
        <v/>
      </c>
      <c r="E919" s="17">
        <f>IF($C919="","",IFERROR(INDEX(สินค้า!$C$5:$C$204,MATCH($C919,สินค้า!$B$5:$B$204,0)),"ไม่พบสินค้า"))</f>
        <v/>
      </c>
      <c r="F919" s="17">
        <f>IF($C919="","",IFERROR(INDEX(สินค้า!$D$5:$D$204,MATCH($C919,สินค้า!$B$5:$B$204,0)),"ไม่พบสินค้า"))</f>
        <v/>
      </c>
      <c r="G919" s="15" t="n"/>
      <c r="H919" s="15" t="n"/>
      <c r="I919" s="18">
        <f>IF(AND(ISNUMBER(G919),ISNUMBER(H919),G919&gt;0),H919/G919,"")</f>
        <v/>
      </c>
      <c r="J919" s="15" t="n"/>
      <c r="K919" s="15" t="n"/>
      <c r="L919" s="17">
        <f>IF(A919="","",TEXT(A919,"yyyy-mm"))</f>
        <v/>
      </c>
      <c r="M919" s="17">
        <f>IF(AND(A919&lt;&gt;"",J919="Pending"),TODAY()-A919,"")</f>
        <v/>
      </c>
    </row>
    <row r="920">
      <c r="A920" s="16" t="n"/>
      <c r="B920" s="15" t="n"/>
      <c r="C920" s="15" t="n"/>
      <c r="D920" s="17">
        <f>IF($C920="","",IFERROR(INDEX(สินค้า!$A$5:$A$204,MATCH($C920,สินค้า!$B$5:$B$204,0)),"ไม่พบสินค้า"))</f>
        <v/>
      </c>
      <c r="E920" s="17">
        <f>IF($C920="","",IFERROR(INDEX(สินค้า!$C$5:$C$204,MATCH($C920,สินค้า!$B$5:$B$204,0)),"ไม่พบสินค้า"))</f>
        <v/>
      </c>
      <c r="F920" s="17">
        <f>IF($C920="","",IFERROR(INDEX(สินค้า!$D$5:$D$204,MATCH($C920,สินค้า!$B$5:$B$204,0)),"ไม่พบสินค้า"))</f>
        <v/>
      </c>
      <c r="G920" s="15" t="n"/>
      <c r="H920" s="15" t="n"/>
      <c r="I920" s="18">
        <f>IF(AND(ISNUMBER(G920),ISNUMBER(H920),G920&gt;0),H920/G920,"")</f>
        <v/>
      </c>
      <c r="J920" s="15" t="n"/>
      <c r="K920" s="15" t="n"/>
      <c r="L920" s="17">
        <f>IF(A920="","",TEXT(A920,"yyyy-mm"))</f>
        <v/>
      </c>
      <c r="M920" s="17">
        <f>IF(AND(A920&lt;&gt;"",J920="Pending"),TODAY()-A920,"")</f>
        <v/>
      </c>
    </row>
    <row r="921">
      <c r="A921" s="16" t="n"/>
      <c r="B921" s="15" t="n"/>
      <c r="C921" s="15" t="n"/>
      <c r="D921" s="17">
        <f>IF($C921="","",IFERROR(INDEX(สินค้า!$A$5:$A$204,MATCH($C921,สินค้า!$B$5:$B$204,0)),"ไม่พบสินค้า"))</f>
        <v/>
      </c>
      <c r="E921" s="17">
        <f>IF($C921="","",IFERROR(INDEX(สินค้า!$C$5:$C$204,MATCH($C921,สินค้า!$B$5:$B$204,0)),"ไม่พบสินค้า"))</f>
        <v/>
      </c>
      <c r="F921" s="17">
        <f>IF($C921="","",IFERROR(INDEX(สินค้า!$D$5:$D$204,MATCH($C921,สินค้า!$B$5:$B$204,0)),"ไม่พบสินค้า"))</f>
        <v/>
      </c>
      <c r="G921" s="15" t="n"/>
      <c r="H921" s="15" t="n"/>
      <c r="I921" s="18">
        <f>IF(AND(ISNUMBER(G921),ISNUMBER(H921),G921&gt;0),H921/G921,"")</f>
        <v/>
      </c>
      <c r="J921" s="15" t="n"/>
      <c r="K921" s="15" t="n"/>
      <c r="L921" s="17">
        <f>IF(A921="","",TEXT(A921,"yyyy-mm"))</f>
        <v/>
      </c>
      <c r="M921" s="17">
        <f>IF(AND(A921&lt;&gt;"",J921="Pending"),TODAY()-A921,"")</f>
        <v/>
      </c>
    </row>
    <row r="922">
      <c r="A922" s="16" t="n"/>
      <c r="B922" s="15" t="n"/>
      <c r="C922" s="15" t="n"/>
      <c r="D922" s="17">
        <f>IF($C922="","",IFERROR(INDEX(สินค้า!$A$5:$A$204,MATCH($C922,สินค้า!$B$5:$B$204,0)),"ไม่พบสินค้า"))</f>
        <v/>
      </c>
      <c r="E922" s="17">
        <f>IF($C922="","",IFERROR(INDEX(สินค้า!$C$5:$C$204,MATCH($C922,สินค้า!$B$5:$B$204,0)),"ไม่พบสินค้า"))</f>
        <v/>
      </c>
      <c r="F922" s="17">
        <f>IF($C922="","",IFERROR(INDEX(สินค้า!$D$5:$D$204,MATCH($C922,สินค้า!$B$5:$B$204,0)),"ไม่พบสินค้า"))</f>
        <v/>
      </c>
      <c r="G922" s="15" t="n"/>
      <c r="H922" s="15" t="n"/>
      <c r="I922" s="18">
        <f>IF(AND(ISNUMBER(G922),ISNUMBER(H922),G922&gt;0),H922/G922,"")</f>
        <v/>
      </c>
      <c r="J922" s="15" t="n"/>
      <c r="K922" s="15" t="n"/>
      <c r="L922" s="17">
        <f>IF(A922="","",TEXT(A922,"yyyy-mm"))</f>
        <v/>
      </c>
      <c r="M922" s="17">
        <f>IF(AND(A922&lt;&gt;"",J922="Pending"),TODAY()-A922,"")</f>
        <v/>
      </c>
    </row>
    <row r="923">
      <c r="A923" s="16" t="n"/>
      <c r="B923" s="15" t="n"/>
      <c r="C923" s="15" t="n"/>
      <c r="D923" s="17">
        <f>IF($C923="","",IFERROR(INDEX(สินค้า!$A$5:$A$204,MATCH($C923,สินค้า!$B$5:$B$204,0)),"ไม่พบสินค้า"))</f>
        <v/>
      </c>
      <c r="E923" s="17">
        <f>IF($C923="","",IFERROR(INDEX(สินค้า!$C$5:$C$204,MATCH($C923,สินค้า!$B$5:$B$204,0)),"ไม่พบสินค้า"))</f>
        <v/>
      </c>
      <c r="F923" s="17">
        <f>IF($C923="","",IFERROR(INDEX(สินค้า!$D$5:$D$204,MATCH($C923,สินค้า!$B$5:$B$204,0)),"ไม่พบสินค้า"))</f>
        <v/>
      </c>
      <c r="G923" s="15" t="n"/>
      <c r="H923" s="15" t="n"/>
      <c r="I923" s="18">
        <f>IF(AND(ISNUMBER(G923),ISNUMBER(H923),G923&gt;0),H923/G923,"")</f>
        <v/>
      </c>
      <c r="J923" s="15" t="n"/>
      <c r="K923" s="15" t="n"/>
      <c r="L923" s="17">
        <f>IF(A923="","",TEXT(A923,"yyyy-mm"))</f>
        <v/>
      </c>
      <c r="M923" s="17">
        <f>IF(AND(A923&lt;&gt;"",J923="Pending"),TODAY()-A923,"")</f>
        <v/>
      </c>
    </row>
    <row r="924">
      <c r="A924" s="16" t="n"/>
      <c r="B924" s="15" t="n"/>
      <c r="C924" s="15" t="n"/>
      <c r="D924" s="17">
        <f>IF($C924="","",IFERROR(INDEX(สินค้า!$A$5:$A$204,MATCH($C924,สินค้า!$B$5:$B$204,0)),"ไม่พบสินค้า"))</f>
        <v/>
      </c>
      <c r="E924" s="17">
        <f>IF($C924="","",IFERROR(INDEX(สินค้า!$C$5:$C$204,MATCH($C924,สินค้า!$B$5:$B$204,0)),"ไม่พบสินค้า"))</f>
        <v/>
      </c>
      <c r="F924" s="17">
        <f>IF($C924="","",IFERROR(INDEX(สินค้า!$D$5:$D$204,MATCH($C924,สินค้า!$B$5:$B$204,0)),"ไม่พบสินค้า"))</f>
        <v/>
      </c>
      <c r="G924" s="15" t="n"/>
      <c r="H924" s="15" t="n"/>
      <c r="I924" s="18">
        <f>IF(AND(ISNUMBER(G924),ISNUMBER(H924),G924&gt;0),H924/G924,"")</f>
        <v/>
      </c>
      <c r="J924" s="15" t="n"/>
      <c r="K924" s="15" t="n"/>
      <c r="L924" s="17">
        <f>IF(A924="","",TEXT(A924,"yyyy-mm"))</f>
        <v/>
      </c>
      <c r="M924" s="17">
        <f>IF(AND(A924&lt;&gt;"",J924="Pending"),TODAY()-A924,"")</f>
        <v/>
      </c>
    </row>
    <row r="925">
      <c r="A925" s="16" t="n"/>
      <c r="B925" s="15" t="n"/>
      <c r="C925" s="15" t="n"/>
      <c r="D925" s="17">
        <f>IF($C925="","",IFERROR(INDEX(สินค้า!$A$5:$A$204,MATCH($C925,สินค้า!$B$5:$B$204,0)),"ไม่พบสินค้า"))</f>
        <v/>
      </c>
      <c r="E925" s="17">
        <f>IF($C925="","",IFERROR(INDEX(สินค้า!$C$5:$C$204,MATCH($C925,สินค้า!$B$5:$B$204,0)),"ไม่พบสินค้า"))</f>
        <v/>
      </c>
      <c r="F925" s="17">
        <f>IF($C925="","",IFERROR(INDEX(สินค้า!$D$5:$D$204,MATCH($C925,สินค้า!$B$5:$B$204,0)),"ไม่พบสินค้า"))</f>
        <v/>
      </c>
      <c r="G925" s="15" t="n"/>
      <c r="H925" s="15" t="n"/>
      <c r="I925" s="18">
        <f>IF(AND(ISNUMBER(G925),ISNUMBER(H925),G925&gt;0),H925/G925,"")</f>
        <v/>
      </c>
      <c r="J925" s="15" t="n"/>
      <c r="K925" s="15" t="n"/>
      <c r="L925" s="17">
        <f>IF(A925="","",TEXT(A925,"yyyy-mm"))</f>
        <v/>
      </c>
      <c r="M925" s="17">
        <f>IF(AND(A925&lt;&gt;"",J925="Pending"),TODAY()-A925,"")</f>
        <v/>
      </c>
    </row>
    <row r="926">
      <c r="A926" s="16" t="n"/>
      <c r="B926" s="15" t="n"/>
      <c r="C926" s="15" t="n"/>
      <c r="D926" s="17">
        <f>IF($C926="","",IFERROR(INDEX(สินค้า!$A$5:$A$204,MATCH($C926,สินค้า!$B$5:$B$204,0)),"ไม่พบสินค้า"))</f>
        <v/>
      </c>
      <c r="E926" s="17">
        <f>IF($C926="","",IFERROR(INDEX(สินค้า!$C$5:$C$204,MATCH($C926,สินค้า!$B$5:$B$204,0)),"ไม่พบสินค้า"))</f>
        <v/>
      </c>
      <c r="F926" s="17">
        <f>IF($C926="","",IFERROR(INDEX(สินค้า!$D$5:$D$204,MATCH($C926,สินค้า!$B$5:$B$204,0)),"ไม่พบสินค้า"))</f>
        <v/>
      </c>
      <c r="G926" s="15" t="n"/>
      <c r="H926" s="15" t="n"/>
      <c r="I926" s="18">
        <f>IF(AND(ISNUMBER(G926),ISNUMBER(H926),G926&gt;0),H926/G926,"")</f>
        <v/>
      </c>
      <c r="J926" s="15" t="n"/>
      <c r="K926" s="15" t="n"/>
      <c r="L926" s="17">
        <f>IF(A926="","",TEXT(A926,"yyyy-mm"))</f>
        <v/>
      </c>
      <c r="M926" s="17">
        <f>IF(AND(A926&lt;&gt;"",J926="Pending"),TODAY()-A926,"")</f>
        <v/>
      </c>
    </row>
    <row r="927">
      <c r="A927" s="16" t="n"/>
      <c r="B927" s="15" t="n"/>
      <c r="C927" s="15" t="n"/>
      <c r="D927" s="17">
        <f>IF($C927="","",IFERROR(INDEX(สินค้า!$A$5:$A$204,MATCH($C927,สินค้า!$B$5:$B$204,0)),"ไม่พบสินค้า"))</f>
        <v/>
      </c>
      <c r="E927" s="17">
        <f>IF($C927="","",IFERROR(INDEX(สินค้า!$C$5:$C$204,MATCH($C927,สินค้า!$B$5:$B$204,0)),"ไม่พบสินค้า"))</f>
        <v/>
      </c>
      <c r="F927" s="17">
        <f>IF($C927="","",IFERROR(INDEX(สินค้า!$D$5:$D$204,MATCH($C927,สินค้า!$B$5:$B$204,0)),"ไม่พบสินค้า"))</f>
        <v/>
      </c>
      <c r="G927" s="15" t="n"/>
      <c r="H927" s="15" t="n"/>
      <c r="I927" s="18">
        <f>IF(AND(ISNUMBER(G927),ISNUMBER(H927),G927&gt;0),H927/G927,"")</f>
        <v/>
      </c>
      <c r="J927" s="15" t="n"/>
      <c r="K927" s="15" t="n"/>
      <c r="L927" s="17">
        <f>IF(A927="","",TEXT(A927,"yyyy-mm"))</f>
        <v/>
      </c>
      <c r="M927" s="17">
        <f>IF(AND(A927&lt;&gt;"",J927="Pending"),TODAY()-A927,"")</f>
        <v/>
      </c>
    </row>
    <row r="928">
      <c r="A928" s="16" t="n"/>
      <c r="B928" s="15" t="n"/>
      <c r="C928" s="15" t="n"/>
      <c r="D928" s="17">
        <f>IF($C928="","",IFERROR(INDEX(สินค้า!$A$5:$A$204,MATCH($C928,สินค้า!$B$5:$B$204,0)),"ไม่พบสินค้า"))</f>
        <v/>
      </c>
      <c r="E928" s="17">
        <f>IF($C928="","",IFERROR(INDEX(สินค้า!$C$5:$C$204,MATCH($C928,สินค้า!$B$5:$B$204,0)),"ไม่พบสินค้า"))</f>
        <v/>
      </c>
      <c r="F928" s="17">
        <f>IF($C928="","",IFERROR(INDEX(สินค้า!$D$5:$D$204,MATCH($C928,สินค้า!$B$5:$B$204,0)),"ไม่พบสินค้า"))</f>
        <v/>
      </c>
      <c r="G928" s="15" t="n"/>
      <c r="H928" s="15" t="n"/>
      <c r="I928" s="18">
        <f>IF(AND(ISNUMBER(G928),ISNUMBER(H928),G928&gt;0),H928/G928,"")</f>
        <v/>
      </c>
      <c r="J928" s="15" t="n"/>
      <c r="K928" s="15" t="n"/>
      <c r="L928" s="17">
        <f>IF(A928="","",TEXT(A928,"yyyy-mm"))</f>
        <v/>
      </c>
      <c r="M928" s="17">
        <f>IF(AND(A928&lt;&gt;"",J928="Pending"),TODAY()-A928,"")</f>
        <v/>
      </c>
    </row>
    <row r="929">
      <c r="A929" s="16" t="n"/>
      <c r="B929" s="15" t="n"/>
      <c r="C929" s="15" t="n"/>
      <c r="D929" s="17">
        <f>IF($C929="","",IFERROR(INDEX(สินค้า!$A$5:$A$204,MATCH($C929,สินค้า!$B$5:$B$204,0)),"ไม่พบสินค้า"))</f>
        <v/>
      </c>
      <c r="E929" s="17">
        <f>IF($C929="","",IFERROR(INDEX(สินค้า!$C$5:$C$204,MATCH($C929,สินค้า!$B$5:$B$204,0)),"ไม่พบสินค้า"))</f>
        <v/>
      </c>
      <c r="F929" s="17">
        <f>IF($C929="","",IFERROR(INDEX(สินค้า!$D$5:$D$204,MATCH($C929,สินค้า!$B$5:$B$204,0)),"ไม่พบสินค้า"))</f>
        <v/>
      </c>
      <c r="G929" s="15" t="n"/>
      <c r="H929" s="15" t="n"/>
      <c r="I929" s="18">
        <f>IF(AND(ISNUMBER(G929),ISNUMBER(H929),G929&gt;0),H929/G929,"")</f>
        <v/>
      </c>
      <c r="J929" s="15" t="n"/>
      <c r="K929" s="15" t="n"/>
      <c r="L929" s="17">
        <f>IF(A929="","",TEXT(A929,"yyyy-mm"))</f>
        <v/>
      </c>
      <c r="M929" s="17">
        <f>IF(AND(A929&lt;&gt;"",J929="Pending"),TODAY()-A929,"")</f>
        <v/>
      </c>
    </row>
    <row r="930">
      <c r="A930" s="16" t="n"/>
      <c r="B930" s="15" t="n"/>
      <c r="C930" s="15" t="n"/>
      <c r="D930" s="17">
        <f>IF($C930="","",IFERROR(INDEX(สินค้า!$A$5:$A$204,MATCH($C930,สินค้า!$B$5:$B$204,0)),"ไม่พบสินค้า"))</f>
        <v/>
      </c>
      <c r="E930" s="17">
        <f>IF($C930="","",IFERROR(INDEX(สินค้า!$C$5:$C$204,MATCH($C930,สินค้า!$B$5:$B$204,0)),"ไม่พบสินค้า"))</f>
        <v/>
      </c>
      <c r="F930" s="17">
        <f>IF($C930="","",IFERROR(INDEX(สินค้า!$D$5:$D$204,MATCH($C930,สินค้า!$B$5:$B$204,0)),"ไม่พบสินค้า"))</f>
        <v/>
      </c>
      <c r="G930" s="15" t="n"/>
      <c r="H930" s="15" t="n"/>
      <c r="I930" s="18">
        <f>IF(AND(ISNUMBER(G930),ISNUMBER(H930),G930&gt;0),H930/G930,"")</f>
        <v/>
      </c>
      <c r="J930" s="15" t="n"/>
      <c r="K930" s="15" t="n"/>
      <c r="L930" s="17">
        <f>IF(A930="","",TEXT(A930,"yyyy-mm"))</f>
        <v/>
      </c>
      <c r="M930" s="17">
        <f>IF(AND(A930&lt;&gt;"",J930="Pending"),TODAY()-A930,"")</f>
        <v/>
      </c>
    </row>
    <row r="931">
      <c r="A931" s="16" t="n"/>
      <c r="B931" s="15" t="n"/>
      <c r="C931" s="15" t="n"/>
      <c r="D931" s="17">
        <f>IF($C931="","",IFERROR(INDEX(สินค้า!$A$5:$A$204,MATCH($C931,สินค้า!$B$5:$B$204,0)),"ไม่พบสินค้า"))</f>
        <v/>
      </c>
      <c r="E931" s="17">
        <f>IF($C931="","",IFERROR(INDEX(สินค้า!$C$5:$C$204,MATCH($C931,สินค้า!$B$5:$B$204,0)),"ไม่พบสินค้า"))</f>
        <v/>
      </c>
      <c r="F931" s="17">
        <f>IF($C931="","",IFERROR(INDEX(สินค้า!$D$5:$D$204,MATCH($C931,สินค้า!$B$5:$B$204,0)),"ไม่พบสินค้า"))</f>
        <v/>
      </c>
      <c r="G931" s="15" t="n"/>
      <c r="H931" s="15" t="n"/>
      <c r="I931" s="18">
        <f>IF(AND(ISNUMBER(G931),ISNUMBER(H931),G931&gt;0),H931/G931,"")</f>
        <v/>
      </c>
      <c r="J931" s="15" t="n"/>
      <c r="K931" s="15" t="n"/>
      <c r="L931" s="17">
        <f>IF(A931="","",TEXT(A931,"yyyy-mm"))</f>
        <v/>
      </c>
      <c r="M931" s="17">
        <f>IF(AND(A931&lt;&gt;"",J931="Pending"),TODAY()-A931,"")</f>
        <v/>
      </c>
    </row>
    <row r="932">
      <c r="A932" s="16" t="n"/>
      <c r="B932" s="15" t="n"/>
      <c r="C932" s="15" t="n"/>
      <c r="D932" s="17">
        <f>IF($C932="","",IFERROR(INDEX(สินค้า!$A$5:$A$204,MATCH($C932,สินค้า!$B$5:$B$204,0)),"ไม่พบสินค้า"))</f>
        <v/>
      </c>
      <c r="E932" s="17">
        <f>IF($C932="","",IFERROR(INDEX(สินค้า!$C$5:$C$204,MATCH($C932,สินค้า!$B$5:$B$204,0)),"ไม่พบสินค้า"))</f>
        <v/>
      </c>
      <c r="F932" s="17">
        <f>IF($C932="","",IFERROR(INDEX(สินค้า!$D$5:$D$204,MATCH($C932,สินค้า!$B$5:$B$204,0)),"ไม่พบสินค้า"))</f>
        <v/>
      </c>
      <c r="G932" s="15" t="n"/>
      <c r="H932" s="15" t="n"/>
      <c r="I932" s="18">
        <f>IF(AND(ISNUMBER(G932),ISNUMBER(H932),G932&gt;0),H932/G932,"")</f>
        <v/>
      </c>
      <c r="J932" s="15" t="n"/>
      <c r="K932" s="15" t="n"/>
      <c r="L932" s="17">
        <f>IF(A932="","",TEXT(A932,"yyyy-mm"))</f>
        <v/>
      </c>
      <c r="M932" s="17">
        <f>IF(AND(A932&lt;&gt;"",J932="Pending"),TODAY()-A932,"")</f>
        <v/>
      </c>
    </row>
    <row r="933">
      <c r="A933" s="16" t="n"/>
      <c r="B933" s="15" t="n"/>
      <c r="C933" s="15" t="n"/>
      <c r="D933" s="17">
        <f>IF($C933="","",IFERROR(INDEX(สินค้า!$A$5:$A$204,MATCH($C933,สินค้า!$B$5:$B$204,0)),"ไม่พบสินค้า"))</f>
        <v/>
      </c>
      <c r="E933" s="17">
        <f>IF($C933="","",IFERROR(INDEX(สินค้า!$C$5:$C$204,MATCH($C933,สินค้า!$B$5:$B$204,0)),"ไม่พบสินค้า"))</f>
        <v/>
      </c>
      <c r="F933" s="17">
        <f>IF($C933="","",IFERROR(INDEX(สินค้า!$D$5:$D$204,MATCH($C933,สินค้า!$B$5:$B$204,0)),"ไม่พบสินค้า"))</f>
        <v/>
      </c>
      <c r="G933" s="15" t="n"/>
      <c r="H933" s="15" t="n"/>
      <c r="I933" s="18">
        <f>IF(AND(ISNUMBER(G933),ISNUMBER(H933),G933&gt;0),H933/G933,"")</f>
        <v/>
      </c>
      <c r="J933" s="15" t="n"/>
      <c r="K933" s="15" t="n"/>
      <c r="L933" s="17">
        <f>IF(A933="","",TEXT(A933,"yyyy-mm"))</f>
        <v/>
      </c>
      <c r="M933" s="17">
        <f>IF(AND(A933&lt;&gt;"",J933="Pending"),TODAY()-A933,"")</f>
        <v/>
      </c>
    </row>
    <row r="934">
      <c r="A934" s="16" t="n"/>
      <c r="B934" s="15" t="n"/>
      <c r="C934" s="15" t="n"/>
      <c r="D934" s="17">
        <f>IF($C934="","",IFERROR(INDEX(สินค้า!$A$5:$A$204,MATCH($C934,สินค้า!$B$5:$B$204,0)),"ไม่พบสินค้า"))</f>
        <v/>
      </c>
      <c r="E934" s="17">
        <f>IF($C934="","",IFERROR(INDEX(สินค้า!$C$5:$C$204,MATCH($C934,สินค้า!$B$5:$B$204,0)),"ไม่พบสินค้า"))</f>
        <v/>
      </c>
      <c r="F934" s="17">
        <f>IF($C934="","",IFERROR(INDEX(สินค้า!$D$5:$D$204,MATCH($C934,สินค้า!$B$5:$B$204,0)),"ไม่พบสินค้า"))</f>
        <v/>
      </c>
      <c r="G934" s="15" t="n"/>
      <c r="H934" s="15" t="n"/>
      <c r="I934" s="18">
        <f>IF(AND(ISNUMBER(G934),ISNUMBER(H934),G934&gt;0),H934/G934,"")</f>
        <v/>
      </c>
      <c r="J934" s="15" t="n"/>
      <c r="K934" s="15" t="n"/>
      <c r="L934" s="17">
        <f>IF(A934="","",TEXT(A934,"yyyy-mm"))</f>
        <v/>
      </c>
      <c r="M934" s="17">
        <f>IF(AND(A934&lt;&gt;"",J934="Pending"),TODAY()-A934,"")</f>
        <v/>
      </c>
    </row>
    <row r="935">
      <c r="A935" s="16" t="n"/>
      <c r="B935" s="15" t="n"/>
      <c r="C935" s="15" t="n"/>
      <c r="D935" s="17">
        <f>IF($C935="","",IFERROR(INDEX(สินค้า!$A$5:$A$204,MATCH($C935,สินค้า!$B$5:$B$204,0)),"ไม่พบสินค้า"))</f>
        <v/>
      </c>
      <c r="E935" s="17">
        <f>IF($C935="","",IFERROR(INDEX(สินค้า!$C$5:$C$204,MATCH($C935,สินค้า!$B$5:$B$204,0)),"ไม่พบสินค้า"))</f>
        <v/>
      </c>
      <c r="F935" s="17">
        <f>IF($C935="","",IFERROR(INDEX(สินค้า!$D$5:$D$204,MATCH($C935,สินค้า!$B$5:$B$204,0)),"ไม่พบสินค้า"))</f>
        <v/>
      </c>
      <c r="G935" s="15" t="n"/>
      <c r="H935" s="15" t="n"/>
      <c r="I935" s="18">
        <f>IF(AND(ISNUMBER(G935),ISNUMBER(H935),G935&gt;0),H935/G935,"")</f>
        <v/>
      </c>
      <c r="J935" s="15" t="n"/>
      <c r="K935" s="15" t="n"/>
      <c r="L935" s="17">
        <f>IF(A935="","",TEXT(A935,"yyyy-mm"))</f>
        <v/>
      </c>
      <c r="M935" s="17">
        <f>IF(AND(A935&lt;&gt;"",J935="Pending"),TODAY()-A935,"")</f>
        <v/>
      </c>
    </row>
    <row r="936">
      <c r="A936" s="16" t="n"/>
      <c r="B936" s="15" t="n"/>
      <c r="C936" s="15" t="n"/>
      <c r="D936" s="17">
        <f>IF($C936="","",IFERROR(INDEX(สินค้า!$A$5:$A$204,MATCH($C936,สินค้า!$B$5:$B$204,0)),"ไม่พบสินค้า"))</f>
        <v/>
      </c>
      <c r="E936" s="17">
        <f>IF($C936="","",IFERROR(INDEX(สินค้า!$C$5:$C$204,MATCH($C936,สินค้า!$B$5:$B$204,0)),"ไม่พบสินค้า"))</f>
        <v/>
      </c>
      <c r="F936" s="17">
        <f>IF($C936="","",IFERROR(INDEX(สินค้า!$D$5:$D$204,MATCH($C936,สินค้า!$B$5:$B$204,0)),"ไม่พบสินค้า"))</f>
        <v/>
      </c>
      <c r="G936" s="15" t="n"/>
      <c r="H936" s="15" t="n"/>
      <c r="I936" s="18">
        <f>IF(AND(ISNUMBER(G936),ISNUMBER(H936),G936&gt;0),H936/G936,"")</f>
        <v/>
      </c>
      <c r="J936" s="15" t="n"/>
      <c r="K936" s="15" t="n"/>
      <c r="L936" s="17">
        <f>IF(A936="","",TEXT(A936,"yyyy-mm"))</f>
        <v/>
      </c>
      <c r="M936" s="17">
        <f>IF(AND(A936&lt;&gt;"",J936="Pending"),TODAY()-A936,"")</f>
        <v/>
      </c>
    </row>
    <row r="937">
      <c r="A937" s="16" t="n"/>
      <c r="B937" s="15" t="n"/>
      <c r="C937" s="15" t="n"/>
      <c r="D937" s="17">
        <f>IF($C937="","",IFERROR(INDEX(สินค้า!$A$5:$A$204,MATCH($C937,สินค้า!$B$5:$B$204,0)),"ไม่พบสินค้า"))</f>
        <v/>
      </c>
      <c r="E937" s="17">
        <f>IF($C937="","",IFERROR(INDEX(สินค้า!$C$5:$C$204,MATCH($C937,สินค้า!$B$5:$B$204,0)),"ไม่พบสินค้า"))</f>
        <v/>
      </c>
      <c r="F937" s="17">
        <f>IF($C937="","",IFERROR(INDEX(สินค้า!$D$5:$D$204,MATCH($C937,สินค้า!$B$5:$B$204,0)),"ไม่พบสินค้า"))</f>
        <v/>
      </c>
      <c r="G937" s="15" t="n"/>
      <c r="H937" s="15" t="n"/>
      <c r="I937" s="18">
        <f>IF(AND(ISNUMBER(G937),ISNUMBER(H937),G937&gt;0),H937/G937,"")</f>
        <v/>
      </c>
      <c r="J937" s="15" t="n"/>
      <c r="K937" s="15" t="n"/>
      <c r="L937" s="17">
        <f>IF(A937="","",TEXT(A937,"yyyy-mm"))</f>
        <v/>
      </c>
      <c r="M937" s="17">
        <f>IF(AND(A937&lt;&gt;"",J937="Pending"),TODAY()-A937,"")</f>
        <v/>
      </c>
    </row>
    <row r="938">
      <c r="A938" s="16" t="n"/>
      <c r="B938" s="15" t="n"/>
      <c r="C938" s="15" t="n"/>
      <c r="D938" s="17">
        <f>IF($C938="","",IFERROR(INDEX(สินค้า!$A$5:$A$204,MATCH($C938,สินค้า!$B$5:$B$204,0)),"ไม่พบสินค้า"))</f>
        <v/>
      </c>
      <c r="E938" s="17">
        <f>IF($C938="","",IFERROR(INDEX(สินค้า!$C$5:$C$204,MATCH($C938,สินค้า!$B$5:$B$204,0)),"ไม่พบสินค้า"))</f>
        <v/>
      </c>
      <c r="F938" s="17">
        <f>IF($C938="","",IFERROR(INDEX(สินค้า!$D$5:$D$204,MATCH($C938,สินค้า!$B$5:$B$204,0)),"ไม่พบสินค้า"))</f>
        <v/>
      </c>
      <c r="G938" s="15" t="n"/>
      <c r="H938" s="15" t="n"/>
      <c r="I938" s="18">
        <f>IF(AND(ISNUMBER(G938),ISNUMBER(H938),G938&gt;0),H938/G938,"")</f>
        <v/>
      </c>
      <c r="J938" s="15" t="n"/>
      <c r="K938" s="15" t="n"/>
      <c r="L938" s="17">
        <f>IF(A938="","",TEXT(A938,"yyyy-mm"))</f>
        <v/>
      </c>
      <c r="M938" s="17">
        <f>IF(AND(A938&lt;&gt;"",J938="Pending"),TODAY()-A938,"")</f>
        <v/>
      </c>
    </row>
    <row r="939">
      <c r="A939" s="16" t="n"/>
      <c r="B939" s="15" t="n"/>
      <c r="C939" s="15" t="n"/>
      <c r="D939" s="17">
        <f>IF($C939="","",IFERROR(INDEX(สินค้า!$A$5:$A$204,MATCH($C939,สินค้า!$B$5:$B$204,0)),"ไม่พบสินค้า"))</f>
        <v/>
      </c>
      <c r="E939" s="17">
        <f>IF($C939="","",IFERROR(INDEX(สินค้า!$C$5:$C$204,MATCH($C939,สินค้า!$B$5:$B$204,0)),"ไม่พบสินค้า"))</f>
        <v/>
      </c>
      <c r="F939" s="17">
        <f>IF($C939="","",IFERROR(INDEX(สินค้า!$D$5:$D$204,MATCH($C939,สินค้า!$B$5:$B$204,0)),"ไม่พบสินค้า"))</f>
        <v/>
      </c>
      <c r="G939" s="15" t="n"/>
      <c r="H939" s="15" t="n"/>
      <c r="I939" s="18">
        <f>IF(AND(ISNUMBER(G939),ISNUMBER(H939),G939&gt;0),H939/G939,"")</f>
        <v/>
      </c>
      <c r="J939" s="15" t="n"/>
      <c r="K939" s="15" t="n"/>
      <c r="L939" s="17">
        <f>IF(A939="","",TEXT(A939,"yyyy-mm"))</f>
        <v/>
      </c>
      <c r="M939" s="17">
        <f>IF(AND(A939&lt;&gt;"",J939="Pending"),TODAY()-A939,"")</f>
        <v/>
      </c>
    </row>
    <row r="940">
      <c r="A940" s="16" t="n"/>
      <c r="B940" s="15" t="n"/>
      <c r="C940" s="15" t="n"/>
      <c r="D940" s="17">
        <f>IF($C940="","",IFERROR(INDEX(สินค้า!$A$5:$A$204,MATCH($C940,สินค้า!$B$5:$B$204,0)),"ไม่พบสินค้า"))</f>
        <v/>
      </c>
      <c r="E940" s="17">
        <f>IF($C940="","",IFERROR(INDEX(สินค้า!$C$5:$C$204,MATCH($C940,สินค้า!$B$5:$B$204,0)),"ไม่พบสินค้า"))</f>
        <v/>
      </c>
      <c r="F940" s="17">
        <f>IF($C940="","",IFERROR(INDEX(สินค้า!$D$5:$D$204,MATCH($C940,สินค้า!$B$5:$B$204,0)),"ไม่พบสินค้า"))</f>
        <v/>
      </c>
      <c r="G940" s="15" t="n"/>
      <c r="H940" s="15" t="n"/>
      <c r="I940" s="18">
        <f>IF(AND(ISNUMBER(G940),ISNUMBER(H940),G940&gt;0),H940/G940,"")</f>
        <v/>
      </c>
      <c r="J940" s="15" t="n"/>
      <c r="K940" s="15" t="n"/>
      <c r="L940" s="17">
        <f>IF(A940="","",TEXT(A940,"yyyy-mm"))</f>
        <v/>
      </c>
      <c r="M940" s="17">
        <f>IF(AND(A940&lt;&gt;"",J940="Pending"),TODAY()-A940,"")</f>
        <v/>
      </c>
    </row>
    <row r="941">
      <c r="A941" s="16" t="n"/>
      <c r="B941" s="15" t="n"/>
      <c r="C941" s="15" t="n"/>
      <c r="D941" s="17">
        <f>IF($C941="","",IFERROR(INDEX(สินค้า!$A$5:$A$204,MATCH($C941,สินค้า!$B$5:$B$204,0)),"ไม่พบสินค้า"))</f>
        <v/>
      </c>
      <c r="E941" s="17">
        <f>IF($C941="","",IFERROR(INDEX(สินค้า!$C$5:$C$204,MATCH($C941,สินค้า!$B$5:$B$204,0)),"ไม่พบสินค้า"))</f>
        <v/>
      </c>
      <c r="F941" s="17">
        <f>IF($C941="","",IFERROR(INDEX(สินค้า!$D$5:$D$204,MATCH($C941,สินค้า!$B$5:$B$204,0)),"ไม่พบสินค้า"))</f>
        <v/>
      </c>
      <c r="G941" s="15" t="n"/>
      <c r="H941" s="15" t="n"/>
      <c r="I941" s="18">
        <f>IF(AND(ISNUMBER(G941),ISNUMBER(H941),G941&gt;0),H941/G941,"")</f>
        <v/>
      </c>
      <c r="J941" s="15" t="n"/>
      <c r="K941" s="15" t="n"/>
      <c r="L941" s="17">
        <f>IF(A941="","",TEXT(A941,"yyyy-mm"))</f>
        <v/>
      </c>
      <c r="M941" s="17">
        <f>IF(AND(A941&lt;&gt;"",J941="Pending"),TODAY()-A941,"")</f>
        <v/>
      </c>
    </row>
    <row r="942">
      <c r="A942" s="16" t="n"/>
      <c r="B942" s="15" t="n"/>
      <c r="C942" s="15" t="n"/>
      <c r="D942" s="17">
        <f>IF($C942="","",IFERROR(INDEX(สินค้า!$A$5:$A$204,MATCH($C942,สินค้า!$B$5:$B$204,0)),"ไม่พบสินค้า"))</f>
        <v/>
      </c>
      <c r="E942" s="17">
        <f>IF($C942="","",IFERROR(INDEX(สินค้า!$C$5:$C$204,MATCH($C942,สินค้า!$B$5:$B$204,0)),"ไม่พบสินค้า"))</f>
        <v/>
      </c>
      <c r="F942" s="17">
        <f>IF($C942="","",IFERROR(INDEX(สินค้า!$D$5:$D$204,MATCH($C942,สินค้า!$B$5:$B$204,0)),"ไม่พบสินค้า"))</f>
        <v/>
      </c>
      <c r="G942" s="15" t="n"/>
      <c r="H942" s="15" t="n"/>
      <c r="I942" s="18">
        <f>IF(AND(ISNUMBER(G942),ISNUMBER(H942),G942&gt;0),H942/G942,"")</f>
        <v/>
      </c>
      <c r="J942" s="15" t="n"/>
      <c r="K942" s="15" t="n"/>
      <c r="L942" s="17">
        <f>IF(A942="","",TEXT(A942,"yyyy-mm"))</f>
        <v/>
      </c>
      <c r="M942" s="17">
        <f>IF(AND(A942&lt;&gt;"",J942="Pending"),TODAY()-A942,"")</f>
        <v/>
      </c>
    </row>
    <row r="943">
      <c r="A943" s="16" t="n"/>
      <c r="B943" s="15" t="n"/>
      <c r="C943" s="15" t="n"/>
      <c r="D943" s="17">
        <f>IF($C943="","",IFERROR(INDEX(สินค้า!$A$5:$A$204,MATCH($C943,สินค้า!$B$5:$B$204,0)),"ไม่พบสินค้า"))</f>
        <v/>
      </c>
      <c r="E943" s="17">
        <f>IF($C943="","",IFERROR(INDEX(สินค้า!$C$5:$C$204,MATCH($C943,สินค้า!$B$5:$B$204,0)),"ไม่พบสินค้า"))</f>
        <v/>
      </c>
      <c r="F943" s="17">
        <f>IF($C943="","",IFERROR(INDEX(สินค้า!$D$5:$D$204,MATCH($C943,สินค้า!$B$5:$B$204,0)),"ไม่พบสินค้า"))</f>
        <v/>
      </c>
      <c r="G943" s="15" t="n"/>
      <c r="H943" s="15" t="n"/>
      <c r="I943" s="18">
        <f>IF(AND(ISNUMBER(G943),ISNUMBER(H943),G943&gt;0),H943/G943,"")</f>
        <v/>
      </c>
      <c r="J943" s="15" t="n"/>
      <c r="K943" s="15" t="n"/>
      <c r="L943" s="17">
        <f>IF(A943="","",TEXT(A943,"yyyy-mm"))</f>
        <v/>
      </c>
      <c r="M943" s="17">
        <f>IF(AND(A943&lt;&gt;"",J943="Pending"),TODAY()-A943,"")</f>
        <v/>
      </c>
    </row>
    <row r="944">
      <c r="A944" s="16" t="n"/>
      <c r="B944" s="15" t="n"/>
      <c r="C944" s="15" t="n"/>
      <c r="D944" s="17">
        <f>IF($C944="","",IFERROR(INDEX(สินค้า!$A$5:$A$204,MATCH($C944,สินค้า!$B$5:$B$204,0)),"ไม่พบสินค้า"))</f>
        <v/>
      </c>
      <c r="E944" s="17">
        <f>IF($C944="","",IFERROR(INDEX(สินค้า!$C$5:$C$204,MATCH($C944,สินค้า!$B$5:$B$204,0)),"ไม่พบสินค้า"))</f>
        <v/>
      </c>
      <c r="F944" s="17">
        <f>IF($C944="","",IFERROR(INDEX(สินค้า!$D$5:$D$204,MATCH($C944,สินค้า!$B$5:$B$204,0)),"ไม่พบสินค้า"))</f>
        <v/>
      </c>
      <c r="G944" s="15" t="n"/>
      <c r="H944" s="15" t="n"/>
      <c r="I944" s="18">
        <f>IF(AND(ISNUMBER(G944),ISNUMBER(H944),G944&gt;0),H944/G944,"")</f>
        <v/>
      </c>
      <c r="J944" s="15" t="n"/>
      <c r="K944" s="15" t="n"/>
      <c r="L944" s="17">
        <f>IF(A944="","",TEXT(A944,"yyyy-mm"))</f>
        <v/>
      </c>
      <c r="M944" s="17">
        <f>IF(AND(A944&lt;&gt;"",J944="Pending"),TODAY()-A944,"")</f>
        <v/>
      </c>
    </row>
    <row r="945">
      <c r="A945" s="16" t="n"/>
      <c r="B945" s="15" t="n"/>
      <c r="C945" s="15" t="n"/>
      <c r="D945" s="17">
        <f>IF($C945="","",IFERROR(INDEX(สินค้า!$A$5:$A$204,MATCH($C945,สินค้า!$B$5:$B$204,0)),"ไม่พบสินค้า"))</f>
        <v/>
      </c>
      <c r="E945" s="17">
        <f>IF($C945="","",IFERROR(INDEX(สินค้า!$C$5:$C$204,MATCH($C945,สินค้า!$B$5:$B$204,0)),"ไม่พบสินค้า"))</f>
        <v/>
      </c>
      <c r="F945" s="17">
        <f>IF($C945="","",IFERROR(INDEX(สินค้า!$D$5:$D$204,MATCH($C945,สินค้า!$B$5:$B$204,0)),"ไม่พบสินค้า"))</f>
        <v/>
      </c>
      <c r="G945" s="15" t="n"/>
      <c r="H945" s="15" t="n"/>
      <c r="I945" s="18">
        <f>IF(AND(ISNUMBER(G945),ISNUMBER(H945),G945&gt;0),H945/G945,"")</f>
        <v/>
      </c>
      <c r="J945" s="15" t="n"/>
      <c r="K945" s="15" t="n"/>
      <c r="L945" s="17">
        <f>IF(A945="","",TEXT(A945,"yyyy-mm"))</f>
        <v/>
      </c>
      <c r="M945" s="17">
        <f>IF(AND(A945&lt;&gt;"",J945="Pending"),TODAY()-A945,"")</f>
        <v/>
      </c>
    </row>
    <row r="946">
      <c r="A946" s="16" t="n"/>
      <c r="B946" s="15" t="n"/>
      <c r="C946" s="15" t="n"/>
      <c r="D946" s="17">
        <f>IF($C946="","",IFERROR(INDEX(สินค้า!$A$5:$A$204,MATCH($C946,สินค้า!$B$5:$B$204,0)),"ไม่พบสินค้า"))</f>
        <v/>
      </c>
      <c r="E946" s="17">
        <f>IF($C946="","",IFERROR(INDEX(สินค้า!$C$5:$C$204,MATCH($C946,สินค้า!$B$5:$B$204,0)),"ไม่พบสินค้า"))</f>
        <v/>
      </c>
      <c r="F946" s="17">
        <f>IF($C946="","",IFERROR(INDEX(สินค้า!$D$5:$D$204,MATCH($C946,สินค้า!$B$5:$B$204,0)),"ไม่พบสินค้า"))</f>
        <v/>
      </c>
      <c r="G946" s="15" t="n"/>
      <c r="H946" s="15" t="n"/>
      <c r="I946" s="18">
        <f>IF(AND(ISNUMBER(G946),ISNUMBER(H946),G946&gt;0),H946/G946,"")</f>
        <v/>
      </c>
      <c r="J946" s="15" t="n"/>
      <c r="K946" s="15" t="n"/>
      <c r="L946" s="17">
        <f>IF(A946="","",TEXT(A946,"yyyy-mm"))</f>
        <v/>
      </c>
      <c r="M946" s="17">
        <f>IF(AND(A946&lt;&gt;"",J946="Pending"),TODAY()-A946,"")</f>
        <v/>
      </c>
    </row>
    <row r="947">
      <c r="A947" s="16" t="n"/>
      <c r="B947" s="15" t="n"/>
      <c r="C947" s="15" t="n"/>
      <c r="D947" s="17">
        <f>IF($C947="","",IFERROR(INDEX(สินค้า!$A$5:$A$204,MATCH($C947,สินค้า!$B$5:$B$204,0)),"ไม่พบสินค้า"))</f>
        <v/>
      </c>
      <c r="E947" s="17">
        <f>IF($C947="","",IFERROR(INDEX(สินค้า!$C$5:$C$204,MATCH($C947,สินค้า!$B$5:$B$204,0)),"ไม่พบสินค้า"))</f>
        <v/>
      </c>
      <c r="F947" s="17">
        <f>IF($C947="","",IFERROR(INDEX(สินค้า!$D$5:$D$204,MATCH($C947,สินค้า!$B$5:$B$204,0)),"ไม่พบสินค้า"))</f>
        <v/>
      </c>
      <c r="G947" s="15" t="n"/>
      <c r="H947" s="15" t="n"/>
      <c r="I947" s="18">
        <f>IF(AND(ISNUMBER(G947),ISNUMBER(H947),G947&gt;0),H947/G947,"")</f>
        <v/>
      </c>
      <c r="J947" s="15" t="n"/>
      <c r="K947" s="15" t="n"/>
      <c r="L947" s="17">
        <f>IF(A947="","",TEXT(A947,"yyyy-mm"))</f>
        <v/>
      </c>
      <c r="M947" s="17">
        <f>IF(AND(A947&lt;&gt;"",J947="Pending"),TODAY()-A947,"")</f>
        <v/>
      </c>
    </row>
    <row r="948">
      <c r="A948" s="16" t="n"/>
      <c r="B948" s="15" t="n"/>
      <c r="C948" s="15" t="n"/>
      <c r="D948" s="17">
        <f>IF($C948="","",IFERROR(INDEX(สินค้า!$A$5:$A$204,MATCH($C948,สินค้า!$B$5:$B$204,0)),"ไม่พบสินค้า"))</f>
        <v/>
      </c>
      <c r="E948" s="17">
        <f>IF($C948="","",IFERROR(INDEX(สินค้า!$C$5:$C$204,MATCH($C948,สินค้า!$B$5:$B$204,0)),"ไม่พบสินค้า"))</f>
        <v/>
      </c>
      <c r="F948" s="17">
        <f>IF($C948="","",IFERROR(INDEX(สินค้า!$D$5:$D$204,MATCH($C948,สินค้า!$B$5:$B$204,0)),"ไม่พบสินค้า"))</f>
        <v/>
      </c>
      <c r="G948" s="15" t="n"/>
      <c r="H948" s="15" t="n"/>
      <c r="I948" s="18">
        <f>IF(AND(ISNUMBER(G948),ISNUMBER(H948),G948&gt;0),H948/G948,"")</f>
        <v/>
      </c>
      <c r="J948" s="15" t="n"/>
      <c r="K948" s="15" t="n"/>
      <c r="L948" s="17">
        <f>IF(A948="","",TEXT(A948,"yyyy-mm"))</f>
        <v/>
      </c>
      <c r="M948" s="17">
        <f>IF(AND(A948&lt;&gt;"",J948="Pending"),TODAY()-A948,"")</f>
        <v/>
      </c>
    </row>
    <row r="949">
      <c r="A949" s="16" t="n"/>
      <c r="B949" s="15" t="n"/>
      <c r="C949" s="15" t="n"/>
      <c r="D949" s="17">
        <f>IF($C949="","",IFERROR(INDEX(สินค้า!$A$5:$A$204,MATCH($C949,สินค้า!$B$5:$B$204,0)),"ไม่พบสินค้า"))</f>
        <v/>
      </c>
      <c r="E949" s="17">
        <f>IF($C949="","",IFERROR(INDEX(สินค้า!$C$5:$C$204,MATCH($C949,สินค้า!$B$5:$B$204,0)),"ไม่พบสินค้า"))</f>
        <v/>
      </c>
      <c r="F949" s="17">
        <f>IF($C949="","",IFERROR(INDEX(สินค้า!$D$5:$D$204,MATCH($C949,สินค้า!$B$5:$B$204,0)),"ไม่พบสินค้า"))</f>
        <v/>
      </c>
      <c r="G949" s="15" t="n"/>
      <c r="H949" s="15" t="n"/>
      <c r="I949" s="18">
        <f>IF(AND(ISNUMBER(G949),ISNUMBER(H949),G949&gt;0),H949/G949,"")</f>
        <v/>
      </c>
      <c r="J949" s="15" t="n"/>
      <c r="K949" s="15" t="n"/>
      <c r="L949" s="17">
        <f>IF(A949="","",TEXT(A949,"yyyy-mm"))</f>
        <v/>
      </c>
      <c r="M949" s="17">
        <f>IF(AND(A949&lt;&gt;"",J949="Pending"),TODAY()-A949,"")</f>
        <v/>
      </c>
    </row>
    <row r="950">
      <c r="A950" s="16" t="n"/>
      <c r="B950" s="15" t="n"/>
      <c r="C950" s="15" t="n"/>
      <c r="D950" s="17">
        <f>IF($C950="","",IFERROR(INDEX(สินค้า!$A$5:$A$204,MATCH($C950,สินค้า!$B$5:$B$204,0)),"ไม่พบสินค้า"))</f>
        <v/>
      </c>
      <c r="E950" s="17">
        <f>IF($C950="","",IFERROR(INDEX(สินค้า!$C$5:$C$204,MATCH($C950,สินค้า!$B$5:$B$204,0)),"ไม่พบสินค้า"))</f>
        <v/>
      </c>
      <c r="F950" s="17">
        <f>IF($C950="","",IFERROR(INDEX(สินค้า!$D$5:$D$204,MATCH($C950,สินค้า!$B$5:$B$204,0)),"ไม่พบสินค้า"))</f>
        <v/>
      </c>
      <c r="G950" s="15" t="n"/>
      <c r="H950" s="15" t="n"/>
      <c r="I950" s="18">
        <f>IF(AND(ISNUMBER(G950),ISNUMBER(H950),G950&gt;0),H950/G950,"")</f>
        <v/>
      </c>
      <c r="J950" s="15" t="n"/>
      <c r="K950" s="15" t="n"/>
      <c r="L950" s="17">
        <f>IF(A950="","",TEXT(A950,"yyyy-mm"))</f>
        <v/>
      </c>
      <c r="M950" s="17">
        <f>IF(AND(A950&lt;&gt;"",J950="Pending"),TODAY()-A950,"")</f>
        <v/>
      </c>
    </row>
    <row r="951">
      <c r="A951" s="16" t="n"/>
      <c r="B951" s="15" t="n"/>
      <c r="C951" s="15" t="n"/>
      <c r="D951" s="17">
        <f>IF($C951="","",IFERROR(INDEX(สินค้า!$A$5:$A$204,MATCH($C951,สินค้า!$B$5:$B$204,0)),"ไม่พบสินค้า"))</f>
        <v/>
      </c>
      <c r="E951" s="17">
        <f>IF($C951="","",IFERROR(INDEX(สินค้า!$C$5:$C$204,MATCH($C951,สินค้า!$B$5:$B$204,0)),"ไม่พบสินค้า"))</f>
        <v/>
      </c>
      <c r="F951" s="17">
        <f>IF($C951="","",IFERROR(INDEX(สินค้า!$D$5:$D$204,MATCH($C951,สินค้า!$B$5:$B$204,0)),"ไม่พบสินค้า"))</f>
        <v/>
      </c>
      <c r="G951" s="15" t="n"/>
      <c r="H951" s="15" t="n"/>
      <c r="I951" s="18">
        <f>IF(AND(ISNUMBER(G951),ISNUMBER(H951),G951&gt;0),H951/G951,"")</f>
        <v/>
      </c>
      <c r="J951" s="15" t="n"/>
      <c r="K951" s="15" t="n"/>
      <c r="L951" s="17">
        <f>IF(A951="","",TEXT(A951,"yyyy-mm"))</f>
        <v/>
      </c>
      <c r="M951" s="17">
        <f>IF(AND(A951&lt;&gt;"",J951="Pending"),TODAY()-A951,"")</f>
        <v/>
      </c>
    </row>
    <row r="952">
      <c r="A952" s="16" t="n"/>
      <c r="B952" s="15" t="n"/>
      <c r="C952" s="15" t="n"/>
      <c r="D952" s="17">
        <f>IF($C952="","",IFERROR(INDEX(สินค้า!$A$5:$A$204,MATCH($C952,สินค้า!$B$5:$B$204,0)),"ไม่พบสินค้า"))</f>
        <v/>
      </c>
      <c r="E952" s="17">
        <f>IF($C952="","",IFERROR(INDEX(สินค้า!$C$5:$C$204,MATCH($C952,สินค้า!$B$5:$B$204,0)),"ไม่พบสินค้า"))</f>
        <v/>
      </c>
      <c r="F952" s="17">
        <f>IF($C952="","",IFERROR(INDEX(สินค้า!$D$5:$D$204,MATCH($C952,สินค้า!$B$5:$B$204,0)),"ไม่พบสินค้า"))</f>
        <v/>
      </c>
      <c r="G952" s="15" t="n"/>
      <c r="H952" s="15" t="n"/>
      <c r="I952" s="18">
        <f>IF(AND(ISNUMBER(G952),ISNUMBER(H952),G952&gt;0),H952/G952,"")</f>
        <v/>
      </c>
      <c r="J952" s="15" t="n"/>
      <c r="K952" s="15" t="n"/>
      <c r="L952" s="17">
        <f>IF(A952="","",TEXT(A952,"yyyy-mm"))</f>
        <v/>
      </c>
      <c r="M952" s="17">
        <f>IF(AND(A952&lt;&gt;"",J952="Pending"),TODAY()-A952,"")</f>
        <v/>
      </c>
    </row>
    <row r="953">
      <c r="A953" s="16" t="n"/>
      <c r="B953" s="15" t="n"/>
      <c r="C953" s="15" t="n"/>
      <c r="D953" s="17">
        <f>IF($C953="","",IFERROR(INDEX(สินค้า!$A$5:$A$204,MATCH($C953,สินค้า!$B$5:$B$204,0)),"ไม่พบสินค้า"))</f>
        <v/>
      </c>
      <c r="E953" s="17">
        <f>IF($C953="","",IFERROR(INDEX(สินค้า!$C$5:$C$204,MATCH($C953,สินค้า!$B$5:$B$204,0)),"ไม่พบสินค้า"))</f>
        <v/>
      </c>
      <c r="F953" s="17">
        <f>IF($C953="","",IFERROR(INDEX(สินค้า!$D$5:$D$204,MATCH($C953,สินค้า!$B$5:$B$204,0)),"ไม่พบสินค้า"))</f>
        <v/>
      </c>
      <c r="G953" s="15" t="n"/>
      <c r="H953" s="15" t="n"/>
      <c r="I953" s="18">
        <f>IF(AND(ISNUMBER(G953),ISNUMBER(H953),G953&gt;0),H953/G953,"")</f>
        <v/>
      </c>
      <c r="J953" s="15" t="n"/>
      <c r="K953" s="15" t="n"/>
      <c r="L953" s="17">
        <f>IF(A953="","",TEXT(A953,"yyyy-mm"))</f>
        <v/>
      </c>
      <c r="M953" s="17">
        <f>IF(AND(A953&lt;&gt;"",J953="Pending"),TODAY()-A953,"")</f>
        <v/>
      </c>
    </row>
    <row r="954">
      <c r="A954" s="16" t="n"/>
      <c r="B954" s="15" t="n"/>
      <c r="C954" s="15" t="n"/>
      <c r="D954" s="17">
        <f>IF($C954="","",IFERROR(INDEX(สินค้า!$A$5:$A$204,MATCH($C954,สินค้า!$B$5:$B$204,0)),"ไม่พบสินค้า"))</f>
        <v/>
      </c>
      <c r="E954" s="17">
        <f>IF($C954="","",IFERROR(INDEX(สินค้า!$C$5:$C$204,MATCH($C954,สินค้า!$B$5:$B$204,0)),"ไม่พบสินค้า"))</f>
        <v/>
      </c>
      <c r="F954" s="17">
        <f>IF($C954="","",IFERROR(INDEX(สินค้า!$D$5:$D$204,MATCH($C954,สินค้า!$B$5:$B$204,0)),"ไม่พบสินค้า"))</f>
        <v/>
      </c>
      <c r="G954" s="15" t="n"/>
      <c r="H954" s="15" t="n"/>
      <c r="I954" s="18">
        <f>IF(AND(ISNUMBER(G954),ISNUMBER(H954),G954&gt;0),H954/G954,"")</f>
        <v/>
      </c>
      <c r="J954" s="15" t="n"/>
      <c r="K954" s="15" t="n"/>
      <c r="L954" s="17">
        <f>IF(A954="","",TEXT(A954,"yyyy-mm"))</f>
        <v/>
      </c>
      <c r="M954" s="17">
        <f>IF(AND(A954&lt;&gt;"",J954="Pending"),TODAY()-A954,"")</f>
        <v/>
      </c>
    </row>
    <row r="955">
      <c r="A955" s="16" t="n"/>
      <c r="B955" s="15" t="n"/>
      <c r="C955" s="15" t="n"/>
      <c r="D955" s="17">
        <f>IF($C955="","",IFERROR(INDEX(สินค้า!$A$5:$A$204,MATCH($C955,สินค้า!$B$5:$B$204,0)),"ไม่พบสินค้า"))</f>
        <v/>
      </c>
      <c r="E955" s="17">
        <f>IF($C955="","",IFERROR(INDEX(สินค้า!$C$5:$C$204,MATCH($C955,สินค้า!$B$5:$B$204,0)),"ไม่พบสินค้า"))</f>
        <v/>
      </c>
      <c r="F955" s="17">
        <f>IF($C955="","",IFERROR(INDEX(สินค้า!$D$5:$D$204,MATCH($C955,สินค้า!$B$5:$B$204,0)),"ไม่พบสินค้า"))</f>
        <v/>
      </c>
      <c r="G955" s="15" t="n"/>
      <c r="H955" s="15" t="n"/>
      <c r="I955" s="18">
        <f>IF(AND(ISNUMBER(G955),ISNUMBER(H955),G955&gt;0),H955/G955,"")</f>
        <v/>
      </c>
      <c r="J955" s="15" t="n"/>
      <c r="K955" s="15" t="n"/>
      <c r="L955" s="17">
        <f>IF(A955="","",TEXT(A955,"yyyy-mm"))</f>
        <v/>
      </c>
      <c r="M955" s="17">
        <f>IF(AND(A955&lt;&gt;"",J955="Pending"),TODAY()-A955,"")</f>
        <v/>
      </c>
    </row>
    <row r="956">
      <c r="A956" s="16" t="n"/>
      <c r="B956" s="15" t="n"/>
      <c r="C956" s="15" t="n"/>
      <c r="D956" s="17">
        <f>IF($C956="","",IFERROR(INDEX(สินค้า!$A$5:$A$204,MATCH($C956,สินค้า!$B$5:$B$204,0)),"ไม่พบสินค้า"))</f>
        <v/>
      </c>
      <c r="E956" s="17">
        <f>IF($C956="","",IFERROR(INDEX(สินค้า!$C$5:$C$204,MATCH($C956,สินค้า!$B$5:$B$204,0)),"ไม่พบสินค้า"))</f>
        <v/>
      </c>
      <c r="F956" s="17">
        <f>IF($C956="","",IFERROR(INDEX(สินค้า!$D$5:$D$204,MATCH($C956,สินค้า!$B$5:$B$204,0)),"ไม่พบสินค้า"))</f>
        <v/>
      </c>
      <c r="G956" s="15" t="n"/>
      <c r="H956" s="15" t="n"/>
      <c r="I956" s="18">
        <f>IF(AND(ISNUMBER(G956),ISNUMBER(H956),G956&gt;0),H956/G956,"")</f>
        <v/>
      </c>
      <c r="J956" s="15" t="n"/>
      <c r="K956" s="15" t="n"/>
      <c r="L956" s="17">
        <f>IF(A956="","",TEXT(A956,"yyyy-mm"))</f>
        <v/>
      </c>
      <c r="M956" s="17">
        <f>IF(AND(A956&lt;&gt;"",J956="Pending"),TODAY()-A956,"")</f>
        <v/>
      </c>
    </row>
    <row r="957">
      <c r="A957" s="16" t="n"/>
      <c r="B957" s="15" t="n"/>
      <c r="C957" s="15" t="n"/>
      <c r="D957" s="17">
        <f>IF($C957="","",IFERROR(INDEX(สินค้า!$A$5:$A$204,MATCH($C957,สินค้า!$B$5:$B$204,0)),"ไม่พบสินค้า"))</f>
        <v/>
      </c>
      <c r="E957" s="17">
        <f>IF($C957="","",IFERROR(INDEX(สินค้า!$C$5:$C$204,MATCH($C957,สินค้า!$B$5:$B$204,0)),"ไม่พบสินค้า"))</f>
        <v/>
      </c>
      <c r="F957" s="17">
        <f>IF($C957="","",IFERROR(INDEX(สินค้า!$D$5:$D$204,MATCH($C957,สินค้า!$B$5:$B$204,0)),"ไม่พบสินค้า"))</f>
        <v/>
      </c>
      <c r="G957" s="15" t="n"/>
      <c r="H957" s="15" t="n"/>
      <c r="I957" s="18">
        <f>IF(AND(ISNUMBER(G957),ISNUMBER(H957),G957&gt;0),H957/G957,"")</f>
        <v/>
      </c>
      <c r="J957" s="15" t="n"/>
      <c r="K957" s="15" t="n"/>
      <c r="L957" s="17">
        <f>IF(A957="","",TEXT(A957,"yyyy-mm"))</f>
        <v/>
      </c>
      <c r="M957" s="17">
        <f>IF(AND(A957&lt;&gt;"",J957="Pending"),TODAY()-A957,"")</f>
        <v/>
      </c>
    </row>
    <row r="958">
      <c r="A958" s="16" t="n"/>
      <c r="B958" s="15" t="n"/>
      <c r="C958" s="15" t="n"/>
      <c r="D958" s="17">
        <f>IF($C958="","",IFERROR(INDEX(สินค้า!$A$5:$A$204,MATCH($C958,สินค้า!$B$5:$B$204,0)),"ไม่พบสินค้า"))</f>
        <v/>
      </c>
      <c r="E958" s="17">
        <f>IF($C958="","",IFERROR(INDEX(สินค้า!$C$5:$C$204,MATCH($C958,สินค้า!$B$5:$B$204,0)),"ไม่พบสินค้า"))</f>
        <v/>
      </c>
      <c r="F958" s="17">
        <f>IF($C958="","",IFERROR(INDEX(สินค้า!$D$5:$D$204,MATCH($C958,สินค้า!$B$5:$B$204,0)),"ไม่พบสินค้า"))</f>
        <v/>
      </c>
      <c r="G958" s="15" t="n"/>
      <c r="H958" s="15" t="n"/>
      <c r="I958" s="18">
        <f>IF(AND(ISNUMBER(G958),ISNUMBER(H958),G958&gt;0),H958/G958,"")</f>
        <v/>
      </c>
      <c r="J958" s="15" t="n"/>
      <c r="K958" s="15" t="n"/>
      <c r="L958" s="17">
        <f>IF(A958="","",TEXT(A958,"yyyy-mm"))</f>
        <v/>
      </c>
      <c r="M958" s="17">
        <f>IF(AND(A958&lt;&gt;"",J958="Pending"),TODAY()-A958,"")</f>
        <v/>
      </c>
    </row>
    <row r="959">
      <c r="A959" s="16" t="n"/>
      <c r="B959" s="15" t="n"/>
      <c r="C959" s="15" t="n"/>
      <c r="D959" s="17">
        <f>IF($C959="","",IFERROR(INDEX(สินค้า!$A$5:$A$204,MATCH($C959,สินค้า!$B$5:$B$204,0)),"ไม่พบสินค้า"))</f>
        <v/>
      </c>
      <c r="E959" s="17">
        <f>IF($C959="","",IFERROR(INDEX(สินค้า!$C$5:$C$204,MATCH($C959,สินค้า!$B$5:$B$204,0)),"ไม่พบสินค้า"))</f>
        <v/>
      </c>
      <c r="F959" s="17">
        <f>IF($C959="","",IFERROR(INDEX(สินค้า!$D$5:$D$204,MATCH($C959,สินค้า!$B$5:$B$204,0)),"ไม่พบสินค้า"))</f>
        <v/>
      </c>
      <c r="G959" s="15" t="n"/>
      <c r="H959" s="15" t="n"/>
      <c r="I959" s="18">
        <f>IF(AND(ISNUMBER(G959),ISNUMBER(H959),G959&gt;0),H959/G959,"")</f>
        <v/>
      </c>
      <c r="J959" s="15" t="n"/>
      <c r="K959" s="15" t="n"/>
      <c r="L959" s="17">
        <f>IF(A959="","",TEXT(A959,"yyyy-mm"))</f>
        <v/>
      </c>
      <c r="M959" s="17">
        <f>IF(AND(A959&lt;&gt;"",J959="Pending"),TODAY()-A959,"")</f>
        <v/>
      </c>
    </row>
    <row r="960">
      <c r="A960" s="16" t="n"/>
      <c r="B960" s="15" t="n"/>
      <c r="C960" s="15" t="n"/>
      <c r="D960" s="17">
        <f>IF($C960="","",IFERROR(INDEX(สินค้า!$A$5:$A$204,MATCH($C960,สินค้า!$B$5:$B$204,0)),"ไม่พบสินค้า"))</f>
        <v/>
      </c>
      <c r="E960" s="17">
        <f>IF($C960="","",IFERROR(INDEX(สินค้า!$C$5:$C$204,MATCH($C960,สินค้า!$B$5:$B$204,0)),"ไม่พบสินค้า"))</f>
        <v/>
      </c>
      <c r="F960" s="17">
        <f>IF($C960="","",IFERROR(INDEX(สินค้า!$D$5:$D$204,MATCH($C960,สินค้า!$B$5:$B$204,0)),"ไม่พบสินค้า"))</f>
        <v/>
      </c>
      <c r="G960" s="15" t="n"/>
      <c r="H960" s="15" t="n"/>
      <c r="I960" s="18">
        <f>IF(AND(ISNUMBER(G960),ISNUMBER(H960),G960&gt;0),H960/G960,"")</f>
        <v/>
      </c>
      <c r="J960" s="15" t="n"/>
      <c r="K960" s="15" t="n"/>
      <c r="L960" s="17">
        <f>IF(A960="","",TEXT(A960,"yyyy-mm"))</f>
        <v/>
      </c>
      <c r="M960" s="17">
        <f>IF(AND(A960&lt;&gt;"",J960="Pending"),TODAY()-A960,"")</f>
        <v/>
      </c>
    </row>
    <row r="961">
      <c r="A961" s="16" t="n"/>
      <c r="B961" s="15" t="n"/>
      <c r="C961" s="15" t="n"/>
      <c r="D961" s="17">
        <f>IF($C961="","",IFERROR(INDEX(สินค้า!$A$5:$A$204,MATCH($C961,สินค้า!$B$5:$B$204,0)),"ไม่พบสินค้า"))</f>
        <v/>
      </c>
      <c r="E961" s="17">
        <f>IF($C961="","",IFERROR(INDEX(สินค้า!$C$5:$C$204,MATCH($C961,สินค้า!$B$5:$B$204,0)),"ไม่พบสินค้า"))</f>
        <v/>
      </c>
      <c r="F961" s="17">
        <f>IF($C961="","",IFERROR(INDEX(สินค้า!$D$5:$D$204,MATCH($C961,สินค้า!$B$5:$B$204,0)),"ไม่พบสินค้า"))</f>
        <v/>
      </c>
      <c r="G961" s="15" t="n"/>
      <c r="H961" s="15" t="n"/>
      <c r="I961" s="18">
        <f>IF(AND(ISNUMBER(G961),ISNUMBER(H961),G961&gt;0),H961/G961,"")</f>
        <v/>
      </c>
      <c r="J961" s="15" t="n"/>
      <c r="K961" s="15" t="n"/>
      <c r="L961" s="17">
        <f>IF(A961="","",TEXT(A961,"yyyy-mm"))</f>
        <v/>
      </c>
      <c r="M961" s="17">
        <f>IF(AND(A961&lt;&gt;"",J961="Pending"),TODAY()-A961,"")</f>
        <v/>
      </c>
    </row>
    <row r="962">
      <c r="A962" s="16" t="n"/>
      <c r="B962" s="15" t="n"/>
      <c r="C962" s="15" t="n"/>
      <c r="D962" s="17">
        <f>IF($C962="","",IFERROR(INDEX(สินค้า!$A$5:$A$204,MATCH($C962,สินค้า!$B$5:$B$204,0)),"ไม่พบสินค้า"))</f>
        <v/>
      </c>
      <c r="E962" s="17">
        <f>IF($C962="","",IFERROR(INDEX(สินค้า!$C$5:$C$204,MATCH($C962,สินค้า!$B$5:$B$204,0)),"ไม่พบสินค้า"))</f>
        <v/>
      </c>
      <c r="F962" s="17">
        <f>IF($C962="","",IFERROR(INDEX(สินค้า!$D$5:$D$204,MATCH($C962,สินค้า!$B$5:$B$204,0)),"ไม่พบสินค้า"))</f>
        <v/>
      </c>
      <c r="G962" s="15" t="n"/>
      <c r="H962" s="15" t="n"/>
      <c r="I962" s="18">
        <f>IF(AND(ISNUMBER(G962),ISNUMBER(H962),G962&gt;0),H962/G962,"")</f>
        <v/>
      </c>
      <c r="J962" s="15" t="n"/>
      <c r="K962" s="15" t="n"/>
      <c r="L962" s="17">
        <f>IF(A962="","",TEXT(A962,"yyyy-mm"))</f>
        <v/>
      </c>
      <c r="M962" s="17">
        <f>IF(AND(A962&lt;&gt;"",J962="Pending"),TODAY()-A962,"")</f>
        <v/>
      </c>
    </row>
    <row r="963">
      <c r="A963" s="16" t="n"/>
      <c r="B963" s="15" t="n"/>
      <c r="C963" s="15" t="n"/>
      <c r="D963" s="17">
        <f>IF($C963="","",IFERROR(INDEX(สินค้า!$A$5:$A$204,MATCH($C963,สินค้า!$B$5:$B$204,0)),"ไม่พบสินค้า"))</f>
        <v/>
      </c>
      <c r="E963" s="17">
        <f>IF($C963="","",IFERROR(INDEX(สินค้า!$C$5:$C$204,MATCH($C963,สินค้า!$B$5:$B$204,0)),"ไม่พบสินค้า"))</f>
        <v/>
      </c>
      <c r="F963" s="17">
        <f>IF($C963="","",IFERROR(INDEX(สินค้า!$D$5:$D$204,MATCH($C963,สินค้า!$B$5:$B$204,0)),"ไม่พบสินค้า"))</f>
        <v/>
      </c>
      <c r="G963" s="15" t="n"/>
      <c r="H963" s="15" t="n"/>
      <c r="I963" s="18">
        <f>IF(AND(ISNUMBER(G963),ISNUMBER(H963),G963&gt;0),H963/G963,"")</f>
        <v/>
      </c>
      <c r="J963" s="15" t="n"/>
      <c r="K963" s="15" t="n"/>
      <c r="L963" s="17">
        <f>IF(A963="","",TEXT(A963,"yyyy-mm"))</f>
        <v/>
      </c>
      <c r="M963" s="17">
        <f>IF(AND(A963&lt;&gt;"",J963="Pending"),TODAY()-A963,"")</f>
        <v/>
      </c>
    </row>
    <row r="964">
      <c r="A964" s="16" t="n"/>
      <c r="B964" s="15" t="n"/>
      <c r="C964" s="15" t="n"/>
      <c r="D964" s="17">
        <f>IF($C964="","",IFERROR(INDEX(สินค้า!$A$5:$A$204,MATCH($C964,สินค้า!$B$5:$B$204,0)),"ไม่พบสินค้า"))</f>
        <v/>
      </c>
      <c r="E964" s="17">
        <f>IF($C964="","",IFERROR(INDEX(สินค้า!$C$5:$C$204,MATCH($C964,สินค้า!$B$5:$B$204,0)),"ไม่พบสินค้า"))</f>
        <v/>
      </c>
      <c r="F964" s="17">
        <f>IF($C964="","",IFERROR(INDEX(สินค้า!$D$5:$D$204,MATCH($C964,สินค้า!$B$5:$B$204,0)),"ไม่พบสินค้า"))</f>
        <v/>
      </c>
      <c r="G964" s="15" t="n"/>
      <c r="H964" s="15" t="n"/>
      <c r="I964" s="18">
        <f>IF(AND(ISNUMBER(G964),ISNUMBER(H964),G964&gt;0),H964/G964,"")</f>
        <v/>
      </c>
      <c r="J964" s="15" t="n"/>
      <c r="K964" s="15" t="n"/>
      <c r="L964" s="17">
        <f>IF(A964="","",TEXT(A964,"yyyy-mm"))</f>
        <v/>
      </c>
      <c r="M964" s="17">
        <f>IF(AND(A964&lt;&gt;"",J964="Pending"),TODAY()-A964,"")</f>
        <v/>
      </c>
    </row>
    <row r="965">
      <c r="A965" s="16" t="n"/>
      <c r="B965" s="15" t="n"/>
      <c r="C965" s="15" t="n"/>
      <c r="D965" s="17">
        <f>IF($C965="","",IFERROR(INDEX(สินค้า!$A$5:$A$204,MATCH($C965,สินค้า!$B$5:$B$204,0)),"ไม่พบสินค้า"))</f>
        <v/>
      </c>
      <c r="E965" s="17">
        <f>IF($C965="","",IFERROR(INDEX(สินค้า!$C$5:$C$204,MATCH($C965,สินค้า!$B$5:$B$204,0)),"ไม่พบสินค้า"))</f>
        <v/>
      </c>
      <c r="F965" s="17">
        <f>IF($C965="","",IFERROR(INDEX(สินค้า!$D$5:$D$204,MATCH($C965,สินค้า!$B$5:$B$204,0)),"ไม่พบสินค้า"))</f>
        <v/>
      </c>
      <c r="G965" s="15" t="n"/>
      <c r="H965" s="15" t="n"/>
      <c r="I965" s="18">
        <f>IF(AND(ISNUMBER(G965),ISNUMBER(H965),G965&gt;0),H965/G965,"")</f>
        <v/>
      </c>
      <c r="J965" s="15" t="n"/>
      <c r="K965" s="15" t="n"/>
      <c r="L965" s="17">
        <f>IF(A965="","",TEXT(A965,"yyyy-mm"))</f>
        <v/>
      </c>
      <c r="M965" s="17">
        <f>IF(AND(A965&lt;&gt;"",J965="Pending"),TODAY()-A965,"")</f>
        <v/>
      </c>
    </row>
    <row r="966">
      <c r="A966" s="16" t="n"/>
      <c r="B966" s="15" t="n"/>
      <c r="C966" s="15" t="n"/>
      <c r="D966" s="17">
        <f>IF($C966="","",IFERROR(INDEX(สินค้า!$A$5:$A$204,MATCH($C966,สินค้า!$B$5:$B$204,0)),"ไม่พบสินค้า"))</f>
        <v/>
      </c>
      <c r="E966" s="17">
        <f>IF($C966="","",IFERROR(INDEX(สินค้า!$C$5:$C$204,MATCH($C966,สินค้า!$B$5:$B$204,0)),"ไม่พบสินค้า"))</f>
        <v/>
      </c>
      <c r="F966" s="17">
        <f>IF($C966="","",IFERROR(INDEX(สินค้า!$D$5:$D$204,MATCH($C966,สินค้า!$B$5:$B$204,0)),"ไม่พบสินค้า"))</f>
        <v/>
      </c>
      <c r="G966" s="15" t="n"/>
      <c r="H966" s="15" t="n"/>
      <c r="I966" s="18">
        <f>IF(AND(ISNUMBER(G966),ISNUMBER(H966),G966&gt;0),H966/G966,"")</f>
        <v/>
      </c>
      <c r="J966" s="15" t="n"/>
      <c r="K966" s="15" t="n"/>
      <c r="L966" s="17">
        <f>IF(A966="","",TEXT(A966,"yyyy-mm"))</f>
        <v/>
      </c>
      <c r="M966" s="17">
        <f>IF(AND(A966&lt;&gt;"",J966="Pending"),TODAY()-A966,"")</f>
        <v/>
      </c>
    </row>
    <row r="967">
      <c r="A967" s="16" t="n"/>
      <c r="B967" s="15" t="n"/>
      <c r="C967" s="15" t="n"/>
      <c r="D967" s="17">
        <f>IF($C967="","",IFERROR(INDEX(สินค้า!$A$5:$A$204,MATCH($C967,สินค้า!$B$5:$B$204,0)),"ไม่พบสินค้า"))</f>
        <v/>
      </c>
      <c r="E967" s="17">
        <f>IF($C967="","",IFERROR(INDEX(สินค้า!$C$5:$C$204,MATCH($C967,สินค้า!$B$5:$B$204,0)),"ไม่พบสินค้า"))</f>
        <v/>
      </c>
      <c r="F967" s="17">
        <f>IF($C967="","",IFERROR(INDEX(สินค้า!$D$5:$D$204,MATCH($C967,สินค้า!$B$5:$B$204,0)),"ไม่พบสินค้า"))</f>
        <v/>
      </c>
      <c r="G967" s="15" t="n"/>
      <c r="H967" s="15" t="n"/>
      <c r="I967" s="18">
        <f>IF(AND(ISNUMBER(G967),ISNUMBER(H967),G967&gt;0),H967/G967,"")</f>
        <v/>
      </c>
      <c r="J967" s="15" t="n"/>
      <c r="K967" s="15" t="n"/>
      <c r="L967" s="17">
        <f>IF(A967="","",TEXT(A967,"yyyy-mm"))</f>
        <v/>
      </c>
      <c r="M967" s="17">
        <f>IF(AND(A967&lt;&gt;"",J967="Pending"),TODAY()-A967,"")</f>
        <v/>
      </c>
    </row>
    <row r="968">
      <c r="A968" s="16" t="n"/>
      <c r="B968" s="15" t="n"/>
      <c r="C968" s="15" t="n"/>
      <c r="D968" s="17">
        <f>IF($C968="","",IFERROR(INDEX(สินค้า!$A$5:$A$204,MATCH($C968,สินค้า!$B$5:$B$204,0)),"ไม่พบสินค้า"))</f>
        <v/>
      </c>
      <c r="E968" s="17">
        <f>IF($C968="","",IFERROR(INDEX(สินค้า!$C$5:$C$204,MATCH($C968,สินค้า!$B$5:$B$204,0)),"ไม่พบสินค้า"))</f>
        <v/>
      </c>
      <c r="F968" s="17">
        <f>IF($C968="","",IFERROR(INDEX(สินค้า!$D$5:$D$204,MATCH($C968,สินค้า!$B$5:$B$204,0)),"ไม่พบสินค้า"))</f>
        <v/>
      </c>
      <c r="G968" s="15" t="n"/>
      <c r="H968" s="15" t="n"/>
      <c r="I968" s="18">
        <f>IF(AND(ISNUMBER(G968),ISNUMBER(H968),G968&gt;0),H968/G968,"")</f>
        <v/>
      </c>
      <c r="J968" s="15" t="n"/>
      <c r="K968" s="15" t="n"/>
      <c r="L968" s="17">
        <f>IF(A968="","",TEXT(A968,"yyyy-mm"))</f>
        <v/>
      </c>
      <c r="M968" s="17">
        <f>IF(AND(A968&lt;&gt;"",J968="Pending"),TODAY()-A968,"")</f>
        <v/>
      </c>
    </row>
    <row r="969">
      <c r="A969" s="16" t="n"/>
      <c r="B969" s="15" t="n"/>
      <c r="C969" s="15" t="n"/>
      <c r="D969" s="17">
        <f>IF($C969="","",IFERROR(INDEX(สินค้า!$A$5:$A$204,MATCH($C969,สินค้า!$B$5:$B$204,0)),"ไม่พบสินค้า"))</f>
        <v/>
      </c>
      <c r="E969" s="17">
        <f>IF($C969="","",IFERROR(INDEX(สินค้า!$C$5:$C$204,MATCH($C969,สินค้า!$B$5:$B$204,0)),"ไม่พบสินค้า"))</f>
        <v/>
      </c>
      <c r="F969" s="17">
        <f>IF($C969="","",IFERROR(INDEX(สินค้า!$D$5:$D$204,MATCH($C969,สินค้า!$B$5:$B$204,0)),"ไม่พบสินค้า"))</f>
        <v/>
      </c>
      <c r="G969" s="15" t="n"/>
      <c r="H969" s="15" t="n"/>
      <c r="I969" s="18">
        <f>IF(AND(ISNUMBER(G969),ISNUMBER(H969),G969&gt;0),H969/G969,"")</f>
        <v/>
      </c>
      <c r="J969" s="15" t="n"/>
      <c r="K969" s="15" t="n"/>
      <c r="L969" s="17">
        <f>IF(A969="","",TEXT(A969,"yyyy-mm"))</f>
        <v/>
      </c>
      <c r="M969" s="17">
        <f>IF(AND(A969&lt;&gt;"",J969="Pending"),TODAY()-A969,"")</f>
        <v/>
      </c>
    </row>
    <row r="970">
      <c r="A970" s="16" t="n"/>
      <c r="B970" s="15" t="n"/>
      <c r="C970" s="15" t="n"/>
      <c r="D970" s="17">
        <f>IF($C970="","",IFERROR(INDEX(สินค้า!$A$5:$A$204,MATCH($C970,สินค้า!$B$5:$B$204,0)),"ไม่พบสินค้า"))</f>
        <v/>
      </c>
      <c r="E970" s="17">
        <f>IF($C970="","",IFERROR(INDEX(สินค้า!$C$5:$C$204,MATCH($C970,สินค้า!$B$5:$B$204,0)),"ไม่พบสินค้า"))</f>
        <v/>
      </c>
      <c r="F970" s="17">
        <f>IF($C970="","",IFERROR(INDEX(สินค้า!$D$5:$D$204,MATCH($C970,สินค้า!$B$5:$B$204,0)),"ไม่พบสินค้า"))</f>
        <v/>
      </c>
      <c r="G970" s="15" t="n"/>
      <c r="H970" s="15" t="n"/>
      <c r="I970" s="18">
        <f>IF(AND(ISNUMBER(G970),ISNUMBER(H970),G970&gt;0),H970/G970,"")</f>
        <v/>
      </c>
      <c r="J970" s="15" t="n"/>
      <c r="K970" s="15" t="n"/>
      <c r="L970" s="17">
        <f>IF(A970="","",TEXT(A970,"yyyy-mm"))</f>
        <v/>
      </c>
      <c r="M970" s="17">
        <f>IF(AND(A970&lt;&gt;"",J970="Pending"),TODAY()-A970,"")</f>
        <v/>
      </c>
    </row>
    <row r="971">
      <c r="A971" s="16" t="n"/>
      <c r="B971" s="15" t="n"/>
      <c r="C971" s="15" t="n"/>
      <c r="D971" s="17">
        <f>IF($C971="","",IFERROR(INDEX(สินค้า!$A$5:$A$204,MATCH($C971,สินค้า!$B$5:$B$204,0)),"ไม่พบสินค้า"))</f>
        <v/>
      </c>
      <c r="E971" s="17">
        <f>IF($C971="","",IFERROR(INDEX(สินค้า!$C$5:$C$204,MATCH($C971,สินค้า!$B$5:$B$204,0)),"ไม่พบสินค้า"))</f>
        <v/>
      </c>
      <c r="F971" s="17">
        <f>IF($C971="","",IFERROR(INDEX(สินค้า!$D$5:$D$204,MATCH($C971,สินค้า!$B$5:$B$204,0)),"ไม่พบสินค้า"))</f>
        <v/>
      </c>
      <c r="G971" s="15" t="n"/>
      <c r="H971" s="15" t="n"/>
      <c r="I971" s="18">
        <f>IF(AND(ISNUMBER(G971),ISNUMBER(H971),G971&gt;0),H971/G971,"")</f>
        <v/>
      </c>
      <c r="J971" s="15" t="n"/>
      <c r="K971" s="15" t="n"/>
      <c r="L971" s="17">
        <f>IF(A971="","",TEXT(A971,"yyyy-mm"))</f>
        <v/>
      </c>
      <c r="M971" s="17">
        <f>IF(AND(A971&lt;&gt;"",J971="Pending"),TODAY()-A971,"")</f>
        <v/>
      </c>
    </row>
    <row r="972">
      <c r="A972" s="16" t="n"/>
      <c r="B972" s="15" t="n"/>
      <c r="C972" s="15" t="n"/>
      <c r="D972" s="17">
        <f>IF($C972="","",IFERROR(INDEX(สินค้า!$A$5:$A$204,MATCH($C972,สินค้า!$B$5:$B$204,0)),"ไม่พบสินค้า"))</f>
        <v/>
      </c>
      <c r="E972" s="17">
        <f>IF($C972="","",IFERROR(INDEX(สินค้า!$C$5:$C$204,MATCH($C972,สินค้า!$B$5:$B$204,0)),"ไม่พบสินค้า"))</f>
        <v/>
      </c>
      <c r="F972" s="17">
        <f>IF($C972="","",IFERROR(INDEX(สินค้า!$D$5:$D$204,MATCH($C972,สินค้า!$B$5:$B$204,0)),"ไม่พบสินค้า"))</f>
        <v/>
      </c>
      <c r="G972" s="15" t="n"/>
      <c r="H972" s="15" t="n"/>
      <c r="I972" s="18">
        <f>IF(AND(ISNUMBER(G972),ISNUMBER(H972),G972&gt;0),H972/G972,"")</f>
        <v/>
      </c>
      <c r="J972" s="15" t="n"/>
      <c r="K972" s="15" t="n"/>
      <c r="L972" s="17">
        <f>IF(A972="","",TEXT(A972,"yyyy-mm"))</f>
        <v/>
      </c>
      <c r="M972" s="17">
        <f>IF(AND(A972&lt;&gt;"",J972="Pending"),TODAY()-A972,"")</f>
        <v/>
      </c>
    </row>
    <row r="973">
      <c r="A973" s="16" t="n"/>
      <c r="B973" s="15" t="n"/>
      <c r="C973" s="15" t="n"/>
      <c r="D973" s="17">
        <f>IF($C973="","",IFERROR(INDEX(สินค้า!$A$5:$A$204,MATCH($C973,สินค้า!$B$5:$B$204,0)),"ไม่พบสินค้า"))</f>
        <v/>
      </c>
      <c r="E973" s="17">
        <f>IF($C973="","",IFERROR(INDEX(สินค้า!$C$5:$C$204,MATCH($C973,สินค้า!$B$5:$B$204,0)),"ไม่พบสินค้า"))</f>
        <v/>
      </c>
      <c r="F973" s="17">
        <f>IF($C973="","",IFERROR(INDEX(สินค้า!$D$5:$D$204,MATCH($C973,สินค้า!$B$5:$B$204,0)),"ไม่พบสินค้า"))</f>
        <v/>
      </c>
      <c r="G973" s="15" t="n"/>
      <c r="H973" s="15" t="n"/>
      <c r="I973" s="18">
        <f>IF(AND(ISNUMBER(G973),ISNUMBER(H973),G973&gt;0),H973/G973,"")</f>
        <v/>
      </c>
      <c r="J973" s="15" t="n"/>
      <c r="K973" s="15" t="n"/>
      <c r="L973" s="17">
        <f>IF(A973="","",TEXT(A973,"yyyy-mm"))</f>
        <v/>
      </c>
      <c r="M973" s="17">
        <f>IF(AND(A973&lt;&gt;"",J973="Pending"),TODAY()-A973,"")</f>
        <v/>
      </c>
    </row>
    <row r="974">
      <c r="A974" s="16" t="n"/>
      <c r="B974" s="15" t="n"/>
      <c r="C974" s="15" t="n"/>
      <c r="D974" s="17">
        <f>IF($C974="","",IFERROR(INDEX(สินค้า!$A$5:$A$204,MATCH($C974,สินค้า!$B$5:$B$204,0)),"ไม่พบสินค้า"))</f>
        <v/>
      </c>
      <c r="E974" s="17">
        <f>IF($C974="","",IFERROR(INDEX(สินค้า!$C$5:$C$204,MATCH($C974,สินค้า!$B$5:$B$204,0)),"ไม่พบสินค้า"))</f>
        <v/>
      </c>
      <c r="F974" s="17">
        <f>IF($C974="","",IFERROR(INDEX(สินค้า!$D$5:$D$204,MATCH($C974,สินค้า!$B$5:$B$204,0)),"ไม่พบสินค้า"))</f>
        <v/>
      </c>
      <c r="G974" s="15" t="n"/>
      <c r="H974" s="15" t="n"/>
      <c r="I974" s="18">
        <f>IF(AND(ISNUMBER(G974),ISNUMBER(H974),G974&gt;0),H974/G974,"")</f>
        <v/>
      </c>
      <c r="J974" s="15" t="n"/>
      <c r="K974" s="15" t="n"/>
      <c r="L974" s="17">
        <f>IF(A974="","",TEXT(A974,"yyyy-mm"))</f>
        <v/>
      </c>
      <c r="M974" s="17">
        <f>IF(AND(A974&lt;&gt;"",J974="Pending"),TODAY()-A974,"")</f>
        <v/>
      </c>
    </row>
    <row r="975">
      <c r="A975" s="16" t="n"/>
      <c r="B975" s="15" t="n"/>
      <c r="C975" s="15" t="n"/>
      <c r="D975" s="17">
        <f>IF($C975="","",IFERROR(INDEX(สินค้า!$A$5:$A$204,MATCH($C975,สินค้า!$B$5:$B$204,0)),"ไม่พบสินค้า"))</f>
        <v/>
      </c>
      <c r="E975" s="17">
        <f>IF($C975="","",IFERROR(INDEX(สินค้า!$C$5:$C$204,MATCH($C975,สินค้า!$B$5:$B$204,0)),"ไม่พบสินค้า"))</f>
        <v/>
      </c>
      <c r="F975" s="17">
        <f>IF($C975="","",IFERROR(INDEX(สินค้า!$D$5:$D$204,MATCH($C975,สินค้า!$B$5:$B$204,0)),"ไม่พบสินค้า"))</f>
        <v/>
      </c>
      <c r="G975" s="15" t="n"/>
      <c r="H975" s="15" t="n"/>
      <c r="I975" s="18">
        <f>IF(AND(ISNUMBER(G975),ISNUMBER(H975),G975&gt;0),H975/G975,"")</f>
        <v/>
      </c>
      <c r="J975" s="15" t="n"/>
      <c r="K975" s="15" t="n"/>
      <c r="L975" s="17">
        <f>IF(A975="","",TEXT(A975,"yyyy-mm"))</f>
        <v/>
      </c>
      <c r="M975" s="17">
        <f>IF(AND(A975&lt;&gt;"",J975="Pending"),TODAY()-A975,"")</f>
        <v/>
      </c>
    </row>
    <row r="976">
      <c r="A976" s="16" t="n"/>
      <c r="B976" s="15" t="n"/>
      <c r="C976" s="15" t="n"/>
      <c r="D976" s="17">
        <f>IF($C976="","",IFERROR(INDEX(สินค้า!$A$5:$A$204,MATCH($C976,สินค้า!$B$5:$B$204,0)),"ไม่พบสินค้า"))</f>
        <v/>
      </c>
      <c r="E976" s="17">
        <f>IF($C976="","",IFERROR(INDEX(สินค้า!$C$5:$C$204,MATCH($C976,สินค้า!$B$5:$B$204,0)),"ไม่พบสินค้า"))</f>
        <v/>
      </c>
      <c r="F976" s="17">
        <f>IF($C976="","",IFERROR(INDEX(สินค้า!$D$5:$D$204,MATCH($C976,สินค้า!$B$5:$B$204,0)),"ไม่พบสินค้า"))</f>
        <v/>
      </c>
      <c r="G976" s="15" t="n"/>
      <c r="H976" s="15" t="n"/>
      <c r="I976" s="18">
        <f>IF(AND(ISNUMBER(G976),ISNUMBER(H976),G976&gt;0),H976/G976,"")</f>
        <v/>
      </c>
      <c r="J976" s="15" t="n"/>
      <c r="K976" s="15" t="n"/>
      <c r="L976" s="17">
        <f>IF(A976="","",TEXT(A976,"yyyy-mm"))</f>
        <v/>
      </c>
      <c r="M976" s="17">
        <f>IF(AND(A976&lt;&gt;"",J976="Pending"),TODAY()-A976,"")</f>
        <v/>
      </c>
    </row>
    <row r="977">
      <c r="A977" s="16" t="n"/>
      <c r="B977" s="15" t="n"/>
      <c r="C977" s="15" t="n"/>
      <c r="D977" s="17">
        <f>IF($C977="","",IFERROR(INDEX(สินค้า!$A$5:$A$204,MATCH($C977,สินค้า!$B$5:$B$204,0)),"ไม่พบสินค้า"))</f>
        <v/>
      </c>
      <c r="E977" s="17">
        <f>IF($C977="","",IFERROR(INDEX(สินค้า!$C$5:$C$204,MATCH($C977,สินค้า!$B$5:$B$204,0)),"ไม่พบสินค้า"))</f>
        <v/>
      </c>
      <c r="F977" s="17">
        <f>IF($C977="","",IFERROR(INDEX(สินค้า!$D$5:$D$204,MATCH($C977,สินค้า!$B$5:$B$204,0)),"ไม่พบสินค้า"))</f>
        <v/>
      </c>
      <c r="G977" s="15" t="n"/>
      <c r="H977" s="15" t="n"/>
      <c r="I977" s="18">
        <f>IF(AND(ISNUMBER(G977),ISNUMBER(H977),G977&gt;0),H977/G977,"")</f>
        <v/>
      </c>
      <c r="J977" s="15" t="n"/>
      <c r="K977" s="15" t="n"/>
      <c r="L977" s="17">
        <f>IF(A977="","",TEXT(A977,"yyyy-mm"))</f>
        <v/>
      </c>
      <c r="M977" s="17">
        <f>IF(AND(A977&lt;&gt;"",J977="Pending"),TODAY()-A977,"")</f>
        <v/>
      </c>
    </row>
    <row r="978">
      <c r="A978" s="16" t="n"/>
      <c r="B978" s="15" t="n"/>
      <c r="C978" s="15" t="n"/>
      <c r="D978" s="17">
        <f>IF($C978="","",IFERROR(INDEX(สินค้า!$A$5:$A$204,MATCH($C978,สินค้า!$B$5:$B$204,0)),"ไม่พบสินค้า"))</f>
        <v/>
      </c>
      <c r="E978" s="17">
        <f>IF($C978="","",IFERROR(INDEX(สินค้า!$C$5:$C$204,MATCH($C978,สินค้า!$B$5:$B$204,0)),"ไม่พบสินค้า"))</f>
        <v/>
      </c>
      <c r="F978" s="17">
        <f>IF($C978="","",IFERROR(INDEX(สินค้า!$D$5:$D$204,MATCH($C978,สินค้า!$B$5:$B$204,0)),"ไม่พบสินค้า"))</f>
        <v/>
      </c>
      <c r="G978" s="15" t="n"/>
      <c r="H978" s="15" t="n"/>
      <c r="I978" s="18">
        <f>IF(AND(ISNUMBER(G978),ISNUMBER(H978),G978&gt;0),H978/G978,"")</f>
        <v/>
      </c>
      <c r="J978" s="15" t="n"/>
      <c r="K978" s="15" t="n"/>
      <c r="L978" s="17">
        <f>IF(A978="","",TEXT(A978,"yyyy-mm"))</f>
        <v/>
      </c>
      <c r="M978" s="17">
        <f>IF(AND(A978&lt;&gt;"",J978="Pending"),TODAY()-A978,"")</f>
        <v/>
      </c>
    </row>
    <row r="979">
      <c r="A979" s="16" t="n"/>
      <c r="B979" s="15" t="n"/>
      <c r="C979" s="15" t="n"/>
      <c r="D979" s="17">
        <f>IF($C979="","",IFERROR(INDEX(สินค้า!$A$5:$A$204,MATCH($C979,สินค้า!$B$5:$B$204,0)),"ไม่พบสินค้า"))</f>
        <v/>
      </c>
      <c r="E979" s="17">
        <f>IF($C979="","",IFERROR(INDEX(สินค้า!$C$5:$C$204,MATCH($C979,สินค้า!$B$5:$B$204,0)),"ไม่พบสินค้า"))</f>
        <v/>
      </c>
      <c r="F979" s="17">
        <f>IF($C979="","",IFERROR(INDEX(สินค้า!$D$5:$D$204,MATCH($C979,สินค้า!$B$5:$B$204,0)),"ไม่พบสินค้า"))</f>
        <v/>
      </c>
      <c r="G979" s="15" t="n"/>
      <c r="H979" s="15" t="n"/>
      <c r="I979" s="18">
        <f>IF(AND(ISNUMBER(G979),ISNUMBER(H979),G979&gt;0),H979/G979,"")</f>
        <v/>
      </c>
      <c r="J979" s="15" t="n"/>
      <c r="K979" s="15" t="n"/>
      <c r="L979" s="17">
        <f>IF(A979="","",TEXT(A979,"yyyy-mm"))</f>
        <v/>
      </c>
      <c r="M979" s="17">
        <f>IF(AND(A979&lt;&gt;"",J979="Pending"),TODAY()-A979,"")</f>
        <v/>
      </c>
    </row>
    <row r="980">
      <c r="A980" s="16" t="n"/>
      <c r="B980" s="15" t="n"/>
      <c r="C980" s="15" t="n"/>
      <c r="D980" s="17">
        <f>IF($C980="","",IFERROR(INDEX(สินค้า!$A$5:$A$204,MATCH($C980,สินค้า!$B$5:$B$204,0)),"ไม่พบสินค้า"))</f>
        <v/>
      </c>
      <c r="E980" s="17">
        <f>IF($C980="","",IFERROR(INDEX(สินค้า!$C$5:$C$204,MATCH($C980,สินค้า!$B$5:$B$204,0)),"ไม่พบสินค้า"))</f>
        <v/>
      </c>
      <c r="F980" s="17">
        <f>IF($C980="","",IFERROR(INDEX(สินค้า!$D$5:$D$204,MATCH($C980,สินค้า!$B$5:$B$204,0)),"ไม่พบสินค้า"))</f>
        <v/>
      </c>
      <c r="G980" s="15" t="n"/>
      <c r="H980" s="15" t="n"/>
      <c r="I980" s="18">
        <f>IF(AND(ISNUMBER(G980),ISNUMBER(H980),G980&gt;0),H980/G980,"")</f>
        <v/>
      </c>
      <c r="J980" s="15" t="n"/>
      <c r="K980" s="15" t="n"/>
      <c r="L980" s="17">
        <f>IF(A980="","",TEXT(A980,"yyyy-mm"))</f>
        <v/>
      </c>
      <c r="M980" s="17">
        <f>IF(AND(A980&lt;&gt;"",J980="Pending"),TODAY()-A980,"")</f>
        <v/>
      </c>
    </row>
    <row r="981">
      <c r="A981" s="16" t="n"/>
      <c r="B981" s="15" t="n"/>
      <c r="C981" s="15" t="n"/>
      <c r="D981" s="17">
        <f>IF($C981="","",IFERROR(INDEX(สินค้า!$A$5:$A$204,MATCH($C981,สินค้า!$B$5:$B$204,0)),"ไม่พบสินค้า"))</f>
        <v/>
      </c>
      <c r="E981" s="17">
        <f>IF($C981="","",IFERROR(INDEX(สินค้า!$C$5:$C$204,MATCH($C981,สินค้า!$B$5:$B$204,0)),"ไม่พบสินค้า"))</f>
        <v/>
      </c>
      <c r="F981" s="17">
        <f>IF($C981="","",IFERROR(INDEX(สินค้า!$D$5:$D$204,MATCH($C981,สินค้า!$B$5:$B$204,0)),"ไม่พบสินค้า"))</f>
        <v/>
      </c>
      <c r="G981" s="15" t="n"/>
      <c r="H981" s="15" t="n"/>
      <c r="I981" s="18">
        <f>IF(AND(ISNUMBER(G981),ISNUMBER(H981),G981&gt;0),H981/G981,"")</f>
        <v/>
      </c>
      <c r="J981" s="15" t="n"/>
      <c r="K981" s="15" t="n"/>
      <c r="L981" s="17">
        <f>IF(A981="","",TEXT(A981,"yyyy-mm"))</f>
        <v/>
      </c>
      <c r="M981" s="17">
        <f>IF(AND(A981&lt;&gt;"",J981="Pending"),TODAY()-A981,"")</f>
        <v/>
      </c>
    </row>
    <row r="982">
      <c r="A982" s="16" t="n"/>
      <c r="B982" s="15" t="n"/>
      <c r="C982" s="15" t="n"/>
      <c r="D982" s="17">
        <f>IF($C982="","",IFERROR(INDEX(สินค้า!$A$5:$A$204,MATCH($C982,สินค้า!$B$5:$B$204,0)),"ไม่พบสินค้า"))</f>
        <v/>
      </c>
      <c r="E982" s="17">
        <f>IF($C982="","",IFERROR(INDEX(สินค้า!$C$5:$C$204,MATCH($C982,สินค้า!$B$5:$B$204,0)),"ไม่พบสินค้า"))</f>
        <v/>
      </c>
      <c r="F982" s="17">
        <f>IF($C982="","",IFERROR(INDEX(สินค้า!$D$5:$D$204,MATCH($C982,สินค้า!$B$5:$B$204,0)),"ไม่พบสินค้า"))</f>
        <v/>
      </c>
      <c r="G982" s="15" t="n"/>
      <c r="H982" s="15" t="n"/>
      <c r="I982" s="18">
        <f>IF(AND(ISNUMBER(G982),ISNUMBER(H982),G982&gt;0),H982/G982,"")</f>
        <v/>
      </c>
      <c r="J982" s="15" t="n"/>
      <c r="K982" s="15" t="n"/>
      <c r="L982" s="17">
        <f>IF(A982="","",TEXT(A982,"yyyy-mm"))</f>
        <v/>
      </c>
      <c r="M982" s="17">
        <f>IF(AND(A982&lt;&gt;"",J982="Pending"),TODAY()-A982,"")</f>
        <v/>
      </c>
    </row>
    <row r="983">
      <c r="A983" s="16" t="n"/>
      <c r="B983" s="15" t="n"/>
      <c r="C983" s="15" t="n"/>
      <c r="D983" s="17">
        <f>IF($C983="","",IFERROR(INDEX(สินค้า!$A$5:$A$204,MATCH($C983,สินค้า!$B$5:$B$204,0)),"ไม่พบสินค้า"))</f>
        <v/>
      </c>
      <c r="E983" s="17">
        <f>IF($C983="","",IFERROR(INDEX(สินค้า!$C$5:$C$204,MATCH($C983,สินค้า!$B$5:$B$204,0)),"ไม่พบสินค้า"))</f>
        <v/>
      </c>
      <c r="F983" s="17">
        <f>IF($C983="","",IFERROR(INDEX(สินค้า!$D$5:$D$204,MATCH($C983,สินค้า!$B$5:$B$204,0)),"ไม่พบสินค้า"))</f>
        <v/>
      </c>
      <c r="G983" s="15" t="n"/>
      <c r="H983" s="15" t="n"/>
      <c r="I983" s="18">
        <f>IF(AND(ISNUMBER(G983),ISNUMBER(H983),G983&gt;0),H983/G983,"")</f>
        <v/>
      </c>
      <c r="J983" s="15" t="n"/>
      <c r="K983" s="15" t="n"/>
      <c r="L983" s="17">
        <f>IF(A983="","",TEXT(A983,"yyyy-mm"))</f>
        <v/>
      </c>
      <c r="M983" s="17">
        <f>IF(AND(A983&lt;&gt;"",J983="Pending"),TODAY()-A983,"")</f>
        <v/>
      </c>
    </row>
    <row r="984">
      <c r="A984" s="16" t="n"/>
      <c r="B984" s="15" t="n"/>
      <c r="C984" s="15" t="n"/>
      <c r="D984" s="17">
        <f>IF($C984="","",IFERROR(INDEX(สินค้า!$A$5:$A$204,MATCH($C984,สินค้า!$B$5:$B$204,0)),"ไม่พบสินค้า"))</f>
        <v/>
      </c>
      <c r="E984" s="17">
        <f>IF($C984="","",IFERROR(INDEX(สินค้า!$C$5:$C$204,MATCH($C984,สินค้า!$B$5:$B$204,0)),"ไม่พบสินค้า"))</f>
        <v/>
      </c>
      <c r="F984" s="17">
        <f>IF($C984="","",IFERROR(INDEX(สินค้า!$D$5:$D$204,MATCH($C984,สินค้า!$B$5:$B$204,0)),"ไม่พบสินค้า"))</f>
        <v/>
      </c>
      <c r="G984" s="15" t="n"/>
      <c r="H984" s="15" t="n"/>
      <c r="I984" s="18">
        <f>IF(AND(ISNUMBER(G984),ISNUMBER(H984),G984&gt;0),H984/G984,"")</f>
        <v/>
      </c>
      <c r="J984" s="15" t="n"/>
      <c r="K984" s="15" t="n"/>
      <c r="L984" s="17">
        <f>IF(A984="","",TEXT(A984,"yyyy-mm"))</f>
        <v/>
      </c>
      <c r="M984" s="17">
        <f>IF(AND(A984&lt;&gt;"",J984="Pending"),TODAY()-A984,"")</f>
        <v/>
      </c>
    </row>
    <row r="985">
      <c r="A985" s="16" t="n"/>
      <c r="B985" s="15" t="n"/>
      <c r="C985" s="15" t="n"/>
      <c r="D985" s="17">
        <f>IF($C985="","",IFERROR(INDEX(สินค้า!$A$5:$A$204,MATCH($C985,สินค้า!$B$5:$B$204,0)),"ไม่พบสินค้า"))</f>
        <v/>
      </c>
      <c r="E985" s="17">
        <f>IF($C985="","",IFERROR(INDEX(สินค้า!$C$5:$C$204,MATCH($C985,สินค้า!$B$5:$B$204,0)),"ไม่พบสินค้า"))</f>
        <v/>
      </c>
      <c r="F985" s="17">
        <f>IF($C985="","",IFERROR(INDEX(สินค้า!$D$5:$D$204,MATCH($C985,สินค้า!$B$5:$B$204,0)),"ไม่พบสินค้า"))</f>
        <v/>
      </c>
      <c r="G985" s="15" t="n"/>
      <c r="H985" s="15" t="n"/>
      <c r="I985" s="18">
        <f>IF(AND(ISNUMBER(G985),ISNUMBER(H985),G985&gt;0),H985/G985,"")</f>
        <v/>
      </c>
      <c r="J985" s="15" t="n"/>
      <c r="K985" s="15" t="n"/>
      <c r="L985" s="17">
        <f>IF(A985="","",TEXT(A985,"yyyy-mm"))</f>
        <v/>
      </c>
      <c r="M985" s="17">
        <f>IF(AND(A985&lt;&gt;"",J985="Pending"),TODAY()-A985,"")</f>
        <v/>
      </c>
    </row>
    <row r="986">
      <c r="A986" s="16" t="n"/>
      <c r="B986" s="15" t="n"/>
      <c r="C986" s="15" t="n"/>
      <c r="D986" s="17">
        <f>IF($C986="","",IFERROR(INDEX(สินค้า!$A$5:$A$204,MATCH($C986,สินค้า!$B$5:$B$204,0)),"ไม่พบสินค้า"))</f>
        <v/>
      </c>
      <c r="E986" s="17">
        <f>IF($C986="","",IFERROR(INDEX(สินค้า!$C$5:$C$204,MATCH($C986,สินค้า!$B$5:$B$204,0)),"ไม่พบสินค้า"))</f>
        <v/>
      </c>
      <c r="F986" s="17">
        <f>IF($C986="","",IFERROR(INDEX(สินค้า!$D$5:$D$204,MATCH($C986,สินค้า!$B$5:$B$204,0)),"ไม่พบสินค้า"))</f>
        <v/>
      </c>
      <c r="G986" s="15" t="n"/>
      <c r="H986" s="15" t="n"/>
      <c r="I986" s="18">
        <f>IF(AND(ISNUMBER(G986),ISNUMBER(H986),G986&gt;0),H986/G986,"")</f>
        <v/>
      </c>
      <c r="J986" s="15" t="n"/>
      <c r="K986" s="15" t="n"/>
      <c r="L986" s="17">
        <f>IF(A986="","",TEXT(A986,"yyyy-mm"))</f>
        <v/>
      </c>
      <c r="M986" s="17">
        <f>IF(AND(A986&lt;&gt;"",J986="Pending"),TODAY()-A986,"")</f>
        <v/>
      </c>
    </row>
    <row r="987">
      <c r="A987" s="16" t="n"/>
      <c r="B987" s="15" t="n"/>
      <c r="C987" s="15" t="n"/>
      <c r="D987" s="17">
        <f>IF($C987="","",IFERROR(INDEX(สินค้า!$A$5:$A$204,MATCH($C987,สินค้า!$B$5:$B$204,0)),"ไม่พบสินค้า"))</f>
        <v/>
      </c>
      <c r="E987" s="17">
        <f>IF($C987="","",IFERROR(INDEX(สินค้า!$C$5:$C$204,MATCH($C987,สินค้า!$B$5:$B$204,0)),"ไม่พบสินค้า"))</f>
        <v/>
      </c>
      <c r="F987" s="17">
        <f>IF($C987="","",IFERROR(INDEX(สินค้า!$D$5:$D$204,MATCH($C987,สินค้า!$B$5:$B$204,0)),"ไม่พบสินค้า"))</f>
        <v/>
      </c>
      <c r="G987" s="15" t="n"/>
      <c r="H987" s="15" t="n"/>
      <c r="I987" s="18">
        <f>IF(AND(ISNUMBER(G987),ISNUMBER(H987),G987&gt;0),H987/G987,"")</f>
        <v/>
      </c>
      <c r="J987" s="15" t="n"/>
      <c r="K987" s="15" t="n"/>
      <c r="L987" s="17">
        <f>IF(A987="","",TEXT(A987,"yyyy-mm"))</f>
        <v/>
      </c>
      <c r="M987" s="17">
        <f>IF(AND(A987&lt;&gt;"",J987="Pending"),TODAY()-A987,"")</f>
        <v/>
      </c>
    </row>
    <row r="988">
      <c r="A988" s="16" t="n"/>
      <c r="B988" s="15" t="n"/>
      <c r="C988" s="15" t="n"/>
      <c r="D988" s="17">
        <f>IF($C988="","",IFERROR(INDEX(สินค้า!$A$5:$A$204,MATCH($C988,สินค้า!$B$5:$B$204,0)),"ไม่พบสินค้า"))</f>
        <v/>
      </c>
      <c r="E988" s="17">
        <f>IF($C988="","",IFERROR(INDEX(สินค้า!$C$5:$C$204,MATCH($C988,สินค้า!$B$5:$B$204,0)),"ไม่พบสินค้า"))</f>
        <v/>
      </c>
      <c r="F988" s="17">
        <f>IF($C988="","",IFERROR(INDEX(สินค้า!$D$5:$D$204,MATCH($C988,สินค้า!$B$5:$B$204,0)),"ไม่พบสินค้า"))</f>
        <v/>
      </c>
      <c r="G988" s="15" t="n"/>
      <c r="H988" s="15" t="n"/>
      <c r="I988" s="18">
        <f>IF(AND(ISNUMBER(G988),ISNUMBER(H988),G988&gt;0),H988/G988,"")</f>
        <v/>
      </c>
      <c r="J988" s="15" t="n"/>
      <c r="K988" s="15" t="n"/>
      <c r="L988" s="17">
        <f>IF(A988="","",TEXT(A988,"yyyy-mm"))</f>
        <v/>
      </c>
      <c r="M988" s="17">
        <f>IF(AND(A988&lt;&gt;"",J988="Pending"),TODAY()-A988,"")</f>
        <v/>
      </c>
    </row>
    <row r="989">
      <c r="A989" s="16" t="n"/>
      <c r="B989" s="15" t="n"/>
      <c r="C989" s="15" t="n"/>
      <c r="D989" s="17">
        <f>IF($C989="","",IFERROR(INDEX(สินค้า!$A$5:$A$204,MATCH($C989,สินค้า!$B$5:$B$204,0)),"ไม่พบสินค้า"))</f>
        <v/>
      </c>
      <c r="E989" s="17">
        <f>IF($C989="","",IFERROR(INDEX(สินค้า!$C$5:$C$204,MATCH($C989,สินค้า!$B$5:$B$204,0)),"ไม่พบสินค้า"))</f>
        <v/>
      </c>
      <c r="F989" s="17">
        <f>IF($C989="","",IFERROR(INDEX(สินค้า!$D$5:$D$204,MATCH($C989,สินค้า!$B$5:$B$204,0)),"ไม่พบสินค้า"))</f>
        <v/>
      </c>
      <c r="G989" s="15" t="n"/>
      <c r="H989" s="15" t="n"/>
      <c r="I989" s="18">
        <f>IF(AND(ISNUMBER(G989),ISNUMBER(H989),G989&gt;0),H989/G989,"")</f>
        <v/>
      </c>
      <c r="J989" s="15" t="n"/>
      <c r="K989" s="15" t="n"/>
      <c r="L989" s="17">
        <f>IF(A989="","",TEXT(A989,"yyyy-mm"))</f>
        <v/>
      </c>
      <c r="M989" s="17">
        <f>IF(AND(A989&lt;&gt;"",J989="Pending"),TODAY()-A989,"")</f>
        <v/>
      </c>
    </row>
    <row r="990">
      <c r="A990" s="16" t="n"/>
      <c r="B990" s="15" t="n"/>
      <c r="C990" s="15" t="n"/>
      <c r="D990" s="17">
        <f>IF($C990="","",IFERROR(INDEX(สินค้า!$A$5:$A$204,MATCH($C990,สินค้า!$B$5:$B$204,0)),"ไม่พบสินค้า"))</f>
        <v/>
      </c>
      <c r="E990" s="17">
        <f>IF($C990="","",IFERROR(INDEX(สินค้า!$C$5:$C$204,MATCH($C990,สินค้า!$B$5:$B$204,0)),"ไม่พบสินค้า"))</f>
        <v/>
      </c>
      <c r="F990" s="17">
        <f>IF($C990="","",IFERROR(INDEX(สินค้า!$D$5:$D$204,MATCH($C990,สินค้า!$B$5:$B$204,0)),"ไม่พบสินค้า"))</f>
        <v/>
      </c>
      <c r="G990" s="15" t="n"/>
      <c r="H990" s="15" t="n"/>
      <c r="I990" s="18">
        <f>IF(AND(ISNUMBER(G990),ISNUMBER(H990),G990&gt;0),H990/G990,"")</f>
        <v/>
      </c>
      <c r="J990" s="15" t="n"/>
      <c r="K990" s="15" t="n"/>
      <c r="L990" s="17">
        <f>IF(A990="","",TEXT(A990,"yyyy-mm"))</f>
        <v/>
      </c>
      <c r="M990" s="17">
        <f>IF(AND(A990&lt;&gt;"",J990="Pending"),TODAY()-A990,"")</f>
        <v/>
      </c>
    </row>
    <row r="991">
      <c r="A991" s="16" t="n"/>
      <c r="B991" s="15" t="n"/>
      <c r="C991" s="15" t="n"/>
      <c r="D991" s="17">
        <f>IF($C991="","",IFERROR(INDEX(สินค้า!$A$5:$A$204,MATCH($C991,สินค้า!$B$5:$B$204,0)),"ไม่พบสินค้า"))</f>
        <v/>
      </c>
      <c r="E991" s="17">
        <f>IF($C991="","",IFERROR(INDEX(สินค้า!$C$5:$C$204,MATCH($C991,สินค้า!$B$5:$B$204,0)),"ไม่พบสินค้า"))</f>
        <v/>
      </c>
      <c r="F991" s="17">
        <f>IF($C991="","",IFERROR(INDEX(สินค้า!$D$5:$D$204,MATCH($C991,สินค้า!$B$5:$B$204,0)),"ไม่พบสินค้า"))</f>
        <v/>
      </c>
      <c r="G991" s="15" t="n"/>
      <c r="H991" s="15" t="n"/>
      <c r="I991" s="18">
        <f>IF(AND(ISNUMBER(G991),ISNUMBER(H991),G991&gt;0),H991/G991,"")</f>
        <v/>
      </c>
      <c r="J991" s="15" t="n"/>
      <c r="K991" s="15" t="n"/>
      <c r="L991" s="17">
        <f>IF(A991="","",TEXT(A991,"yyyy-mm"))</f>
        <v/>
      </c>
      <c r="M991" s="17">
        <f>IF(AND(A991&lt;&gt;"",J991="Pending"),TODAY()-A991,"")</f>
        <v/>
      </c>
    </row>
    <row r="992">
      <c r="A992" s="16" t="n"/>
      <c r="B992" s="15" t="n"/>
      <c r="C992" s="15" t="n"/>
      <c r="D992" s="17">
        <f>IF($C992="","",IFERROR(INDEX(สินค้า!$A$5:$A$204,MATCH($C992,สินค้า!$B$5:$B$204,0)),"ไม่พบสินค้า"))</f>
        <v/>
      </c>
      <c r="E992" s="17">
        <f>IF($C992="","",IFERROR(INDEX(สินค้า!$C$5:$C$204,MATCH($C992,สินค้า!$B$5:$B$204,0)),"ไม่พบสินค้า"))</f>
        <v/>
      </c>
      <c r="F992" s="17">
        <f>IF($C992="","",IFERROR(INDEX(สินค้า!$D$5:$D$204,MATCH($C992,สินค้า!$B$5:$B$204,0)),"ไม่พบสินค้า"))</f>
        <v/>
      </c>
      <c r="G992" s="15" t="n"/>
      <c r="H992" s="15" t="n"/>
      <c r="I992" s="18">
        <f>IF(AND(ISNUMBER(G992),ISNUMBER(H992),G992&gt;0),H992/G992,"")</f>
        <v/>
      </c>
      <c r="J992" s="15" t="n"/>
      <c r="K992" s="15" t="n"/>
      <c r="L992" s="17">
        <f>IF(A992="","",TEXT(A992,"yyyy-mm"))</f>
        <v/>
      </c>
      <c r="M992" s="17">
        <f>IF(AND(A992&lt;&gt;"",J992="Pending"),TODAY()-A992,"")</f>
        <v/>
      </c>
    </row>
    <row r="993">
      <c r="A993" s="16" t="n"/>
      <c r="B993" s="15" t="n"/>
      <c r="C993" s="15" t="n"/>
      <c r="D993" s="17">
        <f>IF($C993="","",IFERROR(INDEX(สินค้า!$A$5:$A$204,MATCH($C993,สินค้า!$B$5:$B$204,0)),"ไม่พบสินค้า"))</f>
        <v/>
      </c>
      <c r="E993" s="17">
        <f>IF($C993="","",IFERROR(INDEX(สินค้า!$C$5:$C$204,MATCH($C993,สินค้า!$B$5:$B$204,0)),"ไม่พบสินค้า"))</f>
        <v/>
      </c>
      <c r="F993" s="17">
        <f>IF($C993="","",IFERROR(INDEX(สินค้า!$D$5:$D$204,MATCH($C993,สินค้า!$B$5:$B$204,0)),"ไม่พบสินค้า"))</f>
        <v/>
      </c>
      <c r="G993" s="15" t="n"/>
      <c r="H993" s="15" t="n"/>
      <c r="I993" s="18">
        <f>IF(AND(ISNUMBER(G993),ISNUMBER(H993),G993&gt;0),H993/G993,"")</f>
        <v/>
      </c>
      <c r="J993" s="15" t="n"/>
      <c r="K993" s="15" t="n"/>
      <c r="L993" s="17">
        <f>IF(A993="","",TEXT(A993,"yyyy-mm"))</f>
        <v/>
      </c>
      <c r="M993" s="17">
        <f>IF(AND(A993&lt;&gt;"",J993="Pending"),TODAY()-A993,"")</f>
        <v/>
      </c>
    </row>
    <row r="994">
      <c r="A994" s="16" t="n"/>
      <c r="B994" s="15" t="n"/>
      <c r="C994" s="15" t="n"/>
      <c r="D994" s="17">
        <f>IF($C994="","",IFERROR(INDEX(สินค้า!$A$5:$A$204,MATCH($C994,สินค้า!$B$5:$B$204,0)),"ไม่พบสินค้า"))</f>
        <v/>
      </c>
      <c r="E994" s="17">
        <f>IF($C994="","",IFERROR(INDEX(สินค้า!$C$5:$C$204,MATCH($C994,สินค้า!$B$5:$B$204,0)),"ไม่พบสินค้า"))</f>
        <v/>
      </c>
      <c r="F994" s="17">
        <f>IF($C994="","",IFERROR(INDEX(สินค้า!$D$5:$D$204,MATCH($C994,สินค้า!$B$5:$B$204,0)),"ไม่พบสินค้า"))</f>
        <v/>
      </c>
      <c r="G994" s="15" t="n"/>
      <c r="H994" s="15" t="n"/>
      <c r="I994" s="18">
        <f>IF(AND(ISNUMBER(G994),ISNUMBER(H994),G994&gt;0),H994/G994,"")</f>
        <v/>
      </c>
      <c r="J994" s="15" t="n"/>
      <c r="K994" s="15" t="n"/>
      <c r="L994" s="17">
        <f>IF(A994="","",TEXT(A994,"yyyy-mm"))</f>
        <v/>
      </c>
      <c r="M994" s="17">
        <f>IF(AND(A994&lt;&gt;"",J994="Pending"),TODAY()-A994,"")</f>
        <v/>
      </c>
    </row>
    <row r="995">
      <c r="A995" s="16" t="n"/>
      <c r="B995" s="15" t="n"/>
      <c r="C995" s="15" t="n"/>
      <c r="D995" s="17">
        <f>IF($C995="","",IFERROR(INDEX(สินค้า!$A$5:$A$204,MATCH($C995,สินค้า!$B$5:$B$204,0)),"ไม่พบสินค้า"))</f>
        <v/>
      </c>
      <c r="E995" s="17">
        <f>IF($C995="","",IFERROR(INDEX(สินค้า!$C$5:$C$204,MATCH($C995,สินค้า!$B$5:$B$204,0)),"ไม่พบสินค้า"))</f>
        <v/>
      </c>
      <c r="F995" s="17">
        <f>IF($C995="","",IFERROR(INDEX(สินค้า!$D$5:$D$204,MATCH($C995,สินค้า!$B$5:$B$204,0)),"ไม่พบสินค้า"))</f>
        <v/>
      </c>
      <c r="G995" s="15" t="n"/>
      <c r="H995" s="15" t="n"/>
      <c r="I995" s="18">
        <f>IF(AND(ISNUMBER(G995),ISNUMBER(H995),G995&gt;0),H995/G995,"")</f>
        <v/>
      </c>
      <c r="J995" s="15" t="n"/>
      <c r="K995" s="15" t="n"/>
      <c r="L995" s="17">
        <f>IF(A995="","",TEXT(A995,"yyyy-mm"))</f>
        <v/>
      </c>
      <c r="M995" s="17">
        <f>IF(AND(A995&lt;&gt;"",J995="Pending"),TODAY()-A995,"")</f>
        <v/>
      </c>
    </row>
    <row r="996">
      <c r="A996" s="16" t="n"/>
      <c r="B996" s="15" t="n"/>
      <c r="C996" s="15" t="n"/>
      <c r="D996" s="17">
        <f>IF($C996="","",IFERROR(INDEX(สินค้า!$A$5:$A$204,MATCH($C996,สินค้า!$B$5:$B$204,0)),"ไม่พบสินค้า"))</f>
        <v/>
      </c>
      <c r="E996" s="17">
        <f>IF($C996="","",IFERROR(INDEX(สินค้า!$C$5:$C$204,MATCH($C996,สินค้า!$B$5:$B$204,0)),"ไม่พบสินค้า"))</f>
        <v/>
      </c>
      <c r="F996" s="17">
        <f>IF($C996="","",IFERROR(INDEX(สินค้า!$D$5:$D$204,MATCH($C996,สินค้า!$B$5:$B$204,0)),"ไม่พบสินค้า"))</f>
        <v/>
      </c>
      <c r="G996" s="15" t="n"/>
      <c r="H996" s="15" t="n"/>
      <c r="I996" s="18">
        <f>IF(AND(ISNUMBER(G996),ISNUMBER(H996),G996&gt;0),H996/G996,"")</f>
        <v/>
      </c>
      <c r="J996" s="15" t="n"/>
      <c r="K996" s="15" t="n"/>
      <c r="L996" s="17">
        <f>IF(A996="","",TEXT(A996,"yyyy-mm"))</f>
        <v/>
      </c>
      <c r="M996" s="17">
        <f>IF(AND(A996&lt;&gt;"",J996="Pending"),TODAY()-A996,"")</f>
        <v/>
      </c>
    </row>
    <row r="997">
      <c r="A997" s="16" t="n"/>
      <c r="B997" s="15" t="n"/>
      <c r="C997" s="15" t="n"/>
      <c r="D997" s="17">
        <f>IF($C997="","",IFERROR(INDEX(สินค้า!$A$5:$A$204,MATCH($C997,สินค้า!$B$5:$B$204,0)),"ไม่พบสินค้า"))</f>
        <v/>
      </c>
      <c r="E997" s="17">
        <f>IF($C997="","",IFERROR(INDEX(สินค้า!$C$5:$C$204,MATCH($C997,สินค้า!$B$5:$B$204,0)),"ไม่พบสินค้า"))</f>
        <v/>
      </c>
      <c r="F997" s="17">
        <f>IF($C997="","",IFERROR(INDEX(สินค้า!$D$5:$D$204,MATCH($C997,สินค้า!$B$5:$B$204,0)),"ไม่พบสินค้า"))</f>
        <v/>
      </c>
      <c r="G997" s="15" t="n"/>
      <c r="H997" s="15" t="n"/>
      <c r="I997" s="18">
        <f>IF(AND(ISNUMBER(G997),ISNUMBER(H997),G997&gt;0),H997/G997,"")</f>
        <v/>
      </c>
      <c r="J997" s="15" t="n"/>
      <c r="K997" s="15" t="n"/>
      <c r="L997" s="17">
        <f>IF(A997="","",TEXT(A997,"yyyy-mm"))</f>
        <v/>
      </c>
      <c r="M997" s="17">
        <f>IF(AND(A997&lt;&gt;"",J997="Pending"),TODAY()-A997,"")</f>
        <v/>
      </c>
    </row>
    <row r="998">
      <c r="A998" s="16" t="n"/>
      <c r="B998" s="15" t="n"/>
      <c r="C998" s="15" t="n"/>
      <c r="D998" s="17">
        <f>IF($C998="","",IFERROR(INDEX(สินค้า!$A$5:$A$204,MATCH($C998,สินค้า!$B$5:$B$204,0)),"ไม่พบสินค้า"))</f>
        <v/>
      </c>
      <c r="E998" s="17">
        <f>IF($C998="","",IFERROR(INDEX(สินค้า!$C$5:$C$204,MATCH($C998,สินค้า!$B$5:$B$204,0)),"ไม่พบสินค้า"))</f>
        <v/>
      </c>
      <c r="F998" s="17">
        <f>IF($C998="","",IFERROR(INDEX(สินค้า!$D$5:$D$204,MATCH($C998,สินค้า!$B$5:$B$204,0)),"ไม่พบสินค้า"))</f>
        <v/>
      </c>
      <c r="G998" s="15" t="n"/>
      <c r="H998" s="15" t="n"/>
      <c r="I998" s="18">
        <f>IF(AND(ISNUMBER(G998),ISNUMBER(H998),G998&gt;0),H998/G998,"")</f>
        <v/>
      </c>
      <c r="J998" s="15" t="n"/>
      <c r="K998" s="15" t="n"/>
      <c r="L998" s="17">
        <f>IF(A998="","",TEXT(A998,"yyyy-mm"))</f>
        <v/>
      </c>
      <c r="M998" s="17">
        <f>IF(AND(A998&lt;&gt;"",J998="Pending"),TODAY()-A998,"")</f>
        <v/>
      </c>
    </row>
    <row r="999">
      <c r="A999" s="16" t="n"/>
      <c r="B999" s="15" t="n"/>
      <c r="C999" s="15" t="n"/>
      <c r="D999" s="17">
        <f>IF($C999="","",IFERROR(INDEX(สินค้า!$A$5:$A$204,MATCH($C999,สินค้า!$B$5:$B$204,0)),"ไม่พบสินค้า"))</f>
        <v/>
      </c>
      <c r="E999" s="17">
        <f>IF($C999="","",IFERROR(INDEX(สินค้า!$C$5:$C$204,MATCH($C999,สินค้า!$B$5:$B$204,0)),"ไม่พบสินค้า"))</f>
        <v/>
      </c>
      <c r="F999" s="17">
        <f>IF($C999="","",IFERROR(INDEX(สินค้า!$D$5:$D$204,MATCH($C999,สินค้า!$B$5:$B$204,0)),"ไม่พบสินค้า"))</f>
        <v/>
      </c>
      <c r="G999" s="15" t="n"/>
      <c r="H999" s="15" t="n"/>
      <c r="I999" s="18">
        <f>IF(AND(ISNUMBER(G999),ISNUMBER(H999),G999&gt;0),H999/G999,"")</f>
        <v/>
      </c>
      <c r="J999" s="15" t="n"/>
      <c r="K999" s="15" t="n"/>
      <c r="L999" s="17">
        <f>IF(A999="","",TEXT(A999,"yyyy-mm"))</f>
        <v/>
      </c>
      <c r="M999" s="17">
        <f>IF(AND(A999&lt;&gt;"",J999="Pending"),TODAY()-A999,"")</f>
        <v/>
      </c>
    </row>
    <row r="1000">
      <c r="A1000" s="16" t="n"/>
      <c r="B1000" s="15" t="n"/>
      <c r="C1000" s="15" t="n"/>
      <c r="D1000" s="17">
        <f>IF($C1000="","",IFERROR(INDEX(สินค้า!$A$5:$A$204,MATCH($C1000,สินค้า!$B$5:$B$204,0)),"ไม่พบสินค้า"))</f>
        <v/>
      </c>
      <c r="E1000" s="17">
        <f>IF($C1000="","",IFERROR(INDEX(สินค้า!$C$5:$C$204,MATCH($C1000,สินค้า!$B$5:$B$204,0)),"ไม่พบสินค้า"))</f>
        <v/>
      </c>
      <c r="F1000" s="17">
        <f>IF($C1000="","",IFERROR(INDEX(สินค้า!$D$5:$D$204,MATCH($C1000,สินค้า!$B$5:$B$204,0)),"ไม่พบสินค้า"))</f>
        <v/>
      </c>
      <c r="G1000" s="15" t="n"/>
      <c r="H1000" s="15" t="n"/>
      <c r="I1000" s="18">
        <f>IF(AND(ISNUMBER(G1000),ISNUMBER(H1000),G1000&gt;0),H1000/G1000,"")</f>
        <v/>
      </c>
      <c r="J1000" s="15" t="n"/>
      <c r="K1000" s="15" t="n"/>
      <c r="L1000" s="17">
        <f>IF(A1000="","",TEXT(A1000,"yyyy-mm"))</f>
        <v/>
      </c>
      <c r="M1000" s="17">
        <f>IF(AND(A1000&lt;&gt;"",J1000="Pending"),TODAY()-A1000,"")</f>
        <v/>
      </c>
    </row>
    <row r="1001">
      <c r="A1001" s="16" t="n"/>
      <c r="B1001" s="15" t="n"/>
      <c r="C1001" s="15" t="n"/>
      <c r="D1001" s="17">
        <f>IF($C1001="","",IFERROR(INDEX(สินค้า!$A$5:$A$204,MATCH($C1001,สินค้า!$B$5:$B$204,0)),"ไม่พบสินค้า"))</f>
        <v/>
      </c>
      <c r="E1001" s="17">
        <f>IF($C1001="","",IFERROR(INDEX(สินค้า!$C$5:$C$204,MATCH($C1001,สินค้า!$B$5:$B$204,0)),"ไม่พบสินค้า"))</f>
        <v/>
      </c>
      <c r="F1001" s="17">
        <f>IF($C1001="","",IFERROR(INDEX(สินค้า!$D$5:$D$204,MATCH($C1001,สินค้า!$B$5:$B$204,0)),"ไม่พบสินค้า"))</f>
        <v/>
      </c>
      <c r="G1001" s="15" t="n"/>
      <c r="H1001" s="15" t="n"/>
      <c r="I1001" s="18">
        <f>IF(AND(ISNUMBER(G1001),ISNUMBER(H1001),G1001&gt;0),H1001/G1001,"")</f>
        <v/>
      </c>
      <c r="J1001" s="15" t="n"/>
      <c r="K1001" s="15" t="n"/>
      <c r="L1001" s="17">
        <f>IF(A1001="","",TEXT(A1001,"yyyy-mm"))</f>
        <v/>
      </c>
      <c r="M1001" s="17">
        <f>IF(AND(A1001&lt;&gt;"",J1001="Pending"),TODAY()-A1001,"")</f>
        <v/>
      </c>
    </row>
    <row r="1002">
      <c r="A1002" s="16" t="n"/>
      <c r="B1002" s="15" t="n"/>
      <c r="C1002" s="15" t="n"/>
      <c r="D1002" s="17">
        <f>IF($C1002="","",IFERROR(INDEX(สินค้า!$A$5:$A$204,MATCH($C1002,สินค้า!$B$5:$B$204,0)),"ไม่พบสินค้า"))</f>
        <v/>
      </c>
      <c r="E1002" s="17">
        <f>IF($C1002="","",IFERROR(INDEX(สินค้า!$C$5:$C$204,MATCH($C1002,สินค้า!$B$5:$B$204,0)),"ไม่พบสินค้า"))</f>
        <v/>
      </c>
      <c r="F1002" s="17">
        <f>IF($C1002="","",IFERROR(INDEX(สินค้า!$D$5:$D$204,MATCH($C1002,สินค้า!$B$5:$B$204,0)),"ไม่พบสินค้า"))</f>
        <v/>
      </c>
      <c r="G1002" s="15" t="n"/>
      <c r="H1002" s="15" t="n"/>
      <c r="I1002" s="18">
        <f>IF(AND(ISNUMBER(G1002),ISNUMBER(H1002),G1002&gt;0),H1002/G1002,"")</f>
        <v/>
      </c>
      <c r="J1002" s="15" t="n"/>
      <c r="K1002" s="15" t="n"/>
      <c r="L1002" s="17">
        <f>IF(A1002="","",TEXT(A1002,"yyyy-mm"))</f>
        <v/>
      </c>
      <c r="M1002" s="17">
        <f>IF(AND(A1002&lt;&gt;"",J1002="Pending"),TODAY()-A1002,"")</f>
        <v/>
      </c>
    </row>
    <row r="1003">
      <c r="A1003" s="16" t="n"/>
      <c r="B1003" s="15" t="n"/>
      <c r="C1003" s="15" t="n"/>
      <c r="D1003" s="17">
        <f>IF($C1003="","",IFERROR(INDEX(สินค้า!$A$5:$A$204,MATCH($C1003,สินค้า!$B$5:$B$204,0)),"ไม่พบสินค้า"))</f>
        <v/>
      </c>
      <c r="E1003" s="17">
        <f>IF($C1003="","",IFERROR(INDEX(สินค้า!$C$5:$C$204,MATCH($C1003,สินค้า!$B$5:$B$204,0)),"ไม่พบสินค้า"))</f>
        <v/>
      </c>
      <c r="F1003" s="17">
        <f>IF($C1003="","",IFERROR(INDEX(สินค้า!$D$5:$D$204,MATCH($C1003,สินค้า!$B$5:$B$204,0)),"ไม่พบสินค้า"))</f>
        <v/>
      </c>
      <c r="G1003" s="15" t="n"/>
      <c r="H1003" s="15" t="n"/>
      <c r="I1003" s="18">
        <f>IF(AND(ISNUMBER(G1003),ISNUMBER(H1003),G1003&gt;0),H1003/G1003,"")</f>
        <v/>
      </c>
      <c r="J1003" s="15" t="n"/>
      <c r="K1003" s="15" t="n"/>
      <c r="L1003" s="17">
        <f>IF(A1003="","",TEXT(A1003,"yyyy-mm"))</f>
        <v/>
      </c>
      <c r="M1003" s="17">
        <f>IF(AND(A1003&lt;&gt;"",J1003="Pending"),TODAY()-A1003,"")</f>
        <v/>
      </c>
    </row>
    <row r="1004">
      <c r="A1004" s="16" t="n"/>
      <c r="B1004" s="15" t="n"/>
      <c r="C1004" s="15" t="n"/>
      <c r="D1004" s="17">
        <f>IF($C1004="","",IFERROR(INDEX(สินค้า!$A$5:$A$204,MATCH($C1004,สินค้า!$B$5:$B$204,0)),"ไม่พบสินค้า"))</f>
        <v/>
      </c>
      <c r="E1004" s="17">
        <f>IF($C1004="","",IFERROR(INDEX(สินค้า!$C$5:$C$204,MATCH($C1004,สินค้า!$B$5:$B$204,0)),"ไม่พบสินค้า"))</f>
        <v/>
      </c>
      <c r="F1004" s="17">
        <f>IF($C1004="","",IFERROR(INDEX(สินค้า!$D$5:$D$204,MATCH($C1004,สินค้า!$B$5:$B$204,0)),"ไม่พบสินค้า"))</f>
        <v/>
      </c>
      <c r="G1004" s="15" t="n"/>
      <c r="H1004" s="15" t="n"/>
      <c r="I1004" s="18">
        <f>IF(AND(ISNUMBER(G1004),ISNUMBER(H1004),G1004&gt;0),H1004/G1004,"")</f>
        <v/>
      </c>
      <c r="J1004" s="15" t="n"/>
      <c r="K1004" s="15" t="n"/>
      <c r="L1004" s="17">
        <f>IF(A1004="","",TEXT(A1004,"yyyy-mm"))</f>
        <v/>
      </c>
      <c r="M1004" s="17">
        <f>IF(AND(A1004&lt;&gt;"",J1004="Pending"),TODAY()-A1004,"")</f>
        <v/>
      </c>
    </row>
  </sheetData>
  <autoFilter ref="A4:M1004"/>
  <conditionalFormatting sqref="J5:J1004">
    <cfRule type="cellIs" priority="1" operator="equal" dxfId="1">
      <formula>"Done"</formula>
    </cfRule>
    <cfRule type="cellIs" priority="2" operator="equal" dxfId="2">
      <formula>"Pending"</formula>
    </cfRule>
  </conditionalFormatting>
  <conditionalFormatting sqref="M5:M1004">
    <cfRule type="cellIs" priority="3" operator="greaterThan" dxfId="3">
      <formula>14</formula>
    </cfRule>
  </conditionalFormatting>
  <dataValidations count="4">
    <dataValidation sqref="C5:C1004" showDropDown="0" showInputMessage="0" showErrorMessage="1" allowBlank="1" errorTitle="ไม่พบสินค้า" error="เลือกจากรายการ หรือเพิ่มสินค้าในชีต 'สินค้า' ก่อน" type="list">
      <formula1>=สินค้า!$B$5:$B$204</formula1>
    </dataValidation>
    <dataValidation sqref="J5:J1004" showDropDown="0" showInputMessage="0" showErrorMessage="0" allowBlank="1" type="list">
      <formula1>"Done,Pending"</formula1>
    </dataValidation>
    <dataValidation sqref="K5:K1004" showDropDown="0" showInputMessage="0" showErrorMessage="0" allowBlank="1" type="list">
      <formula1>"Yes,No"</formula1>
    </dataValidation>
    <dataValidation sqref="G5:H1004" showDropDown="0" showInputMessage="0" showErrorMessage="1" allowBlank="1" error="กรอกตัวเลขเท่านั้น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9" t="inlineStr">
        <is>
          <t>วิธีใช้งาน</t>
        </is>
      </c>
    </row>
    <row r="2">
      <c r="A2" s="20" t="inlineStr">
        <is>
          <t>1) ชีต 'สินค้า' – ใส่ SKU / ชื่อสินค้า / หมวด / หน่วย (ช่องเหลือง) รองรับ 200 รายการ</t>
        </is>
      </c>
    </row>
    <row r="3">
      <c r="A3" s="20" t="inlineStr">
        <is>
          <t>2) ชีต 'บันทึก' – กรอกวันที่ PO เลือกชื่อสินค้าจาก dropdown ใส่จำนวน และสถานะ  (SKU หมวด หน่วย % เดือน วันค้าง คำนวณเอง)</t>
        </is>
      </c>
    </row>
    <row r="4">
      <c r="A4" s="20" t="inlineStr">
        <is>
          <t>3) ชีต 'สรุป' และ 'สรุปรายเดือน' – รวมข้อมูลตามสินค้า/เดือนอัตโนมัติ ห้ามพิมพ์ทับ</t>
        </is>
      </c>
    </row>
    <row r="5">
      <c r="A5" s="20" t="inlineStr">
        <is>
          <t>สูตรหลักที่ใช้: INDEX/MATCH (ดึง SKU), COUNTIFS/SUMIFS (รวม), MAXIFS (วันที่ล่าสุด), TODAY (วันที่ค้าง)</t>
        </is>
      </c>
    </row>
    <row r="6">
      <c r="A6" s="20" t="inlineStr">
        <is>
          <t>ช่องสีเหลือง = กรอกเอง | ช่องสีฟ้า = สูตรอัตโนมัติ</t>
        </is>
      </c>
    </row>
    <row r="7">
      <c r="A7" s="20" t="inlineStr">
        <is>
          <t>ตัวอย่างข้อมูลเป็นข้อมูลสมมติ ลบแถวตัวอย่างในชีต 'บันทึก' ก่อนใช้งานจริงได้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2026-10-04T02:06:57Z</dcterms:created>
  <dcterms:modified xsi:type="dcterms:W3CDTF">2026-10-04T02:06:57Z</dcterms:modified>
</cp:coreProperties>
</file>